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stem_Playbook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edger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Capital" sheetId="5" state="visible" r:id="rId5"/>
    <sheet xmlns:r="http://schemas.openxmlformats.org/officeDocument/2006/relationships" name="Logs" sheetId="6" state="visible" r:id="rId6"/>
    <sheet xmlns:r="http://schemas.openxmlformats.org/officeDocument/2006/relationships" name="Paper_Trades" sheetId="7" state="visible" r:id="rId7"/>
    <sheet xmlns:r="http://schemas.openxmlformats.org/officeDocument/2006/relationships" name="Helper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INR #,##0.00"/>
    <numFmt numFmtId="165" formatCode="0.0%"/>
  </numFmts>
  <fonts count="28">
    <font>
      <name val="Calibri"/>
      <color theme="1"/>
      <sz val="11"/>
      <scheme val="minor"/>
    </font>
    <font>
      <name val="Quattrocento Sans"/>
      <b val="1"/>
      <color rgb="FFFFFFFF"/>
      <sz val="16"/>
    </font>
    <font>
      <name val="Calibri"/>
      <color theme="1"/>
      <sz val="11"/>
    </font>
    <font>
      <name val="Quattrocento Sans"/>
      <b val="1"/>
      <color rgb="FFFFFFFF"/>
      <sz val="11"/>
    </font>
    <font>
      <name val="Quattrocento Sans"/>
      <b val="1"/>
      <color rgb="FF1A365D"/>
      <sz val="12"/>
    </font>
    <font>
      <name val="Calibri"/>
      <color theme="1"/>
    </font>
    <font>
      <name val="Quattrocento Sans"/>
      <b val="1"/>
      <color rgb="FF2D3748"/>
      <sz val="10"/>
    </font>
    <font>
      <name val="Quattrocento Sans"/>
      <color rgb="FF2D3748"/>
      <sz val="10"/>
    </font>
    <font/>
    <font>
      <name val="Quattrocento Sans"/>
      <color theme="1"/>
      <sz val="10"/>
    </font>
    <font>
      <name val="Quattrocento Sans"/>
      <b val="1"/>
      <color rgb="FF1B365D"/>
      <sz val="16"/>
    </font>
    <font>
      <name val="Quattrocento Sans"/>
      <color theme="1"/>
      <sz val="11"/>
    </font>
    <font>
      <name val="Quattrocento Sans"/>
      <i val="1"/>
      <color rgb="FF595959"/>
      <sz val="9"/>
    </font>
    <font>
      <name val="Quattrocento Sans"/>
      <b val="1"/>
      <color rgb="FF1B365D"/>
      <sz val="11"/>
    </font>
    <font>
      <name val="Quattrocento Sans"/>
      <b val="1"/>
      <color theme="1"/>
      <sz val="11"/>
    </font>
    <font>
      <name val="Quattrocento Sans"/>
      <b val="1"/>
      <color rgb="FF385723"/>
      <sz val="11"/>
    </font>
    <font>
      <name val="Quattrocento Sans"/>
      <b val="1"/>
      <color rgb="FFC00000"/>
      <sz val="11"/>
    </font>
    <font>
      <name val="Quattrocento Sans"/>
      <color rgb="FF385723"/>
      <sz val="11"/>
    </font>
    <font>
      <name val="Segoe UI"/>
      <b val="1"/>
      <color rgb="001B365D"/>
      <sz val="16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color rgb="001B365D"/>
      <sz val="11"/>
    </font>
    <font>
      <name val="Segoe UI"/>
      <b val="1"/>
      <sz val="11"/>
    </font>
    <font>
      <name val="Segoe UI"/>
      <sz val="11"/>
    </font>
    <font>
      <name val="Segoe UI"/>
      <color rgb="00385723"/>
      <sz val="11"/>
    </font>
    <font>
      <name val="Segoe UI"/>
      <b val="1"/>
      <color rgb="00385723"/>
      <sz val="11"/>
    </font>
    <font>
      <name val="Segoe UI"/>
      <b val="1"/>
      <color rgb="00C00000"/>
      <sz val="11"/>
    </font>
    <font>
      <name val="Segoe UI"/>
      <color rgb="00C00000"/>
      <sz val="11"/>
    </font>
  </fonts>
  <fills count="16">
    <fill>
      <patternFill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2B6CB0"/>
        <bgColor rgb="FF2B6CB0"/>
      </patternFill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D3DDF1"/>
        <bgColor rgb="FFD3DDF1"/>
      </patternFill>
    </fill>
    <fill>
      <patternFill patternType="solid">
        <fgColor rgb="FFF2F4F7"/>
        <bgColor rgb="FFF2F4F7"/>
      </patternFill>
    </fill>
    <fill>
      <patternFill patternType="solid">
        <fgColor rgb="FF4A5568"/>
        <bgColor rgb="FF4A5568"/>
      </patternFill>
    </fill>
    <fill>
      <patternFill patternType="solid">
        <fgColor rgb="001B365D"/>
        <bgColor rgb="001B365D"/>
      </patternFill>
    </fill>
    <fill>
      <patternFill patternType="solid">
        <fgColor rgb="00D3DDF1"/>
        <bgColor rgb="00D3DDF1"/>
      </patternFill>
    </fill>
    <fill>
      <patternFill patternType="solid">
        <fgColor rgb="00F2F4F7"/>
        <bgColor rgb="00F2F4F7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10">
    <border/>
    <border>
      <left/>
      <right/>
      <top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 style="thin">
        <color rgb="FFCBD5E0"/>
      </left>
      <top style="thin">
        <color rgb="FFCBD5E0"/>
      </top>
      <bottom style="thin">
        <color rgb="FFCBD5E0"/>
      </bottom>
    </border>
    <border>
      <top style="thin">
        <color rgb="FFCBD5E0"/>
      </top>
      <bottom style="thin">
        <color rgb="FFCBD5E0"/>
      </bottom>
    </border>
    <border>
      <right style="thin">
        <color rgb="FFCBD5E0"/>
      </right>
      <top style="thin">
        <color rgb="FFCBD5E0"/>
      </top>
      <bottom style="thin">
        <color rgb="FFCBD5E0"/>
      </bottom>
    </border>
    <border>
      <left/>
      <top/>
      <bottom/>
    </border>
    <border>
      <right/>
      <top/>
      <bottom/>
    </border>
    <border>
      <top style="thin">
        <color rgb="FFCBD5E0"/>
      </top>
    </border>
    <border>
      <right style="thin">
        <color rgb="FFCBD5E0"/>
      </right>
      <top style="thin">
        <color rgb="FFCBD5E0"/>
      </top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164" fontId="2" fillId="0" borderId="0" pivotButton="0" quotePrefix="0" xfId="0"/>
    <xf numFmtId="0" fontId="6" fillId="5" borderId="2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8" fillId="0" borderId="4" pivotButton="0" quotePrefix="0" xfId="0"/>
    <xf numFmtId="0" fontId="8" fillId="0" borderId="5" pivotButton="0" quotePrefix="0" xfId="0"/>
    <xf numFmtId="0" fontId="5" fillId="6" borderId="0" pivotButton="0" quotePrefix="0" xfId="0"/>
    <xf numFmtId="164" fontId="2" fillId="6" borderId="0" pivotButton="0" quotePrefix="0" xfId="0"/>
    <xf numFmtId="0" fontId="2" fillId="6" borderId="0" pivotButton="0" quotePrefix="0" xfId="0"/>
    <xf numFmtId="10" fontId="2" fillId="0" borderId="0" pivotButton="0" quotePrefix="0" xfId="0"/>
    <xf numFmtId="0" fontId="5" fillId="7" borderId="0" pivotButton="0" quotePrefix="0" xfId="0"/>
    <xf numFmtId="164" fontId="2" fillId="7" borderId="0" pivotButton="0" quotePrefix="0" xfId="0"/>
    <xf numFmtId="0" fontId="2" fillId="7" borderId="0" pivotButton="0" quotePrefix="0" xfId="0"/>
    <xf numFmtId="0" fontId="9" fillId="6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0" fontId="13" fillId="8" borderId="6" pivotButton="0" quotePrefix="0" xfId="0"/>
    <xf numFmtId="0" fontId="8" fillId="0" borderId="7" pivotButton="0" quotePrefix="0" xfId="0"/>
    <xf numFmtId="0" fontId="14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64" fontId="15" fillId="6" borderId="0" applyAlignment="1" pivotButton="0" quotePrefix="0" xfId="0">
      <alignment horizontal="right"/>
    </xf>
    <xf numFmtId="165" fontId="2" fillId="0" borderId="0" pivotButton="0" quotePrefix="0" xfId="0"/>
    <xf numFmtId="0" fontId="14" fillId="9" borderId="0" pivotButton="0" quotePrefix="0" xfId="0"/>
    <xf numFmtId="164" fontId="11" fillId="9" borderId="0" pivotButton="0" quotePrefix="0" xfId="0"/>
    <xf numFmtId="164" fontId="16" fillId="0" borderId="0" applyAlignment="1" pivotButton="0" quotePrefix="0" xfId="0">
      <alignment horizontal="right"/>
    </xf>
    <xf numFmtId="164" fontId="16" fillId="7" borderId="0" applyAlignment="1" pivotButton="0" quotePrefix="0" xfId="0">
      <alignment horizontal="right"/>
    </xf>
    <xf numFmtId="165" fontId="11" fillId="9" borderId="0" pivotButton="0" quotePrefix="0" xfId="0"/>
    <xf numFmtId="3" fontId="11" fillId="9" borderId="0" pivotButton="0" quotePrefix="0" xfId="0"/>
    <xf numFmtId="164" fontId="17" fillId="6" borderId="0" pivotButton="0" quotePrefix="0" xfId="0"/>
    <xf numFmtId="0" fontId="2" fillId="7" borderId="0" applyAlignment="1" pivotButton="0" quotePrefix="0" xfId="0">
      <alignment vertical="bottom"/>
    </xf>
    <xf numFmtId="0" fontId="11" fillId="0" borderId="0" applyAlignment="1" pivotButton="0" quotePrefix="0" xfId="0">
      <alignment horizontal="center"/>
    </xf>
    <xf numFmtId="165" fontId="11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0" fontId="14" fillId="8" borderId="0" pivotButton="0" quotePrefix="0" xfId="0"/>
    <xf numFmtId="0" fontId="13" fillId="8" borderId="0" pivotButton="0" quotePrefix="0" xfId="0"/>
    <xf numFmtId="4" fontId="11" fillId="9" borderId="0" pivotButton="0" quotePrefix="0" xfId="0"/>
    <xf numFmtId="0" fontId="14" fillId="0" borderId="0" pivotButton="0" quotePrefix="0" xfId="0"/>
    <xf numFmtId="0" fontId="3" fillId="1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164" fontId="9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8" fillId="0" borderId="0" applyAlignment="1" pivotButton="0" quotePrefix="0" xfId="0">
      <alignment horizontal="right"/>
    </xf>
    <xf numFmtId="0" fontId="19" fillId="0" borderId="0" pivotButton="0" quotePrefix="0" xfId="0"/>
    <xf numFmtId="0" fontId="20" fillId="11" borderId="1" applyAlignment="1" pivotButton="0" quotePrefix="0" xfId="0">
      <alignment horizontal="center" vertical="center"/>
    </xf>
    <xf numFmtId="0" fontId="21" fillId="12" borderId="1" pivotButton="0" quotePrefix="0" xfId="0"/>
    <xf numFmtId="0" fontId="22" fillId="9" borderId="0" pivotButton="0" quotePrefix="0" xfId="0"/>
    <xf numFmtId="164" fontId="23" fillId="13" borderId="0" pivotButton="0" quotePrefix="0" xfId="0"/>
    <xf numFmtId="165" fontId="23" fillId="13" borderId="0" pivotButton="0" quotePrefix="0" xfId="0"/>
    <xf numFmtId="3" fontId="23" fillId="13" borderId="0" pivotButton="0" quotePrefix="0" xfId="0"/>
    <xf numFmtId="0" fontId="22" fillId="8" borderId="0" pivotButton="0" quotePrefix="0" xfId="0"/>
    <xf numFmtId="0" fontId="21" fillId="12" borderId="0" pivotButton="0" quotePrefix="0" xfId="0"/>
    <xf numFmtId="4" fontId="23" fillId="13" borderId="0" pivotButton="0" quotePrefix="0" xfId="0"/>
    <xf numFmtId="0" fontId="22" fillId="0" borderId="0" pivotButton="0" quotePrefix="0" xfId="0"/>
    <xf numFmtId="0" fontId="5" fillId="14" borderId="0" pivotButton="0" quotePrefix="0" xfId="0"/>
    <xf numFmtId="164" fontId="2" fillId="14" borderId="0" pivotButton="0" quotePrefix="0" xfId="0"/>
    <xf numFmtId="0" fontId="2" fillId="14" borderId="0" pivotButton="0" quotePrefix="0" xfId="0"/>
    <xf numFmtId="0" fontId="5" fillId="15" borderId="0" pivotButton="0" quotePrefix="0" xfId="0"/>
    <xf numFmtId="164" fontId="2" fillId="15" borderId="0" pivotButton="0" quotePrefix="0" xfId="0"/>
    <xf numFmtId="0" fontId="2" fillId="15" borderId="0" pivotButton="0" quotePrefix="0" xfId="0"/>
    <xf numFmtId="0" fontId="9" fillId="14" borderId="0" applyAlignment="1" pivotButton="0" quotePrefix="0" xfId="0">
      <alignment horizontal="left" vertical="center"/>
    </xf>
    <xf numFmtId="0" fontId="9" fillId="14" borderId="0" applyAlignment="1" pivotButton="0" quotePrefix="0" xfId="0">
      <alignment horizontal="center" vertical="center"/>
    </xf>
    <xf numFmtId="0" fontId="9" fillId="14" borderId="0" applyAlignment="1" pivotButton="0" quotePrefix="0" xfId="0">
      <alignment horizontal="right" vertical="center"/>
    </xf>
    <xf numFmtId="164" fontId="9" fillId="14" borderId="0" applyAlignment="1" pivotButton="0" quotePrefix="0" xfId="0">
      <alignment horizontal="right" vertical="center"/>
    </xf>
    <xf numFmtId="0" fontId="2" fillId="15" borderId="0" applyAlignment="1" pivotButton="0" quotePrefix="0" xfId="0">
      <alignment vertical="bottom"/>
    </xf>
    <xf numFmtId="0" fontId="23" fillId="0" borderId="0" pivotButton="0" quotePrefix="0" xfId="0"/>
    <xf numFmtId="0" fontId="20" fillId="11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/>
    </xf>
    <xf numFmtId="3" fontId="23" fillId="13" borderId="0" applyAlignment="1" pivotButton="0" quotePrefix="0" xfId="0">
      <alignment horizontal="right"/>
    </xf>
    <xf numFmtId="164" fontId="23" fillId="13" borderId="0" applyAlignment="1" pivotButton="0" quotePrefix="0" xfId="0">
      <alignment horizontal="right"/>
    </xf>
    <xf numFmtId="164" fontId="25" fillId="14" borderId="0" applyAlignment="1" pivotButton="0" quotePrefix="0" xfId="0">
      <alignment horizontal="right"/>
    </xf>
    <xf numFmtId="165" fontId="25" fillId="14" borderId="0" applyAlignment="1" pivotButton="0" quotePrefix="0" xfId="0">
      <alignment horizontal="right"/>
    </xf>
    <xf numFmtId="165" fontId="23" fillId="13" borderId="0" applyAlignment="1" pivotButton="0" quotePrefix="0" xfId="0">
      <alignment horizontal="right"/>
    </xf>
    <xf numFmtId="164" fontId="24" fillId="14" borderId="0" pivotButton="0" quotePrefix="0" xfId="0"/>
    <xf numFmtId="164" fontId="26" fillId="15" borderId="0" applyAlignment="1" pivotButton="0" quotePrefix="0" xfId="0">
      <alignment horizontal="right"/>
    </xf>
    <xf numFmtId="165" fontId="26" fillId="15" borderId="0" applyAlignment="1" pivotButton="0" quotePrefix="0" xfId="0">
      <alignment horizontal="right"/>
    </xf>
    <xf numFmtId="165" fontId="24" fillId="14" borderId="0" pivotButton="0" quotePrefix="0" xfId="0"/>
    <xf numFmtId="0" fontId="22" fillId="12" borderId="0" applyAlignment="1" pivotButton="0" quotePrefix="0" xfId="0">
      <alignment horizontal="center"/>
    </xf>
    <xf numFmtId="3" fontId="23" fillId="12" borderId="0" applyAlignment="1" pivotButton="0" quotePrefix="0" xfId="0">
      <alignment horizontal="right"/>
    </xf>
    <xf numFmtId="164" fontId="23" fillId="12" borderId="0" applyAlignment="1" pivotButton="0" quotePrefix="0" xfId="0">
      <alignment horizontal="right"/>
    </xf>
    <xf numFmtId="164" fontId="22" fillId="12" borderId="0" applyAlignment="1" pivotButton="0" quotePrefix="0" xfId="0">
      <alignment horizontal="right"/>
    </xf>
    <xf numFmtId="165" fontId="22" fillId="12" borderId="0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164" fontId="23" fillId="0" borderId="0" applyAlignment="1" pivotButton="0" quotePrefix="0" xfId="0">
      <alignment horizontal="right"/>
    </xf>
    <xf numFmtId="165" fontId="23" fillId="0" borderId="0" applyAlignment="1" pivotButton="0" quotePrefix="0" xfId="0">
      <alignment horizontal="right"/>
    </xf>
    <xf numFmtId="164" fontId="27" fillId="1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Investment Allocation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'Dashboard'!$AA$4:$AA$13</f>
            </numRef>
          </cat>
          <val>
            <numRef>
              <f>'Dashboard'!$AB$4:$AB$13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 (Realized PnL)</a:t>
            </a:r>
          </a:p>
        </rich>
      </tx>
    </title>
    <plotArea>
      <lineChart>
        <grouping val="standard"/>
        <ser>
          <idx val="0"/>
          <order val="0"/>
          <tx>
            <strRef>
              <f>'HelperData'!B1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'HelperData'!$A$2:$A$12</f>
            </numRef>
          </cat>
          <val>
            <numRef>
              <f>'HelperData'!$B$2:$B$12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Realized PnL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14</row>
      <rowOff>0</rowOff>
    </from>
    <ext cx="504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57" min="1" max="3"/>
    <col width="32" customWidth="1" style="57" min="4" max="4"/>
    <col width="8.710000000000001" customWidth="1" style="57" min="5" max="6"/>
  </cols>
  <sheetData>
    <row r="1" ht="39.75" customHeight="1" s="57">
      <c r="A1" s="1" t="inlineStr">
        <is>
          <t>HSTS - HALAL SWING TRADING SYSTEM PLAYBOOK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4" customHeight="1" s="57">
      <c r="A3" s="5" t="inlineStr">
        <is>
          <t>1. SYSTEM OVERVIEW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57">
      <c r="A4" s="8" t="inlineStr">
        <is>
          <t>System Type</t>
        </is>
      </c>
      <c r="B4" s="58" t="inlineStr">
        <is>
          <t>Rule-based quantitative Swing Trading system optimized for momentum setups.</t>
        </is>
      </c>
      <c r="C4" s="59" t="n"/>
      <c r="D4" s="60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9.5" customHeight="1" s="57">
      <c r="A5" s="8" t="inlineStr">
        <is>
          <t>Asset Class</t>
        </is>
      </c>
      <c r="B5" s="58" t="inlineStr">
        <is>
          <t>Indian Equities listed on NSE and BSE.</t>
        </is>
      </c>
      <c r="C5" s="59" t="n"/>
      <c r="D5" s="60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9.5" customHeight="1" s="57">
      <c r="A6" s="8" t="inlineStr">
        <is>
          <t>Target Universe</t>
        </is>
      </c>
      <c r="B6" s="58" t="inlineStr">
        <is>
          <t>Sharia-compliant stocks with high liquidity (Market Cap &gt; ₹500 Cr, Average Daily Volume &gt; 100,000).</t>
        </is>
      </c>
      <c r="C6" s="59" t="n"/>
      <c r="D6" s="60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7">
      <c r="A7" s="8" t="inlineStr">
        <is>
          <t>Trading Regime</t>
        </is>
      </c>
      <c r="B7" s="58" t="inlineStr">
        <is>
          <t>Adaptive momentum filters powered by custom trend, volatility, volume, and levels weights.</t>
        </is>
      </c>
      <c r="C7" s="59" t="n"/>
      <c r="D7" s="60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4" customHeight="1" s="57">
      <c r="A9" s="5" t="inlineStr">
        <is>
          <t>2. SHARIA COMPLIANCE RULES (AAOIFI STANDARDS)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9.5" customHeight="1" s="57">
      <c r="A10" s="8" t="inlineStr">
        <is>
          <t>Sector Exclusions</t>
        </is>
      </c>
      <c r="B10" s="58" t="inlineStr">
        <is>
          <t>Conventional Financial Services (Banks, Credit Services, Insurance), Tobacco, Alcohol, Brewers/Wineries, Gambling.</t>
        </is>
      </c>
      <c r="C10" s="59" t="n"/>
      <c r="D10" s="60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9.5" customHeight="1" s="57">
      <c r="A11" s="8" t="inlineStr">
        <is>
          <t>Debt Ratio Limit</t>
        </is>
      </c>
      <c r="B11" s="58" t="inlineStr">
        <is>
          <t>Total Long Term &amp; Short Term Debt / Total Assets must be strictly less than 33%.</t>
        </is>
      </c>
      <c r="C11" s="59" t="n"/>
      <c r="D11" s="60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9.5" customHeight="1" s="57">
      <c r="A12" s="8" t="inlineStr">
        <is>
          <t>Cash Ratio Limit</t>
        </is>
      </c>
      <c r="B12" s="58" t="inlineStr">
        <is>
          <t>Cash And Cash Equivalents &amp; Short Term Investments / Total Assets must be strictly less than 33%.</t>
        </is>
      </c>
      <c r="C12" s="59" t="n"/>
      <c r="D12" s="60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9.5" customHeight="1" s="57">
      <c r="A13" s="8" t="inlineStr">
        <is>
          <t>Receivables Ratio</t>
        </is>
      </c>
      <c r="B13" s="58" t="inlineStr">
        <is>
          <t>Net Receivables / Total Assets must be strictly less than 49%.</t>
        </is>
      </c>
      <c r="C13" s="59" t="n"/>
      <c r="D13" s="60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9.5" customHeight="1" s="57">
      <c r="A14" s="8" t="inlineStr">
        <is>
          <t>Non-Permissible Income</t>
        </is>
      </c>
      <c r="B14" s="58" t="inlineStr">
        <is>
          <t>Interest and Haram non-operating income / Total Revenue must be strictly less than 5%.</t>
        </is>
      </c>
      <c r="C14" s="59" t="n"/>
      <c r="D14" s="60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4" customHeight="1" s="57">
      <c r="A16" s="5" t="inlineStr">
        <is>
          <t>3. RISK &amp; POSITION SIZING CONTROLS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5.5" customHeight="1" s="57">
      <c r="A17" s="8" t="inlineStr">
        <is>
          <t>Capital Control</t>
        </is>
      </c>
      <c r="B17" s="58" t="inlineStr">
        <is>
          <t>Position sizing is dynamically calculated based on the actual Capital Available for Trading in this journal.</t>
        </is>
      </c>
      <c r="C17" s="59" t="n"/>
      <c r="D17" s="60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9.5" customHeight="1" s="57">
      <c r="A18" s="8" t="inlineStr">
        <is>
          <t>Allocation Cap</t>
        </is>
      </c>
      <c r="B18" s="58" t="inlineStr">
        <is>
          <t>Maximum capital allocated per trade is strictly capped at 20% of your total available account balance.</t>
        </is>
      </c>
      <c r="C18" s="59" t="n"/>
      <c r="D18" s="60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9.5" customHeight="1" s="57">
      <c r="A19" s="8" t="inlineStr">
        <is>
          <t>Stop Loss (SL)</t>
        </is>
      </c>
      <c r="B19" s="58" t="inlineStr">
        <is>
          <t>Calculated dynamically using volatility (ATR / 200 EMA bounds) to guarantee downside protection.</t>
        </is>
      </c>
      <c r="C19" s="59" t="n"/>
      <c r="D19" s="60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9.5" customHeight="1" s="57">
      <c r="A20" s="8" t="inlineStr">
        <is>
          <t>Target Price (T1)</t>
        </is>
      </c>
      <c r="B20" s="58" t="inlineStr">
        <is>
          <t>Calculated using volatility metrics to target a minimum Risk-to-Reward ratio of 1:2.0.</t>
        </is>
      </c>
      <c r="C20" s="59" t="n"/>
      <c r="D20" s="60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9.5" customHeight="1" s="57">
      <c r="A21" s="8" t="inlineStr">
        <is>
          <t>Market Regime Filter</t>
        </is>
      </c>
      <c r="B21" s="58" t="inlineStr">
        <is>
          <t>Bullish: Nifty 50 &gt; 200 EMA (Trades permitted). Bearish: Nifty 50 &lt; 200 EMA (Long entries strictly skipped).</t>
        </is>
      </c>
      <c r="C21" s="59" t="n"/>
      <c r="D21" s="60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57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4" customHeight="1" s="57">
      <c r="A23" s="5" t="inlineStr">
        <is>
          <t>4. SYSTEM EXECUTION COMMANDS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32.25" customHeight="1" s="57">
      <c r="A24" s="8" t="inlineStr">
        <is>
          <t>Allocation Cap</t>
        </is>
      </c>
      <c r="B24" s="58" t="inlineStr">
        <is>
          <t>State-dependent: 20% max in State 1 (Macro Bullish); 10% max in State 2 (Bear Relief Rally) &amp; State 3 (Capitulation Bottom); 0% in State 4 (Cash Only).</t>
        </is>
      </c>
      <c r="C24" s="59" t="n"/>
      <c r="D24" s="60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8.5" customHeight="1" s="57">
      <c r="A25" s="8" t="inlineStr">
        <is>
          <t>EOD Sync</t>
        </is>
      </c>
      <c r="B25" s="58" t="inlineStr">
        <is>
          <t>Run: py main.py sync-zerodha-orders  (Auto-syncs filled orders from Zerodha Kite, updates Ledger and Capital sheet)</t>
        </is>
      </c>
      <c r="C25" s="59" t="n"/>
      <c r="D25" s="60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9.5" customHeight="1" s="57">
      <c r="A26" s="8" t="inlineStr">
        <is>
          <t>BSE Scan Expansion</t>
        </is>
      </c>
      <c r="B26" s="58" t="inlineStr">
        <is>
          <t>Run: py scratch/scan_all_bse.py  (Scans BSE equities to expand the Sharia-compliant universe)</t>
        </is>
      </c>
      <c r="C26" s="59" t="n"/>
      <c r="D26" s="60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9.25" customHeight="1" s="57">
      <c r="A27" s="8" t="inlineStr">
        <is>
          <t>Market Regime Filter</t>
        </is>
      </c>
      <c r="B27" s="58" t="inlineStr">
        <is>
          <t>Adaptive 4-State Engine: State 1 (Nifty &gt; 200 EMA); State 2 (Nifty &lt; 200 EMA, Nifty &gt; 20 EMA, Breadth &gt; 40%); State 3 (Nifty &lt; 200 EMA, RSI &lt;= 35); State 4 (All other Bearish states).</t>
        </is>
      </c>
      <c r="C27" s="59" t="n"/>
      <c r="D27" s="60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2.25" customHeight="1" s="57">
      <c r="A28" s="8" t="inlineStr">
        <is>
          <t>Broker Integration</t>
        </is>
      </c>
      <c r="B28" s="58" t="inlineStr">
        <is>
          <t>Uses custom Zerodha Web Adapter (totp_secret &amp; enctoken verification) to execute zero-cost trades without subscription.</t>
        </is>
      </c>
      <c r="C28" s="59" t="n"/>
      <c r="D28" s="60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57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57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57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57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57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57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57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57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5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57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57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57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5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4" customHeight="1" s="57">
      <c r="A42" s="5" t="inlineStr">
        <is>
          <t>5. TARGET UNIVERSE &amp; LIQUIDITY FILTERS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9.5" customHeight="1" s="57">
      <c r="A43" s="8" t="inlineStr">
        <is>
          <t>Total Listed Equities</t>
        </is>
      </c>
      <c r="B43" s="58" t="inlineStr">
        <is>
          <t>7,500+ stocks across NSE and BSE combined.</t>
        </is>
      </c>
      <c r="C43" s="59" t="n"/>
      <c r="D43" s="60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9.5" customHeight="1" s="57">
      <c r="A44" s="8" t="inlineStr">
        <is>
          <t>Sharia-Compliant</t>
        </is>
      </c>
      <c r="B44" s="58" t="inlineStr">
        <is>
          <t>2,000+ stocks pass business and financial ratio exclusions (approx. 30-35% of Indian market).</t>
        </is>
      </c>
      <c r="C44" s="59" t="n"/>
      <c r="D44" s="60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9.5" customHeight="1" s="57">
      <c r="A45" s="8" t="inlineStr">
        <is>
          <t>HSTS Filtered Universe</t>
        </is>
      </c>
      <c r="B45" s="58" t="inlineStr">
        <is>
          <t>545 stocks verified as both Sharia-compliant and highly liquid for swing trading.</t>
        </is>
      </c>
      <c r="C45" s="59" t="n"/>
      <c r="D45" s="60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9.5" customHeight="1" s="57">
      <c r="A46" s="8" t="inlineStr">
        <is>
          <t>Liquidity Pre-Filter</t>
        </is>
      </c>
      <c r="B46" s="58" t="inlineStr">
        <is>
          <t>Market Capitalization &gt; INR 500 Crore AND Average Daily Volume &gt; 100,000 shares.</t>
        </is>
      </c>
      <c r="C46" s="59" t="n"/>
      <c r="D46" s="60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9.5" customHeight="1" s="57">
      <c r="A47" s="8" t="inlineStr">
        <is>
          <t>Protection Rationale</t>
        </is>
      </c>
      <c r="B47" s="58" t="inlineStr">
        <is>
          <t>Filters out volatile micro-caps and penny stocks, minimizing execution slippage and preventing lower-circuit lock-ins.</t>
        </is>
      </c>
      <c r="C47" s="59" t="n"/>
      <c r="D47" s="60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5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5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5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5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5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5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5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5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5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5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5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5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5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5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5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5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5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5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5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5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5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5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5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5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5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5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5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5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5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5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5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5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5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5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5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5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5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5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5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5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5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5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5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5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5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5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5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5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5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5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5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5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5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5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5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5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5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5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5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5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5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5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5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5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5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5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5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5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5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5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5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5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5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5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5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5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5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5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5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5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5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5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5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5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5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5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5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5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5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5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5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5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5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5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5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5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5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5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5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5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5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5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5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5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5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5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5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5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5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5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5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5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5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5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5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5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5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5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5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5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5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5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5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5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5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5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5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5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5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5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5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5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5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5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5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5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5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5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5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5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5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5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5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5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5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5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5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5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5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5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5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5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5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5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5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5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5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5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5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5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5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5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5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5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5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5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5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5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5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5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5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5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5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5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5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5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5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5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5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5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5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5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5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5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5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5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5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5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5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5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5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5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5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57">
      <c r="A248" s="2" t="n"/>
      <c r="B248" s="2" t="n"/>
      <c r="C248" s="2" t="n"/>
      <c r="D248" s="2" t="n"/>
      <c r="E248" s="2" t="n"/>
      <c r="F248" s="2" t="n"/>
    </row>
    <row r="249" ht="15.75" customHeight="1" s="57">
      <c r="A249" s="2" t="n"/>
      <c r="B249" s="2" t="n"/>
      <c r="C249" s="2" t="n"/>
      <c r="D249" s="2" t="n"/>
      <c r="E249" s="2" t="n"/>
      <c r="F249" s="2" t="n"/>
    </row>
    <row r="250" ht="15.75" customHeight="1" s="57">
      <c r="A250" s="2" t="n"/>
      <c r="B250" s="2" t="n"/>
      <c r="C250" s="2" t="n"/>
      <c r="D250" s="2" t="n"/>
      <c r="E250" s="2" t="n"/>
      <c r="F250" s="2" t="n"/>
    </row>
    <row r="251" ht="15.75" customHeight="1" s="57">
      <c r="A251" s="2" t="n"/>
      <c r="B251" s="2" t="n"/>
      <c r="C251" s="2" t="n"/>
      <c r="D251" s="2" t="n"/>
      <c r="E251" s="2" t="n"/>
      <c r="F251" s="2" t="n"/>
    </row>
    <row r="252" ht="15.75" customHeight="1" s="57">
      <c r="A252" s="2" t="n"/>
      <c r="B252" s="2" t="n"/>
      <c r="C252" s="2" t="n"/>
      <c r="D252" s="2" t="n"/>
      <c r="E252" s="2" t="n"/>
      <c r="F252" s="2" t="n"/>
    </row>
    <row r="253" ht="15.75" customHeight="1" s="57">
      <c r="A253" s="2" t="n"/>
      <c r="B253" s="2" t="n"/>
      <c r="C253" s="2" t="n"/>
      <c r="D253" s="2" t="n"/>
      <c r="E253" s="2" t="n"/>
      <c r="F253" s="2" t="n"/>
    </row>
    <row r="254" ht="15.75" customHeight="1" s="57">
      <c r="A254" s="2" t="n"/>
      <c r="B254" s="2" t="n"/>
      <c r="C254" s="2" t="n"/>
      <c r="D254" s="2" t="n"/>
      <c r="E254" s="2" t="n"/>
      <c r="F254" s="2" t="n"/>
    </row>
    <row r="255" ht="15.75" customHeight="1" s="57">
      <c r="A255" s="2" t="n"/>
      <c r="B255" s="2" t="n"/>
      <c r="C255" s="2" t="n"/>
      <c r="D255" s="2" t="n"/>
      <c r="E255" s="2" t="n"/>
      <c r="F255" s="2" t="n"/>
    </row>
    <row r="256" ht="15.75" customHeight="1" s="57">
      <c r="A256" s="2" t="n"/>
      <c r="B256" s="2" t="n"/>
      <c r="C256" s="2" t="n"/>
      <c r="D256" s="2" t="n"/>
      <c r="E256" s="2" t="n"/>
      <c r="F256" s="2" t="n"/>
    </row>
    <row r="257" ht="15.75" customHeight="1" s="57">
      <c r="A257" s="2" t="n"/>
      <c r="B257" s="2" t="n"/>
      <c r="C257" s="2" t="n"/>
      <c r="D257" s="2" t="n"/>
      <c r="E257" s="2" t="n"/>
      <c r="F257" s="2" t="n"/>
    </row>
    <row r="258" ht="15.75" customHeight="1" s="57">
      <c r="A258" s="2" t="n"/>
      <c r="B258" s="2" t="n"/>
      <c r="C258" s="2" t="n"/>
      <c r="D258" s="2" t="n"/>
      <c r="E258" s="2" t="n"/>
      <c r="F258" s="2" t="n"/>
    </row>
    <row r="259" ht="15.75" customHeight="1" s="57">
      <c r="A259" s="2" t="n"/>
      <c r="B259" s="2" t="n"/>
      <c r="C259" s="2" t="n"/>
      <c r="D259" s="2" t="n"/>
      <c r="E259" s="2" t="n"/>
      <c r="F259" s="2" t="n"/>
    </row>
    <row r="260" ht="15.75" customHeight="1" s="57">
      <c r="A260" s="2" t="n"/>
      <c r="B260" s="2" t="n"/>
      <c r="C260" s="2" t="n"/>
      <c r="D260" s="2" t="n"/>
      <c r="E260" s="2" t="n"/>
      <c r="F260" s="2" t="n"/>
    </row>
    <row r="261" ht="15.75" customHeight="1" s="57">
      <c r="A261" s="2" t="n"/>
      <c r="B261" s="2" t="n"/>
      <c r="C261" s="2" t="n"/>
      <c r="D261" s="2" t="n"/>
      <c r="E261" s="2" t="n"/>
      <c r="F261" s="2" t="n"/>
    </row>
    <row r="262" ht="15.75" customHeight="1" s="57">
      <c r="A262" s="2" t="n"/>
      <c r="B262" s="2" t="n"/>
      <c r="C262" s="2" t="n"/>
      <c r="D262" s="2" t="n"/>
      <c r="E262" s="2" t="n"/>
      <c r="F262" s="2" t="n"/>
    </row>
    <row r="263" ht="15.75" customHeight="1" s="57">
      <c r="A263" s="2" t="n"/>
      <c r="B263" s="2" t="n"/>
      <c r="C263" s="2" t="n"/>
      <c r="D263" s="2" t="n"/>
      <c r="E263" s="2" t="n"/>
      <c r="F263" s="2" t="n"/>
    </row>
    <row r="264" ht="15.75" customHeight="1" s="57">
      <c r="A264" s="2" t="n"/>
      <c r="B264" s="2" t="n"/>
      <c r="C264" s="2" t="n"/>
      <c r="D264" s="2" t="n"/>
      <c r="E264" s="2" t="n"/>
      <c r="F264" s="2" t="n"/>
    </row>
    <row r="265" ht="15.75" customHeight="1" s="57">
      <c r="A265" s="2" t="n"/>
      <c r="B265" s="2" t="n"/>
      <c r="C265" s="2" t="n"/>
      <c r="D265" s="2" t="n"/>
      <c r="E265" s="2" t="n"/>
      <c r="F265" s="2" t="n"/>
    </row>
    <row r="266" ht="15.75" customHeight="1" s="57">
      <c r="A266" s="2" t="n"/>
      <c r="B266" s="2" t="n"/>
      <c r="C266" s="2" t="n"/>
      <c r="D266" s="2" t="n"/>
      <c r="E266" s="2" t="n"/>
      <c r="F266" s="2" t="n"/>
    </row>
    <row r="267" ht="15.75" customHeight="1" s="57">
      <c r="A267" s="2" t="n"/>
      <c r="B267" s="2" t="n"/>
      <c r="C267" s="2" t="n"/>
      <c r="D267" s="2" t="n"/>
      <c r="E267" s="2" t="n"/>
      <c r="F267" s="2" t="n"/>
    </row>
    <row r="268" ht="15.75" customHeight="1" s="57">
      <c r="A268" s="2" t="n"/>
      <c r="B268" s="2" t="n"/>
      <c r="C268" s="2" t="n"/>
      <c r="D268" s="2" t="n"/>
      <c r="E268" s="2" t="n"/>
      <c r="F268" s="2" t="n"/>
    </row>
    <row r="269" ht="15.75" customHeight="1" s="57">
      <c r="A269" s="2" t="n"/>
      <c r="B269" s="2" t="n"/>
      <c r="C269" s="2" t="n"/>
      <c r="D269" s="2" t="n"/>
      <c r="E269" s="2" t="n"/>
      <c r="F269" s="2" t="n"/>
    </row>
    <row r="270" ht="15.75" customHeight="1" s="57">
      <c r="A270" s="2" t="n"/>
      <c r="B270" s="2" t="n"/>
      <c r="C270" s="2" t="n"/>
      <c r="D270" s="2" t="n"/>
      <c r="E270" s="2" t="n"/>
      <c r="F270" s="2" t="n"/>
    </row>
    <row r="271" ht="15.75" customHeight="1" s="57">
      <c r="A271" s="2" t="n"/>
      <c r="B271" s="2" t="n"/>
      <c r="C271" s="2" t="n"/>
      <c r="D271" s="2" t="n"/>
      <c r="E271" s="2" t="n"/>
      <c r="F271" s="2" t="n"/>
    </row>
    <row r="272" ht="15.75" customHeight="1" s="57">
      <c r="A272" s="2" t="n"/>
      <c r="B272" s="2" t="n"/>
      <c r="C272" s="2" t="n"/>
      <c r="D272" s="2" t="n"/>
      <c r="E272" s="2" t="n"/>
      <c r="F272" s="2" t="n"/>
    </row>
    <row r="273" ht="15.75" customHeight="1" s="57">
      <c r="A273" s="2" t="n"/>
      <c r="B273" s="2" t="n"/>
      <c r="C273" s="2" t="n"/>
      <c r="D273" s="2" t="n"/>
      <c r="E273" s="2" t="n"/>
      <c r="F273" s="2" t="n"/>
    </row>
    <row r="274" ht="15.75" customHeight="1" s="57">
      <c r="A274" s="2" t="n"/>
      <c r="B274" s="2" t="n"/>
      <c r="C274" s="2" t="n"/>
      <c r="D274" s="2" t="n"/>
      <c r="E274" s="2" t="n"/>
      <c r="F274" s="2" t="n"/>
    </row>
    <row r="275" ht="15.75" customHeight="1" s="57">
      <c r="A275" s="2" t="n"/>
      <c r="B275" s="2" t="n"/>
      <c r="C275" s="2" t="n"/>
      <c r="D275" s="2" t="n"/>
      <c r="E275" s="2" t="n"/>
      <c r="F275" s="2" t="n"/>
    </row>
    <row r="276" ht="15.75" customHeight="1" s="57">
      <c r="A276" s="2" t="n"/>
      <c r="B276" s="2" t="n"/>
      <c r="C276" s="2" t="n"/>
      <c r="D276" s="2" t="n"/>
      <c r="E276" s="2" t="n"/>
      <c r="F276" s="2" t="n"/>
    </row>
    <row r="277" ht="15.75" customHeight="1" s="57">
      <c r="A277" s="2" t="n"/>
      <c r="B277" s="2" t="n"/>
      <c r="C277" s="2" t="n"/>
      <c r="D277" s="2" t="n"/>
      <c r="E277" s="2" t="n"/>
      <c r="F277" s="2" t="n"/>
    </row>
    <row r="278" ht="15.75" customHeight="1" s="57">
      <c r="A278" s="2" t="n"/>
      <c r="B278" s="2" t="n"/>
      <c r="C278" s="2" t="n"/>
      <c r="D278" s="2" t="n"/>
      <c r="E278" s="2" t="n"/>
      <c r="F278" s="2" t="n"/>
    </row>
    <row r="279" ht="15.75" customHeight="1" s="57">
      <c r="A279" s="2" t="n"/>
      <c r="B279" s="2" t="n"/>
      <c r="C279" s="2" t="n"/>
      <c r="D279" s="2" t="n"/>
      <c r="E279" s="2" t="n"/>
      <c r="F279" s="2" t="n"/>
    </row>
    <row r="280" ht="15.75" customHeight="1" s="57">
      <c r="A280" s="2" t="n"/>
      <c r="B280" s="2" t="n"/>
      <c r="C280" s="2" t="n"/>
      <c r="D280" s="2" t="n"/>
      <c r="E280" s="2" t="n"/>
      <c r="F280" s="2" t="n"/>
    </row>
    <row r="281" ht="15.75" customHeight="1" s="57">
      <c r="A281" s="2" t="n"/>
      <c r="B281" s="2" t="n"/>
      <c r="C281" s="2" t="n"/>
      <c r="D281" s="2" t="n"/>
      <c r="E281" s="2" t="n"/>
      <c r="F281" s="2" t="n"/>
    </row>
    <row r="282" ht="15.75" customHeight="1" s="57">
      <c r="A282" s="2" t="n"/>
      <c r="B282" s="2" t="n"/>
      <c r="C282" s="2" t="n"/>
      <c r="D282" s="2" t="n"/>
      <c r="E282" s="2" t="n"/>
      <c r="F282" s="2" t="n"/>
    </row>
    <row r="283" ht="15.75" customHeight="1" s="57">
      <c r="A283" s="2" t="n"/>
      <c r="B283" s="2" t="n"/>
      <c r="C283" s="2" t="n"/>
      <c r="D283" s="2" t="n"/>
      <c r="E283" s="2" t="n"/>
      <c r="F283" s="2" t="n"/>
    </row>
    <row r="284" ht="15.75" customHeight="1" s="57">
      <c r="A284" s="2" t="n"/>
      <c r="B284" s="2" t="n"/>
      <c r="C284" s="2" t="n"/>
      <c r="D284" s="2" t="n"/>
      <c r="E284" s="2" t="n"/>
      <c r="F284" s="2" t="n"/>
    </row>
    <row r="285" ht="15.75" customHeight="1" s="57">
      <c r="A285" s="2" t="n"/>
      <c r="B285" s="2" t="n"/>
      <c r="C285" s="2" t="n"/>
      <c r="D285" s="2" t="n"/>
      <c r="E285" s="2" t="n"/>
      <c r="F285" s="2" t="n"/>
    </row>
    <row r="286" ht="15.75" customHeight="1" s="57">
      <c r="A286" s="2" t="n"/>
      <c r="B286" s="2" t="n"/>
      <c r="C286" s="2" t="n"/>
      <c r="D286" s="2" t="n"/>
      <c r="E286" s="2" t="n"/>
      <c r="F286" s="2" t="n"/>
    </row>
    <row r="287" ht="15.75" customHeight="1" s="57">
      <c r="A287" s="2" t="n"/>
      <c r="B287" s="2" t="n"/>
      <c r="C287" s="2" t="n"/>
      <c r="D287" s="2" t="n"/>
      <c r="E287" s="2" t="n"/>
      <c r="F287" s="2" t="n"/>
    </row>
    <row r="288" ht="15.75" customHeight="1" s="57">
      <c r="A288" s="2" t="n"/>
      <c r="B288" s="2" t="n"/>
      <c r="C288" s="2" t="n"/>
      <c r="D288" s="2" t="n"/>
      <c r="E288" s="2" t="n"/>
      <c r="F288" s="2" t="n"/>
    </row>
    <row r="289" ht="15.75" customHeight="1" s="57">
      <c r="A289" s="2" t="n"/>
      <c r="B289" s="2" t="n"/>
      <c r="C289" s="2" t="n"/>
      <c r="D289" s="2" t="n"/>
      <c r="E289" s="2" t="n"/>
      <c r="F289" s="2" t="n"/>
    </row>
    <row r="290" ht="15.75" customHeight="1" s="57">
      <c r="A290" s="2" t="n"/>
      <c r="B290" s="2" t="n"/>
      <c r="C290" s="2" t="n"/>
      <c r="D290" s="2" t="n"/>
      <c r="E290" s="2" t="n"/>
      <c r="F290" s="2" t="n"/>
    </row>
    <row r="291" ht="15.75" customHeight="1" s="57">
      <c r="A291" s="2" t="n"/>
      <c r="B291" s="2" t="n"/>
      <c r="C291" s="2" t="n"/>
      <c r="D291" s="2" t="n"/>
      <c r="E291" s="2" t="n"/>
      <c r="F291" s="2" t="n"/>
    </row>
    <row r="292" ht="15.75" customHeight="1" s="57">
      <c r="A292" s="2" t="n"/>
      <c r="B292" s="2" t="n"/>
      <c r="C292" s="2" t="n"/>
      <c r="D292" s="2" t="n"/>
      <c r="E292" s="2" t="n"/>
      <c r="F292" s="2" t="n"/>
    </row>
    <row r="293" ht="15.75" customHeight="1" s="57">
      <c r="A293" s="2" t="n"/>
      <c r="B293" s="2" t="n"/>
      <c r="C293" s="2" t="n"/>
      <c r="D293" s="2" t="n"/>
      <c r="E293" s="2" t="n"/>
      <c r="F293" s="2" t="n"/>
    </row>
    <row r="294" ht="15.75" customHeight="1" s="57">
      <c r="A294" s="2" t="n"/>
      <c r="B294" s="2" t="n"/>
      <c r="C294" s="2" t="n"/>
      <c r="D294" s="2" t="n"/>
      <c r="E294" s="2" t="n"/>
      <c r="F294" s="2" t="n"/>
    </row>
    <row r="295" ht="15.75" customHeight="1" s="57">
      <c r="A295" s="2" t="n"/>
      <c r="B295" s="2" t="n"/>
      <c r="C295" s="2" t="n"/>
      <c r="D295" s="2" t="n"/>
      <c r="E295" s="2" t="n"/>
      <c r="F295" s="2" t="n"/>
    </row>
    <row r="296" ht="15.75" customHeight="1" s="57">
      <c r="A296" s="2" t="n"/>
      <c r="B296" s="2" t="n"/>
      <c r="C296" s="2" t="n"/>
      <c r="D296" s="2" t="n"/>
      <c r="E296" s="2" t="n"/>
      <c r="F296" s="2" t="n"/>
    </row>
    <row r="297" ht="15.75" customHeight="1" s="57">
      <c r="A297" s="2" t="n"/>
      <c r="B297" s="2" t="n"/>
      <c r="C297" s="2" t="n"/>
      <c r="D297" s="2" t="n"/>
      <c r="E297" s="2" t="n"/>
      <c r="F297" s="2" t="n"/>
    </row>
    <row r="298" ht="15.75" customHeight="1" s="57">
      <c r="A298" s="2" t="n"/>
      <c r="B298" s="2" t="n"/>
      <c r="C298" s="2" t="n"/>
      <c r="D298" s="2" t="n"/>
      <c r="E298" s="2" t="n"/>
      <c r="F298" s="2" t="n"/>
    </row>
    <row r="299" ht="15.75" customHeight="1" s="57">
      <c r="A299" s="2" t="n"/>
      <c r="B299" s="2" t="n"/>
      <c r="C299" s="2" t="n"/>
      <c r="D299" s="2" t="n"/>
      <c r="E299" s="2" t="n"/>
      <c r="F299" s="2" t="n"/>
    </row>
    <row r="300" ht="15.75" customHeight="1" s="57">
      <c r="A300" s="2" t="n"/>
      <c r="B300" s="2" t="n"/>
      <c r="C300" s="2" t="n"/>
      <c r="D300" s="2" t="n"/>
      <c r="E300" s="2" t="n"/>
      <c r="F300" s="2" t="n"/>
    </row>
    <row r="301" ht="15.75" customHeight="1" s="57">
      <c r="A301" s="2" t="n"/>
      <c r="B301" s="2" t="n"/>
      <c r="C301" s="2" t="n"/>
      <c r="D301" s="2" t="n"/>
      <c r="E301" s="2" t="n"/>
      <c r="F301" s="2" t="n"/>
    </row>
    <row r="302" ht="15.75" customHeight="1" s="57">
      <c r="A302" s="2" t="n"/>
      <c r="B302" s="2" t="n"/>
      <c r="C302" s="2" t="n"/>
      <c r="D302" s="2" t="n"/>
      <c r="E302" s="2" t="n"/>
      <c r="F302" s="2" t="n"/>
    </row>
    <row r="303" ht="15.75" customHeight="1" s="57">
      <c r="A303" s="2" t="n"/>
      <c r="B303" s="2" t="n"/>
      <c r="C303" s="2" t="n"/>
      <c r="D303" s="2" t="n"/>
      <c r="E303" s="2" t="n"/>
      <c r="F303" s="2" t="n"/>
    </row>
    <row r="304" ht="15.75" customHeight="1" s="57">
      <c r="A304" s="2" t="n"/>
      <c r="B304" s="2" t="n"/>
      <c r="C304" s="2" t="n"/>
      <c r="D304" s="2" t="n"/>
      <c r="E304" s="2" t="n"/>
      <c r="F304" s="2" t="n"/>
    </row>
    <row r="305" ht="15.75" customHeight="1" s="57">
      <c r="A305" s="2" t="n"/>
      <c r="B305" s="2" t="n"/>
      <c r="C305" s="2" t="n"/>
      <c r="D305" s="2" t="n"/>
      <c r="E305" s="2" t="n"/>
      <c r="F305" s="2" t="n"/>
    </row>
    <row r="306" ht="15.75" customHeight="1" s="57">
      <c r="A306" s="2" t="n"/>
      <c r="B306" s="2" t="n"/>
      <c r="C306" s="2" t="n"/>
      <c r="D306" s="2" t="n"/>
      <c r="E306" s="2" t="n"/>
      <c r="F306" s="2" t="n"/>
    </row>
    <row r="307" ht="15.75" customHeight="1" s="57">
      <c r="A307" s="2" t="n"/>
      <c r="B307" s="2" t="n"/>
      <c r="C307" s="2" t="n"/>
      <c r="D307" s="2" t="n"/>
      <c r="E307" s="2" t="n"/>
      <c r="F307" s="2" t="n"/>
    </row>
    <row r="308" ht="15.75" customHeight="1" s="57">
      <c r="A308" s="2" t="n"/>
      <c r="B308" s="2" t="n"/>
      <c r="C308" s="2" t="n"/>
      <c r="D308" s="2" t="n"/>
      <c r="E308" s="2" t="n"/>
      <c r="F308" s="2" t="n"/>
    </row>
    <row r="309" ht="15.75" customHeight="1" s="57">
      <c r="A309" s="2" t="n"/>
      <c r="B309" s="2" t="n"/>
      <c r="C309" s="2" t="n"/>
      <c r="D309" s="2" t="n"/>
      <c r="E309" s="2" t="n"/>
      <c r="F309" s="2" t="n"/>
    </row>
    <row r="310" ht="15.75" customHeight="1" s="57">
      <c r="A310" s="2" t="n"/>
      <c r="B310" s="2" t="n"/>
      <c r="C310" s="2" t="n"/>
      <c r="D310" s="2" t="n"/>
      <c r="E310" s="2" t="n"/>
      <c r="F310" s="2" t="n"/>
    </row>
    <row r="311" ht="15.75" customHeight="1" s="57">
      <c r="A311" s="2" t="n"/>
      <c r="B311" s="2" t="n"/>
      <c r="C311" s="2" t="n"/>
      <c r="D311" s="2" t="n"/>
      <c r="E311" s="2" t="n"/>
      <c r="F311" s="2" t="n"/>
    </row>
    <row r="312" ht="15.75" customHeight="1" s="57">
      <c r="A312" s="2" t="n"/>
      <c r="B312" s="2" t="n"/>
      <c r="C312" s="2" t="n"/>
      <c r="D312" s="2" t="n"/>
      <c r="E312" s="2" t="n"/>
      <c r="F312" s="2" t="n"/>
    </row>
    <row r="313" ht="15.75" customHeight="1" s="57">
      <c r="A313" s="2" t="n"/>
      <c r="B313" s="2" t="n"/>
      <c r="C313" s="2" t="n"/>
      <c r="D313" s="2" t="n"/>
      <c r="E313" s="2" t="n"/>
      <c r="F313" s="2" t="n"/>
    </row>
    <row r="314" ht="15.75" customHeight="1" s="57">
      <c r="A314" s="2" t="n"/>
      <c r="B314" s="2" t="n"/>
      <c r="C314" s="2" t="n"/>
      <c r="D314" s="2" t="n"/>
      <c r="E314" s="2" t="n"/>
      <c r="F314" s="2" t="n"/>
    </row>
    <row r="315" ht="15.75" customHeight="1" s="57">
      <c r="A315" s="2" t="n"/>
      <c r="B315" s="2" t="n"/>
      <c r="C315" s="2" t="n"/>
      <c r="D315" s="2" t="n"/>
      <c r="E315" s="2" t="n"/>
      <c r="F315" s="2" t="n"/>
    </row>
    <row r="316" ht="15.75" customHeight="1" s="57">
      <c r="A316" s="2" t="n"/>
      <c r="B316" s="2" t="n"/>
      <c r="C316" s="2" t="n"/>
      <c r="D316" s="2" t="n"/>
      <c r="E316" s="2" t="n"/>
      <c r="F316" s="2" t="n"/>
    </row>
    <row r="317" ht="15.75" customHeight="1" s="57">
      <c r="A317" s="2" t="n"/>
      <c r="B317" s="2" t="n"/>
      <c r="C317" s="2" t="n"/>
      <c r="D317" s="2" t="n"/>
      <c r="E317" s="2" t="n"/>
      <c r="F317" s="2" t="n"/>
    </row>
    <row r="318" ht="15.75" customHeight="1" s="57">
      <c r="A318" s="2" t="n"/>
      <c r="B318" s="2" t="n"/>
      <c r="C318" s="2" t="n"/>
      <c r="D318" s="2" t="n"/>
      <c r="E318" s="2" t="n"/>
      <c r="F318" s="2" t="n"/>
    </row>
    <row r="319" ht="15.75" customHeight="1" s="57">
      <c r="A319" s="2" t="n"/>
      <c r="B319" s="2" t="n"/>
      <c r="C319" s="2" t="n"/>
      <c r="D319" s="2" t="n"/>
      <c r="E319" s="2" t="n"/>
      <c r="F319" s="2" t="n"/>
    </row>
    <row r="320" ht="15.75" customHeight="1" s="57">
      <c r="A320" s="2" t="n"/>
      <c r="B320" s="2" t="n"/>
      <c r="C320" s="2" t="n"/>
      <c r="D320" s="2" t="n"/>
      <c r="E320" s="2" t="n"/>
      <c r="F320" s="2" t="n"/>
    </row>
    <row r="321" ht="15.75" customHeight="1" s="57">
      <c r="A321" s="2" t="n"/>
      <c r="B321" s="2" t="n"/>
      <c r="C321" s="2" t="n"/>
      <c r="D321" s="2" t="n"/>
      <c r="E321" s="2" t="n"/>
      <c r="F321" s="2" t="n"/>
    </row>
    <row r="322" ht="15.75" customHeight="1" s="57">
      <c r="A322" s="2" t="n"/>
      <c r="B322" s="2" t="n"/>
      <c r="C322" s="2" t="n"/>
      <c r="D322" s="2" t="n"/>
      <c r="E322" s="2" t="n"/>
      <c r="F322" s="2" t="n"/>
    </row>
    <row r="323" ht="15.75" customHeight="1" s="57">
      <c r="A323" s="2" t="n"/>
      <c r="B323" s="2" t="n"/>
      <c r="C323" s="2" t="n"/>
      <c r="D323" s="2" t="n"/>
      <c r="E323" s="2" t="n"/>
      <c r="F323" s="2" t="n"/>
    </row>
    <row r="324" ht="15.75" customHeight="1" s="57">
      <c r="A324" s="2" t="n"/>
      <c r="B324" s="2" t="n"/>
      <c r="C324" s="2" t="n"/>
      <c r="D324" s="2" t="n"/>
      <c r="E324" s="2" t="n"/>
      <c r="F324" s="2" t="n"/>
    </row>
    <row r="325" ht="15.75" customHeight="1" s="57">
      <c r="A325" s="2" t="n"/>
      <c r="B325" s="2" t="n"/>
      <c r="C325" s="2" t="n"/>
      <c r="D325" s="2" t="n"/>
      <c r="E325" s="2" t="n"/>
      <c r="F325" s="2" t="n"/>
    </row>
    <row r="326" ht="15.75" customHeight="1" s="57">
      <c r="A326" s="2" t="n"/>
      <c r="B326" s="2" t="n"/>
      <c r="C326" s="2" t="n"/>
      <c r="D326" s="2" t="n"/>
      <c r="E326" s="2" t="n"/>
      <c r="F326" s="2" t="n"/>
    </row>
    <row r="327" ht="15.75" customHeight="1" s="57">
      <c r="A327" s="2" t="n"/>
      <c r="B327" s="2" t="n"/>
      <c r="C327" s="2" t="n"/>
      <c r="D327" s="2" t="n"/>
      <c r="E327" s="2" t="n"/>
      <c r="F327" s="2" t="n"/>
    </row>
    <row r="328" ht="15.75" customHeight="1" s="57">
      <c r="A328" s="2" t="n"/>
      <c r="B328" s="2" t="n"/>
      <c r="C328" s="2" t="n"/>
      <c r="D328" s="2" t="n"/>
      <c r="E328" s="2" t="n"/>
      <c r="F328" s="2" t="n"/>
    </row>
    <row r="329" ht="15.75" customHeight="1" s="57">
      <c r="A329" s="2" t="n"/>
      <c r="B329" s="2" t="n"/>
      <c r="C329" s="2" t="n"/>
      <c r="D329" s="2" t="n"/>
      <c r="E329" s="2" t="n"/>
      <c r="F329" s="2" t="n"/>
    </row>
    <row r="330" ht="15.75" customHeight="1" s="57">
      <c r="A330" s="2" t="n"/>
      <c r="B330" s="2" t="n"/>
      <c r="C330" s="2" t="n"/>
      <c r="D330" s="2" t="n"/>
      <c r="E330" s="2" t="n"/>
      <c r="F330" s="2" t="n"/>
    </row>
    <row r="331" ht="15.75" customHeight="1" s="57">
      <c r="A331" s="2" t="n"/>
      <c r="B331" s="2" t="n"/>
      <c r="C331" s="2" t="n"/>
      <c r="D331" s="2" t="n"/>
      <c r="E331" s="2" t="n"/>
      <c r="F331" s="2" t="n"/>
    </row>
    <row r="332" ht="15.75" customHeight="1" s="57">
      <c r="A332" s="2" t="n"/>
      <c r="B332" s="2" t="n"/>
      <c r="C332" s="2" t="n"/>
      <c r="D332" s="2" t="n"/>
      <c r="E332" s="2" t="n"/>
      <c r="F332" s="2" t="n"/>
    </row>
    <row r="333" ht="15.75" customHeight="1" s="57">
      <c r="A333" s="2" t="n"/>
      <c r="B333" s="2" t="n"/>
      <c r="C333" s="2" t="n"/>
      <c r="D333" s="2" t="n"/>
      <c r="E333" s="2" t="n"/>
      <c r="F333" s="2" t="n"/>
    </row>
    <row r="334" ht="15.75" customHeight="1" s="57">
      <c r="A334" s="2" t="n"/>
      <c r="B334" s="2" t="n"/>
      <c r="C334" s="2" t="n"/>
      <c r="D334" s="2" t="n"/>
      <c r="E334" s="2" t="n"/>
      <c r="F334" s="2" t="n"/>
    </row>
    <row r="335" ht="15.75" customHeight="1" s="57">
      <c r="A335" s="2" t="n"/>
      <c r="B335" s="2" t="n"/>
      <c r="C335" s="2" t="n"/>
      <c r="D335" s="2" t="n"/>
      <c r="E335" s="2" t="n"/>
      <c r="F335" s="2" t="n"/>
    </row>
    <row r="336" ht="15.75" customHeight="1" s="57">
      <c r="A336" s="2" t="n"/>
      <c r="B336" s="2" t="n"/>
      <c r="C336" s="2" t="n"/>
      <c r="D336" s="2" t="n"/>
      <c r="E336" s="2" t="n"/>
      <c r="F336" s="2" t="n"/>
    </row>
    <row r="337" ht="15.75" customHeight="1" s="57">
      <c r="A337" s="2" t="n"/>
      <c r="B337" s="2" t="n"/>
      <c r="C337" s="2" t="n"/>
      <c r="D337" s="2" t="n"/>
      <c r="E337" s="2" t="n"/>
      <c r="F337" s="2" t="n"/>
    </row>
    <row r="338" ht="15.75" customHeight="1" s="57">
      <c r="A338" s="2" t="n"/>
      <c r="B338" s="2" t="n"/>
      <c r="C338" s="2" t="n"/>
      <c r="D338" s="2" t="n"/>
      <c r="E338" s="2" t="n"/>
      <c r="F338" s="2" t="n"/>
    </row>
    <row r="339" ht="15.75" customHeight="1" s="57">
      <c r="A339" s="2" t="n"/>
      <c r="B339" s="2" t="n"/>
      <c r="C339" s="2" t="n"/>
      <c r="D339" s="2" t="n"/>
      <c r="E339" s="2" t="n"/>
      <c r="F339" s="2" t="n"/>
    </row>
    <row r="340" ht="15.75" customHeight="1" s="57">
      <c r="A340" s="2" t="n"/>
      <c r="B340" s="2" t="n"/>
      <c r="C340" s="2" t="n"/>
      <c r="D340" s="2" t="n"/>
      <c r="E340" s="2" t="n"/>
      <c r="F340" s="2" t="n"/>
    </row>
    <row r="341" ht="15.75" customHeight="1" s="57">
      <c r="A341" s="2" t="n"/>
      <c r="B341" s="2" t="n"/>
      <c r="C341" s="2" t="n"/>
      <c r="D341" s="2" t="n"/>
      <c r="E341" s="2" t="n"/>
      <c r="F341" s="2" t="n"/>
    </row>
    <row r="342" ht="15.75" customHeight="1" s="57">
      <c r="A342" s="2" t="n"/>
      <c r="B342" s="2" t="n"/>
      <c r="C342" s="2" t="n"/>
      <c r="D342" s="2" t="n"/>
      <c r="E342" s="2" t="n"/>
      <c r="F342" s="2" t="n"/>
    </row>
    <row r="343" ht="15.75" customHeight="1" s="57">
      <c r="A343" s="2" t="n"/>
      <c r="B343" s="2" t="n"/>
      <c r="C343" s="2" t="n"/>
      <c r="D343" s="2" t="n"/>
      <c r="E343" s="2" t="n"/>
      <c r="F343" s="2" t="n"/>
    </row>
    <row r="344" ht="15.75" customHeight="1" s="57">
      <c r="A344" s="2" t="n"/>
      <c r="B344" s="2" t="n"/>
      <c r="C344" s="2" t="n"/>
      <c r="D344" s="2" t="n"/>
      <c r="E344" s="2" t="n"/>
      <c r="F344" s="2" t="n"/>
    </row>
    <row r="345" ht="15.75" customHeight="1" s="57">
      <c r="A345" s="2" t="n"/>
      <c r="B345" s="2" t="n"/>
      <c r="C345" s="2" t="n"/>
      <c r="D345" s="2" t="n"/>
      <c r="E345" s="2" t="n"/>
      <c r="F345" s="2" t="n"/>
    </row>
    <row r="346" ht="15.75" customHeight="1" s="57">
      <c r="A346" s="2" t="n"/>
      <c r="B346" s="2" t="n"/>
      <c r="C346" s="2" t="n"/>
      <c r="D346" s="2" t="n"/>
      <c r="E346" s="2" t="n"/>
      <c r="F346" s="2" t="n"/>
    </row>
    <row r="347" ht="15.75" customHeight="1" s="57">
      <c r="A347" s="2" t="n"/>
      <c r="B347" s="2" t="n"/>
      <c r="C347" s="2" t="n"/>
      <c r="D347" s="2" t="n"/>
      <c r="E347" s="2" t="n"/>
      <c r="F347" s="2" t="n"/>
    </row>
    <row r="348" ht="15.75" customHeight="1" s="57">
      <c r="A348" s="2" t="n"/>
      <c r="B348" s="2" t="n"/>
      <c r="C348" s="2" t="n"/>
      <c r="D348" s="2" t="n"/>
      <c r="E348" s="2" t="n"/>
      <c r="F348" s="2" t="n"/>
    </row>
    <row r="349" ht="15.75" customHeight="1" s="57">
      <c r="A349" s="2" t="n"/>
      <c r="B349" s="2" t="n"/>
      <c r="C349" s="2" t="n"/>
      <c r="D349" s="2" t="n"/>
      <c r="E349" s="2" t="n"/>
      <c r="F349" s="2" t="n"/>
    </row>
    <row r="350" ht="15.75" customHeight="1" s="57">
      <c r="A350" s="2" t="n"/>
      <c r="B350" s="2" t="n"/>
      <c r="C350" s="2" t="n"/>
      <c r="D350" s="2" t="n"/>
      <c r="E350" s="2" t="n"/>
      <c r="F350" s="2" t="n"/>
    </row>
    <row r="351" ht="15.75" customHeight="1" s="57">
      <c r="A351" s="2" t="n"/>
      <c r="B351" s="2" t="n"/>
      <c r="C351" s="2" t="n"/>
      <c r="D351" s="2" t="n"/>
      <c r="E351" s="2" t="n"/>
      <c r="F351" s="2" t="n"/>
    </row>
    <row r="352" ht="15.75" customHeight="1" s="57">
      <c r="A352" s="2" t="n"/>
      <c r="B352" s="2" t="n"/>
      <c r="C352" s="2" t="n"/>
      <c r="D352" s="2" t="n"/>
      <c r="E352" s="2" t="n"/>
      <c r="F352" s="2" t="n"/>
    </row>
    <row r="353" ht="15.75" customHeight="1" s="57">
      <c r="A353" s="2" t="n"/>
      <c r="B353" s="2" t="n"/>
      <c r="C353" s="2" t="n"/>
      <c r="D353" s="2" t="n"/>
      <c r="E353" s="2" t="n"/>
      <c r="F353" s="2" t="n"/>
    </row>
    <row r="354" ht="15.75" customHeight="1" s="57">
      <c r="A354" s="2" t="n"/>
      <c r="B354" s="2" t="n"/>
      <c r="C354" s="2" t="n"/>
      <c r="D354" s="2" t="n"/>
      <c r="E354" s="2" t="n"/>
      <c r="F354" s="2" t="n"/>
    </row>
    <row r="355" ht="15.75" customHeight="1" s="57">
      <c r="A355" s="2" t="n"/>
      <c r="B355" s="2" t="n"/>
      <c r="C355" s="2" t="n"/>
      <c r="D355" s="2" t="n"/>
      <c r="E355" s="2" t="n"/>
      <c r="F355" s="2" t="n"/>
    </row>
    <row r="356" ht="15.75" customHeight="1" s="57">
      <c r="A356" s="2" t="n"/>
      <c r="B356" s="2" t="n"/>
      <c r="C356" s="2" t="n"/>
      <c r="D356" s="2" t="n"/>
      <c r="E356" s="2" t="n"/>
      <c r="F356" s="2" t="n"/>
    </row>
    <row r="357" ht="15.75" customHeight="1" s="57">
      <c r="A357" s="2" t="n"/>
      <c r="B357" s="2" t="n"/>
      <c r="C357" s="2" t="n"/>
      <c r="D357" s="2" t="n"/>
      <c r="E357" s="2" t="n"/>
      <c r="F357" s="2" t="n"/>
    </row>
    <row r="358" ht="15.75" customHeight="1" s="57">
      <c r="A358" s="2" t="n"/>
      <c r="B358" s="2" t="n"/>
      <c r="C358" s="2" t="n"/>
      <c r="D358" s="2" t="n"/>
      <c r="E358" s="2" t="n"/>
      <c r="F358" s="2" t="n"/>
    </row>
    <row r="359" ht="15.75" customHeight="1" s="57">
      <c r="A359" s="2" t="n"/>
      <c r="B359" s="2" t="n"/>
      <c r="C359" s="2" t="n"/>
      <c r="D359" s="2" t="n"/>
      <c r="E359" s="2" t="n"/>
      <c r="F359" s="2" t="n"/>
    </row>
    <row r="360" ht="15.75" customHeight="1" s="57">
      <c r="A360" s="2" t="n"/>
      <c r="B360" s="2" t="n"/>
      <c r="C360" s="2" t="n"/>
      <c r="D360" s="2" t="n"/>
      <c r="E360" s="2" t="n"/>
      <c r="F360" s="2" t="n"/>
    </row>
    <row r="361" ht="15.75" customHeight="1" s="57">
      <c r="A361" s="2" t="n"/>
      <c r="B361" s="2" t="n"/>
      <c r="C361" s="2" t="n"/>
      <c r="D361" s="2" t="n"/>
      <c r="E361" s="2" t="n"/>
      <c r="F361" s="2" t="n"/>
    </row>
    <row r="362" ht="15.75" customHeight="1" s="57">
      <c r="A362" s="2" t="n"/>
      <c r="B362" s="2" t="n"/>
      <c r="C362" s="2" t="n"/>
      <c r="D362" s="2" t="n"/>
      <c r="E362" s="2" t="n"/>
      <c r="F362" s="2" t="n"/>
    </row>
    <row r="363" ht="15.75" customHeight="1" s="57">
      <c r="A363" s="2" t="n"/>
      <c r="B363" s="2" t="n"/>
      <c r="C363" s="2" t="n"/>
      <c r="D363" s="2" t="n"/>
      <c r="E363" s="2" t="n"/>
      <c r="F363" s="2" t="n"/>
    </row>
    <row r="364" ht="15.75" customHeight="1" s="57">
      <c r="A364" s="2" t="n"/>
      <c r="B364" s="2" t="n"/>
      <c r="C364" s="2" t="n"/>
      <c r="D364" s="2" t="n"/>
      <c r="E364" s="2" t="n"/>
      <c r="F364" s="2" t="n"/>
    </row>
    <row r="365" ht="15.75" customHeight="1" s="57">
      <c r="A365" s="2" t="n"/>
      <c r="B365" s="2" t="n"/>
      <c r="C365" s="2" t="n"/>
      <c r="D365" s="2" t="n"/>
      <c r="E365" s="2" t="n"/>
      <c r="F365" s="2" t="n"/>
    </row>
    <row r="366" ht="15.75" customHeight="1" s="57">
      <c r="A366" s="2" t="n"/>
      <c r="B366" s="2" t="n"/>
      <c r="C366" s="2" t="n"/>
      <c r="D366" s="2" t="n"/>
      <c r="E366" s="2" t="n"/>
      <c r="F366" s="2" t="n"/>
    </row>
    <row r="367" ht="15.75" customHeight="1" s="57">
      <c r="A367" s="2" t="n"/>
      <c r="B367" s="2" t="n"/>
      <c r="C367" s="2" t="n"/>
      <c r="D367" s="2" t="n"/>
      <c r="E367" s="2" t="n"/>
      <c r="F367" s="2" t="n"/>
    </row>
    <row r="368" ht="15.75" customHeight="1" s="57">
      <c r="A368" s="2" t="n"/>
      <c r="B368" s="2" t="n"/>
      <c r="C368" s="2" t="n"/>
      <c r="D368" s="2" t="n"/>
      <c r="E368" s="2" t="n"/>
      <c r="F368" s="2" t="n"/>
    </row>
    <row r="369" ht="15.75" customHeight="1" s="57">
      <c r="A369" s="2" t="n"/>
      <c r="B369" s="2" t="n"/>
      <c r="C369" s="2" t="n"/>
      <c r="D369" s="2" t="n"/>
      <c r="E369" s="2" t="n"/>
      <c r="F369" s="2" t="n"/>
    </row>
    <row r="370" ht="15.75" customHeight="1" s="57">
      <c r="A370" s="2" t="n"/>
      <c r="B370" s="2" t="n"/>
      <c r="C370" s="2" t="n"/>
      <c r="D370" s="2" t="n"/>
      <c r="E370" s="2" t="n"/>
      <c r="F370" s="2" t="n"/>
    </row>
    <row r="371" ht="15.75" customHeight="1" s="57">
      <c r="A371" s="2" t="n"/>
      <c r="B371" s="2" t="n"/>
      <c r="C371" s="2" t="n"/>
      <c r="D371" s="2" t="n"/>
      <c r="E371" s="2" t="n"/>
      <c r="F371" s="2" t="n"/>
    </row>
    <row r="372" ht="15.75" customHeight="1" s="57">
      <c r="A372" s="2" t="n"/>
      <c r="B372" s="2" t="n"/>
      <c r="C372" s="2" t="n"/>
      <c r="D372" s="2" t="n"/>
      <c r="E372" s="2" t="n"/>
      <c r="F372" s="2" t="n"/>
    </row>
    <row r="373" ht="15.75" customHeight="1" s="57">
      <c r="A373" s="2" t="n"/>
      <c r="B373" s="2" t="n"/>
      <c r="C373" s="2" t="n"/>
      <c r="D373" s="2" t="n"/>
      <c r="E373" s="2" t="n"/>
      <c r="F373" s="2" t="n"/>
    </row>
    <row r="374" ht="15.75" customHeight="1" s="57">
      <c r="A374" s="2" t="n"/>
      <c r="B374" s="2" t="n"/>
      <c r="C374" s="2" t="n"/>
      <c r="D374" s="2" t="n"/>
      <c r="E374" s="2" t="n"/>
      <c r="F374" s="2" t="n"/>
    </row>
    <row r="375" ht="15.75" customHeight="1" s="57">
      <c r="A375" s="2" t="n"/>
      <c r="B375" s="2" t="n"/>
      <c r="C375" s="2" t="n"/>
      <c r="D375" s="2" t="n"/>
      <c r="E375" s="2" t="n"/>
      <c r="F375" s="2" t="n"/>
    </row>
    <row r="376" ht="15.75" customHeight="1" s="57">
      <c r="A376" s="2" t="n"/>
      <c r="B376" s="2" t="n"/>
      <c r="C376" s="2" t="n"/>
      <c r="D376" s="2" t="n"/>
      <c r="E376" s="2" t="n"/>
      <c r="F376" s="2" t="n"/>
    </row>
    <row r="377" ht="15.75" customHeight="1" s="57">
      <c r="A377" s="2" t="n"/>
      <c r="B377" s="2" t="n"/>
      <c r="C377" s="2" t="n"/>
      <c r="D377" s="2" t="n"/>
      <c r="E377" s="2" t="n"/>
      <c r="F377" s="2" t="n"/>
    </row>
    <row r="378" ht="15.75" customHeight="1" s="57">
      <c r="A378" s="2" t="n"/>
      <c r="B378" s="2" t="n"/>
      <c r="C378" s="2" t="n"/>
      <c r="D378" s="2" t="n"/>
      <c r="E378" s="2" t="n"/>
      <c r="F378" s="2" t="n"/>
    </row>
    <row r="379" ht="15.75" customHeight="1" s="57">
      <c r="A379" s="2" t="n"/>
      <c r="B379" s="2" t="n"/>
      <c r="C379" s="2" t="n"/>
      <c r="D379" s="2" t="n"/>
      <c r="E379" s="2" t="n"/>
      <c r="F379" s="2" t="n"/>
    </row>
    <row r="380" ht="15.75" customHeight="1" s="57">
      <c r="A380" s="2" t="n"/>
      <c r="B380" s="2" t="n"/>
      <c r="C380" s="2" t="n"/>
      <c r="D380" s="2" t="n"/>
      <c r="E380" s="2" t="n"/>
      <c r="F380" s="2" t="n"/>
    </row>
    <row r="381" ht="15.75" customHeight="1" s="57">
      <c r="A381" s="2" t="n"/>
      <c r="B381" s="2" t="n"/>
      <c r="C381" s="2" t="n"/>
      <c r="D381" s="2" t="n"/>
      <c r="E381" s="2" t="n"/>
      <c r="F381" s="2" t="n"/>
    </row>
    <row r="382" ht="15.75" customHeight="1" s="57">
      <c r="A382" s="2" t="n"/>
      <c r="B382" s="2" t="n"/>
      <c r="C382" s="2" t="n"/>
      <c r="D382" s="2" t="n"/>
      <c r="E382" s="2" t="n"/>
      <c r="F382" s="2" t="n"/>
    </row>
    <row r="383" ht="15.75" customHeight="1" s="57">
      <c r="A383" s="2" t="n"/>
      <c r="B383" s="2" t="n"/>
      <c r="C383" s="2" t="n"/>
      <c r="D383" s="2" t="n"/>
      <c r="E383" s="2" t="n"/>
      <c r="F383" s="2" t="n"/>
    </row>
    <row r="384" ht="15.75" customHeight="1" s="57">
      <c r="A384" s="2" t="n"/>
      <c r="B384" s="2" t="n"/>
      <c r="C384" s="2" t="n"/>
      <c r="D384" s="2" t="n"/>
      <c r="E384" s="2" t="n"/>
      <c r="F384" s="2" t="n"/>
    </row>
    <row r="385" ht="15.75" customHeight="1" s="57">
      <c r="A385" s="2" t="n"/>
      <c r="B385" s="2" t="n"/>
      <c r="C385" s="2" t="n"/>
      <c r="D385" s="2" t="n"/>
      <c r="E385" s="2" t="n"/>
      <c r="F385" s="2" t="n"/>
    </row>
    <row r="386" ht="15.75" customHeight="1" s="57">
      <c r="A386" s="2" t="n"/>
      <c r="B386" s="2" t="n"/>
      <c r="C386" s="2" t="n"/>
      <c r="D386" s="2" t="n"/>
      <c r="E386" s="2" t="n"/>
      <c r="F386" s="2" t="n"/>
    </row>
    <row r="387" ht="15.75" customHeight="1" s="57">
      <c r="A387" s="2" t="n"/>
      <c r="B387" s="2" t="n"/>
      <c r="C387" s="2" t="n"/>
      <c r="D387" s="2" t="n"/>
      <c r="E387" s="2" t="n"/>
      <c r="F387" s="2" t="n"/>
    </row>
    <row r="388" ht="15.75" customHeight="1" s="57">
      <c r="A388" s="2" t="n"/>
      <c r="B388" s="2" t="n"/>
      <c r="C388" s="2" t="n"/>
      <c r="D388" s="2" t="n"/>
      <c r="E388" s="2" t="n"/>
      <c r="F388" s="2" t="n"/>
    </row>
    <row r="389" ht="15.75" customHeight="1" s="57">
      <c r="A389" s="2" t="n"/>
      <c r="B389" s="2" t="n"/>
      <c r="C389" s="2" t="n"/>
      <c r="D389" s="2" t="n"/>
      <c r="E389" s="2" t="n"/>
      <c r="F389" s="2" t="n"/>
    </row>
    <row r="390" ht="15.75" customHeight="1" s="57">
      <c r="A390" s="2" t="n"/>
      <c r="B390" s="2" t="n"/>
      <c r="C390" s="2" t="n"/>
      <c r="D390" s="2" t="n"/>
      <c r="E390" s="2" t="n"/>
      <c r="F390" s="2" t="n"/>
    </row>
    <row r="391" ht="15.75" customHeight="1" s="57">
      <c r="A391" s="2" t="n"/>
      <c r="B391" s="2" t="n"/>
      <c r="C391" s="2" t="n"/>
      <c r="D391" s="2" t="n"/>
      <c r="E391" s="2" t="n"/>
      <c r="F391" s="2" t="n"/>
    </row>
    <row r="392" ht="15.75" customHeight="1" s="57">
      <c r="A392" s="2" t="n"/>
      <c r="B392" s="2" t="n"/>
      <c r="C392" s="2" t="n"/>
      <c r="D392" s="2" t="n"/>
      <c r="E392" s="2" t="n"/>
      <c r="F392" s="2" t="n"/>
    </row>
    <row r="393" ht="15.75" customHeight="1" s="57">
      <c r="A393" s="2" t="n"/>
      <c r="B393" s="2" t="n"/>
      <c r="C393" s="2" t="n"/>
      <c r="D393" s="2" t="n"/>
      <c r="E393" s="2" t="n"/>
      <c r="F393" s="2" t="n"/>
    </row>
    <row r="394" ht="15.75" customHeight="1" s="57">
      <c r="A394" s="2" t="n"/>
      <c r="B394" s="2" t="n"/>
      <c r="C394" s="2" t="n"/>
      <c r="D394" s="2" t="n"/>
      <c r="E394" s="2" t="n"/>
      <c r="F394" s="2" t="n"/>
    </row>
    <row r="395" ht="15.75" customHeight="1" s="57">
      <c r="A395" s="2" t="n"/>
      <c r="B395" s="2" t="n"/>
      <c r="C395" s="2" t="n"/>
      <c r="D395" s="2" t="n"/>
      <c r="E395" s="2" t="n"/>
      <c r="F395" s="2" t="n"/>
    </row>
    <row r="396" ht="15.75" customHeight="1" s="57">
      <c r="A396" s="2" t="n"/>
      <c r="B396" s="2" t="n"/>
      <c r="C396" s="2" t="n"/>
      <c r="D396" s="2" t="n"/>
      <c r="E396" s="2" t="n"/>
      <c r="F396" s="2" t="n"/>
    </row>
    <row r="397" ht="15.75" customHeight="1" s="57">
      <c r="A397" s="2" t="n"/>
      <c r="B397" s="2" t="n"/>
      <c r="C397" s="2" t="n"/>
      <c r="D397" s="2" t="n"/>
      <c r="E397" s="2" t="n"/>
      <c r="F397" s="2" t="n"/>
    </row>
    <row r="398" ht="15.75" customHeight="1" s="57">
      <c r="A398" s="2" t="n"/>
      <c r="B398" s="2" t="n"/>
      <c r="C398" s="2" t="n"/>
      <c r="D398" s="2" t="n"/>
      <c r="E398" s="2" t="n"/>
      <c r="F398" s="2" t="n"/>
    </row>
    <row r="399" ht="15.75" customHeight="1" s="57">
      <c r="A399" s="2" t="n"/>
      <c r="B399" s="2" t="n"/>
      <c r="C399" s="2" t="n"/>
      <c r="D399" s="2" t="n"/>
      <c r="E399" s="2" t="n"/>
      <c r="F399" s="2" t="n"/>
    </row>
    <row r="400" ht="15.75" customHeight="1" s="57">
      <c r="A400" s="2" t="n"/>
      <c r="B400" s="2" t="n"/>
      <c r="C400" s="2" t="n"/>
      <c r="D400" s="2" t="n"/>
      <c r="E400" s="2" t="n"/>
      <c r="F400" s="2" t="n"/>
    </row>
    <row r="401" ht="15.75" customHeight="1" s="57">
      <c r="A401" s="2" t="n"/>
      <c r="B401" s="2" t="n"/>
      <c r="C401" s="2" t="n"/>
      <c r="D401" s="2" t="n"/>
      <c r="E401" s="2" t="n"/>
      <c r="F401" s="2" t="n"/>
    </row>
    <row r="402" ht="15.75" customHeight="1" s="57">
      <c r="A402" s="2" t="n"/>
      <c r="B402" s="2" t="n"/>
      <c r="C402" s="2" t="n"/>
      <c r="D402" s="2" t="n"/>
      <c r="E402" s="2" t="n"/>
      <c r="F402" s="2" t="n"/>
    </row>
    <row r="403" ht="15.75" customHeight="1" s="57">
      <c r="A403" s="2" t="n"/>
      <c r="B403" s="2" t="n"/>
      <c r="C403" s="2" t="n"/>
      <c r="D403" s="2" t="n"/>
      <c r="E403" s="2" t="n"/>
      <c r="F403" s="2" t="n"/>
    </row>
    <row r="404" ht="15.75" customHeight="1" s="57">
      <c r="A404" s="2" t="n"/>
      <c r="B404" s="2" t="n"/>
      <c r="C404" s="2" t="n"/>
      <c r="D404" s="2" t="n"/>
      <c r="E404" s="2" t="n"/>
      <c r="F404" s="2" t="n"/>
    </row>
    <row r="405" ht="15.75" customHeight="1" s="57">
      <c r="A405" s="2" t="n"/>
      <c r="B405" s="2" t="n"/>
      <c r="C405" s="2" t="n"/>
      <c r="D405" s="2" t="n"/>
      <c r="E405" s="2" t="n"/>
      <c r="F405" s="2" t="n"/>
    </row>
    <row r="406" ht="15.75" customHeight="1" s="57">
      <c r="A406" s="2" t="n"/>
      <c r="B406" s="2" t="n"/>
      <c r="C406" s="2" t="n"/>
      <c r="D406" s="2" t="n"/>
      <c r="E406" s="2" t="n"/>
      <c r="F406" s="2" t="n"/>
    </row>
    <row r="407" ht="15.75" customHeight="1" s="57">
      <c r="A407" s="2" t="n"/>
      <c r="B407" s="2" t="n"/>
      <c r="C407" s="2" t="n"/>
      <c r="D407" s="2" t="n"/>
      <c r="E407" s="2" t="n"/>
      <c r="F407" s="2" t="n"/>
    </row>
    <row r="408" ht="15.75" customHeight="1" s="57">
      <c r="A408" s="2" t="n"/>
      <c r="B408" s="2" t="n"/>
      <c r="C408" s="2" t="n"/>
      <c r="D408" s="2" t="n"/>
      <c r="E408" s="2" t="n"/>
      <c r="F408" s="2" t="n"/>
    </row>
    <row r="409" ht="15.75" customHeight="1" s="57">
      <c r="A409" s="2" t="n"/>
      <c r="B409" s="2" t="n"/>
      <c r="C409" s="2" t="n"/>
      <c r="D409" s="2" t="n"/>
      <c r="E409" s="2" t="n"/>
      <c r="F409" s="2" t="n"/>
    </row>
    <row r="410" ht="15.75" customHeight="1" s="57">
      <c r="A410" s="2" t="n"/>
      <c r="B410" s="2" t="n"/>
      <c r="C410" s="2" t="n"/>
      <c r="D410" s="2" t="n"/>
      <c r="E410" s="2" t="n"/>
      <c r="F410" s="2" t="n"/>
    </row>
    <row r="411" ht="15.75" customHeight="1" s="57">
      <c r="A411" s="2" t="n"/>
      <c r="B411" s="2" t="n"/>
      <c r="C411" s="2" t="n"/>
      <c r="D411" s="2" t="n"/>
      <c r="E411" s="2" t="n"/>
      <c r="F411" s="2" t="n"/>
    </row>
    <row r="412" ht="15.75" customHeight="1" s="57">
      <c r="A412" s="2" t="n"/>
      <c r="B412" s="2" t="n"/>
      <c r="C412" s="2" t="n"/>
      <c r="D412" s="2" t="n"/>
      <c r="E412" s="2" t="n"/>
      <c r="F412" s="2" t="n"/>
    </row>
    <row r="413" ht="15.75" customHeight="1" s="57">
      <c r="A413" s="2" t="n"/>
      <c r="B413" s="2" t="n"/>
      <c r="C413" s="2" t="n"/>
      <c r="D413" s="2" t="n"/>
      <c r="E413" s="2" t="n"/>
      <c r="F413" s="2" t="n"/>
    </row>
    <row r="414" ht="15.75" customHeight="1" s="57">
      <c r="A414" s="2" t="n"/>
      <c r="B414" s="2" t="n"/>
      <c r="C414" s="2" t="n"/>
      <c r="D414" s="2" t="n"/>
      <c r="E414" s="2" t="n"/>
      <c r="F414" s="2" t="n"/>
    </row>
    <row r="415" ht="15.75" customHeight="1" s="57">
      <c r="A415" s="2" t="n"/>
      <c r="B415" s="2" t="n"/>
      <c r="C415" s="2" t="n"/>
      <c r="D415" s="2" t="n"/>
      <c r="E415" s="2" t="n"/>
      <c r="F415" s="2" t="n"/>
    </row>
    <row r="416" ht="15.75" customHeight="1" s="57">
      <c r="A416" s="2" t="n"/>
      <c r="B416" s="2" t="n"/>
      <c r="C416" s="2" t="n"/>
      <c r="D416" s="2" t="n"/>
      <c r="E416" s="2" t="n"/>
      <c r="F416" s="2" t="n"/>
    </row>
    <row r="417" ht="15.75" customHeight="1" s="57">
      <c r="A417" s="2" t="n"/>
      <c r="B417" s="2" t="n"/>
      <c r="C417" s="2" t="n"/>
      <c r="D417" s="2" t="n"/>
      <c r="E417" s="2" t="n"/>
      <c r="F417" s="2" t="n"/>
    </row>
    <row r="418" ht="15.75" customHeight="1" s="57">
      <c r="A418" s="2" t="n"/>
      <c r="B418" s="2" t="n"/>
      <c r="C418" s="2" t="n"/>
      <c r="D418" s="2" t="n"/>
      <c r="E418" s="2" t="n"/>
      <c r="F418" s="2" t="n"/>
    </row>
    <row r="419" ht="15.75" customHeight="1" s="57">
      <c r="A419" s="2" t="n"/>
      <c r="B419" s="2" t="n"/>
      <c r="C419" s="2" t="n"/>
      <c r="D419" s="2" t="n"/>
      <c r="E419" s="2" t="n"/>
      <c r="F419" s="2" t="n"/>
    </row>
    <row r="420" ht="15.75" customHeight="1" s="57">
      <c r="A420" s="2" t="n"/>
      <c r="B420" s="2" t="n"/>
      <c r="C420" s="2" t="n"/>
      <c r="D420" s="2" t="n"/>
      <c r="E420" s="2" t="n"/>
      <c r="F420" s="2" t="n"/>
    </row>
    <row r="421" ht="15.75" customHeight="1" s="57">
      <c r="A421" s="2" t="n"/>
      <c r="B421" s="2" t="n"/>
      <c r="C421" s="2" t="n"/>
      <c r="D421" s="2" t="n"/>
      <c r="E421" s="2" t="n"/>
      <c r="F421" s="2" t="n"/>
    </row>
    <row r="422" ht="15.75" customHeight="1" s="57">
      <c r="A422" s="2" t="n"/>
      <c r="B422" s="2" t="n"/>
      <c r="C422" s="2" t="n"/>
      <c r="D422" s="2" t="n"/>
      <c r="E422" s="2" t="n"/>
      <c r="F422" s="2" t="n"/>
    </row>
    <row r="423" ht="15.75" customHeight="1" s="57">
      <c r="A423" s="2" t="n"/>
      <c r="B423" s="2" t="n"/>
      <c r="C423" s="2" t="n"/>
      <c r="D423" s="2" t="n"/>
      <c r="E423" s="2" t="n"/>
      <c r="F423" s="2" t="n"/>
    </row>
    <row r="424" ht="15.75" customHeight="1" s="57">
      <c r="A424" s="2" t="n"/>
      <c r="B424" s="2" t="n"/>
      <c r="C424" s="2" t="n"/>
      <c r="D424" s="2" t="n"/>
      <c r="E424" s="2" t="n"/>
      <c r="F424" s="2" t="n"/>
    </row>
    <row r="425" ht="15.75" customHeight="1" s="57">
      <c r="A425" s="2" t="n"/>
      <c r="B425" s="2" t="n"/>
      <c r="C425" s="2" t="n"/>
      <c r="D425" s="2" t="n"/>
      <c r="E425" s="2" t="n"/>
      <c r="F425" s="2" t="n"/>
    </row>
    <row r="426" ht="15.75" customHeight="1" s="57">
      <c r="A426" s="2" t="n"/>
      <c r="B426" s="2" t="n"/>
      <c r="C426" s="2" t="n"/>
      <c r="D426" s="2" t="n"/>
      <c r="E426" s="2" t="n"/>
      <c r="F426" s="2" t="n"/>
    </row>
    <row r="427" ht="15.75" customHeight="1" s="57">
      <c r="A427" s="2" t="n"/>
      <c r="B427" s="2" t="n"/>
      <c r="C427" s="2" t="n"/>
      <c r="D427" s="2" t="n"/>
      <c r="E427" s="2" t="n"/>
      <c r="F427" s="2" t="n"/>
    </row>
    <row r="428" ht="15.75" customHeight="1" s="57">
      <c r="A428" s="2" t="n"/>
      <c r="B428" s="2" t="n"/>
      <c r="C428" s="2" t="n"/>
      <c r="D428" s="2" t="n"/>
      <c r="E428" s="2" t="n"/>
      <c r="F428" s="2" t="n"/>
    </row>
    <row r="429" ht="15.75" customHeight="1" s="57">
      <c r="A429" s="2" t="n"/>
      <c r="B429" s="2" t="n"/>
      <c r="C429" s="2" t="n"/>
      <c r="D429" s="2" t="n"/>
      <c r="E429" s="2" t="n"/>
      <c r="F429" s="2" t="n"/>
    </row>
    <row r="430" ht="15.75" customHeight="1" s="57">
      <c r="A430" s="2" t="n"/>
      <c r="B430" s="2" t="n"/>
      <c r="C430" s="2" t="n"/>
      <c r="D430" s="2" t="n"/>
      <c r="E430" s="2" t="n"/>
      <c r="F430" s="2" t="n"/>
    </row>
    <row r="431" ht="15.75" customHeight="1" s="57">
      <c r="A431" s="2" t="n"/>
      <c r="B431" s="2" t="n"/>
      <c r="C431" s="2" t="n"/>
      <c r="D431" s="2" t="n"/>
      <c r="E431" s="2" t="n"/>
      <c r="F431" s="2" t="n"/>
    </row>
    <row r="432" ht="15.75" customHeight="1" s="57">
      <c r="A432" s="2" t="n"/>
      <c r="B432" s="2" t="n"/>
      <c r="C432" s="2" t="n"/>
      <c r="D432" s="2" t="n"/>
      <c r="E432" s="2" t="n"/>
      <c r="F432" s="2" t="n"/>
    </row>
    <row r="433" ht="15.75" customHeight="1" s="57">
      <c r="A433" s="2" t="n"/>
      <c r="B433" s="2" t="n"/>
      <c r="C433" s="2" t="n"/>
      <c r="D433" s="2" t="n"/>
      <c r="E433" s="2" t="n"/>
      <c r="F433" s="2" t="n"/>
    </row>
    <row r="434" ht="15.75" customHeight="1" s="57">
      <c r="A434" s="2" t="n"/>
      <c r="B434" s="2" t="n"/>
      <c r="C434" s="2" t="n"/>
      <c r="D434" s="2" t="n"/>
      <c r="E434" s="2" t="n"/>
      <c r="F434" s="2" t="n"/>
    </row>
    <row r="435" ht="15.75" customHeight="1" s="57">
      <c r="A435" s="2" t="n"/>
      <c r="B435" s="2" t="n"/>
      <c r="C435" s="2" t="n"/>
      <c r="D435" s="2" t="n"/>
      <c r="E435" s="2" t="n"/>
      <c r="F435" s="2" t="n"/>
    </row>
    <row r="436" ht="15.75" customHeight="1" s="57">
      <c r="A436" s="2" t="n"/>
      <c r="B436" s="2" t="n"/>
      <c r="C436" s="2" t="n"/>
      <c r="D436" s="2" t="n"/>
      <c r="E436" s="2" t="n"/>
      <c r="F436" s="2" t="n"/>
    </row>
    <row r="437" ht="15.75" customHeight="1" s="57">
      <c r="A437" s="2" t="n"/>
      <c r="B437" s="2" t="n"/>
      <c r="C437" s="2" t="n"/>
      <c r="D437" s="2" t="n"/>
      <c r="E437" s="2" t="n"/>
      <c r="F437" s="2" t="n"/>
    </row>
    <row r="438" ht="15.75" customHeight="1" s="57">
      <c r="A438" s="2" t="n"/>
      <c r="B438" s="2" t="n"/>
      <c r="C438" s="2" t="n"/>
      <c r="D438" s="2" t="n"/>
      <c r="E438" s="2" t="n"/>
      <c r="F438" s="2" t="n"/>
    </row>
    <row r="439" ht="15.75" customHeight="1" s="57">
      <c r="A439" s="2" t="n"/>
      <c r="B439" s="2" t="n"/>
      <c r="C439" s="2" t="n"/>
      <c r="D439" s="2" t="n"/>
      <c r="E439" s="2" t="n"/>
      <c r="F439" s="2" t="n"/>
    </row>
    <row r="440" ht="15.75" customHeight="1" s="57">
      <c r="A440" s="2" t="n"/>
      <c r="B440" s="2" t="n"/>
      <c r="C440" s="2" t="n"/>
      <c r="D440" s="2" t="n"/>
      <c r="E440" s="2" t="n"/>
      <c r="F440" s="2" t="n"/>
    </row>
    <row r="441" ht="15.75" customHeight="1" s="57">
      <c r="A441" s="2" t="n"/>
      <c r="B441" s="2" t="n"/>
      <c r="C441" s="2" t="n"/>
      <c r="D441" s="2" t="n"/>
      <c r="E441" s="2" t="n"/>
      <c r="F441" s="2" t="n"/>
    </row>
    <row r="442" ht="15.75" customHeight="1" s="57">
      <c r="A442" s="2" t="n"/>
      <c r="B442" s="2" t="n"/>
      <c r="C442" s="2" t="n"/>
      <c r="D442" s="2" t="n"/>
      <c r="E442" s="2" t="n"/>
      <c r="F442" s="2" t="n"/>
    </row>
    <row r="443" ht="15.75" customHeight="1" s="57">
      <c r="A443" s="2" t="n"/>
      <c r="B443" s="2" t="n"/>
      <c r="C443" s="2" t="n"/>
      <c r="D443" s="2" t="n"/>
      <c r="E443" s="2" t="n"/>
      <c r="F443" s="2" t="n"/>
    </row>
    <row r="444" ht="15.75" customHeight="1" s="57">
      <c r="A444" s="2" t="n"/>
      <c r="B444" s="2" t="n"/>
      <c r="C444" s="2" t="n"/>
      <c r="D444" s="2" t="n"/>
      <c r="E444" s="2" t="n"/>
      <c r="F444" s="2" t="n"/>
    </row>
    <row r="445" ht="15.75" customHeight="1" s="57">
      <c r="A445" s="2" t="n"/>
      <c r="B445" s="2" t="n"/>
      <c r="C445" s="2" t="n"/>
      <c r="D445" s="2" t="n"/>
      <c r="E445" s="2" t="n"/>
      <c r="F445" s="2" t="n"/>
    </row>
    <row r="446" ht="15.75" customHeight="1" s="57">
      <c r="A446" s="2" t="n"/>
      <c r="B446" s="2" t="n"/>
      <c r="C446" s="2" t="n"/>
      <c r="D446" s="2" t="n"/>
      <c r="E446" s="2" t="n"/>
      <c r="F446" s="2" t="n"/>
    </row>
    <row r="447" ht="15.75" customHeight="1" s="57">
      <c r="A447" s="2" t="n"/>
      <c r="B447" s="2" t="n"/>
      <c r="C447" s="2" t="n"/>
      <c r="D447" s="2" t="n"/>
      <c r="E447" s="2" t="n"/>
      <c r="F447" s="2" t="n"/>
    </row>
    <row r="448" ht="15.75" customHeight="1" s="57">
      <c r="A448" s="2" t="n"/>
      <c r="B448" s="2" t="n"/>
      <c r="C448" s="2" t="n"/>
      <c r="D448" s="2" t="n"/>
      <c r="E448" s="2" t="n"/>
      <c r="F448" s="2" t="n"/>
    </row>
    <row r="449" ht="15.75" customHeight="1" s="57">
      <c r="A449" s="2" t="n"/>
      <c r="B449" s="2" t="n"/>
      <c r="C449" s="2" t="n"/>
      <c r="D449" s="2" t="n"/>
      <c r="E449" s="2" t="n"/>
      <c r="F449" s="2" t="n"/>
    </row>
    <row r="450" ht="15.75" customHeight="1" s="57">
      <c r="A450" s="2" t="n"/>
      <c r="B450" s="2" t="n"/>
      <c r="C450" s="2" t="n"/>
      <c r="D450" s="2" t="n"/>
      <c r="E450" s="2" t="n"/>
      <c r="F450" s="2" t="n"/>
    </row>
    <row r="451" ht="15.75" customHeight="1" s="57">
      <c r="A451" s="2" t="n"/>
      <c r="B451" s="2" t="n"/>
      <c r="C451" s="2" t="n"/>
      <c r="D451" s="2" t="n"/>
      <c r="E451" s="2" t="n"/>
      <c r="F451" s="2" t="n"/>
    </row>
    <row r="452" ht="15.75" customHeight="1" s="57">
      <c r="A452" s="2" t="n"/>
      <c r="B452" s="2" t="n"/>
      <c r="C452" s="2" t="n"/>
      <c r="D452" s="2" t="n"/>
      <c r="E452" s="2" t="n"/>
      <c r="F452" s="2" t="n"/>
    </row>
    <row r="453" ht="15.75" customHeight="1" s="57">
      <c r="A453" s="2" t="n"/>
      <c r="B453" s="2" t="n"/>
      <c r="C453" s="2" t="n"/>
      <c r="D453" s="2" t="n"/>
      <c r="E453" s="2" t="n"/>
      <c r="F453" s="2" t="n"/>
    </row>
    <row r="454" ht="15.75" customHeight="1" s="57">
      <c r="A454" s="2" t="n"/>
      <c r="B454" s="2" t="n"/>
      <c r="C454" s="2" t="n"/>
      <c r="D454" s="2" t="n"/>
      <c r="E454" s="2" t="n"/>
      <c r="F454" s="2" t="n"/>
    </row>
    <row r="455" ht="15.75" customHeight="1" s="57">
      <c r="A455" s="2" t="n"/>
      <c r="B455" s="2" t="n"/>
      <c r="C455" s="2" t="n"/>
      <c r="D455" s="2" t="n"/>
      <c r="E455" s="2" t="n"/>
      <c r="F455" s="2" t="n"/>
    </row>
    <row r="456" ht="15.75" customHeight="1" s="57">
      <c r="A456" s="2" t="n"/>
      <c r="B456" s="2" t="n"/>
      <c r="C456" s="2" t="n"/>
      <c r="D456" s="2" t="n"/>
      <c r="E456" s="2" t="n"/>
      <c r="F456" s="2" t="n"/>
    </row>
    <row r="457" ht="15.75" customHeight="1" s="57">
      <c r="A457" s="2" t="n"/>
      <c r="B457" s="2" t="n"/>
      <c r="C457" s="2" t="n"/>
      <c r="D457" s="2" t="n"/>
      <c r="E457" s="2" t="n"/>
      <c r="F457" s="2" t="n"/>
    </row>
    <row r="458" ht="15.75" customHeight="1" s="57">
      <c r="A458" s="2" t="n"/>
      <c r="B458" s="2" t="n"/>
      <c r="C458" s="2" t="n"/>
      <c r="D458" s="2" t="n"/>
      <c r="E458" s="2" t="n"/>
      <c r="F458" s="2" t="n"/>
    </row>
    <row r="459" ht="15.75" customHeight="1" s="57">
      <c r="A459" s="2" t="n"/>
      <c r="B459" s="2" t="n"/>
      <c r="C459" s="2" t="n"/>
      <c r="D459" s="2" t="n"/>
      <c r="E459" s="2" t="n"/>
      <c r="F459" s="2" t="n"/>
    </row>
    <row r="460" ht="15.75" customHeight="1" s="57">
      <c r="A460" s="2" t="n"/>
      <c r="B460" s="2" t="n"/>
      <c r="C460" s="2" t="n"/>
      <c r="D460" s="2" t="n"/>
      <c r="E460" s="2" t="n"/>
      <c r="F460" s="2" t="n"/>
    </row>
    <row r="461" ht="15.75" customHeight="1" s="57">
      <c r="A461" s="2" t="n"/>
      <c r="B461" s="2" t="n"/>
      <c r="C461" s="2" t="n"/>
      <c r="D461" s="2" t="n"/>
      <c r="E461" s="2" t="n"/>
      <c r="F461" s="2" t="n"/>
    </row>
    <row r="462" ht="15.75" customHeight="1" s="57">
      <c r="A462" s="2" t="n"/>
      <c r="B462" s="2" t="n"/>
      <c r="C462" s="2" t="n"/>
      <c r="D462" s="2" t="n"/>
      <c r="E462" s="2" t="n"/>
      <c r="F462" s="2" t="n"/>
    </row>
    <row r="463" ht="15.75" customHeight="1" s="57">
      <c r="A463" s="2" t="n"/>
      <c r="B463" s="2" t="n"/>
      <c r="C463" s="2" t="n"/>
      <c r="D463" s="2" t="n"/>
      <c r="E463" s="2" t="n"/>
      <c r="F463" s="2" t="n"/>
    </row>
    <row r="464" ht="15.75" customHeight="1" s="57">
      <c r="A464" s="2" t="n"/>
      <c r="B464" s="2" t="n"/>
      <c r="C464" s="2" t="n"/>
      <c r="D464" s="2" t="n"/>
      <c r="E464" s="2" t="n"/>
      <c r="F464" s="2" t="n"/>
    </row>
    <row r="465" ht="15.75" customHeight="1" s="57">
      <c r="A465" s="2" t="n"/>
      <c r="B465" s="2" t="n"/>
      <c r="C465" s="2" t="n"/>
      <c r="D465" s="2" t="n"/>
      <c r="E465" s="2" t="n"/>
      <c r="F465" s="2" t="n"/>
    </row>
    <row r="466" ht="15.75" customHeight="1" s="57">
      <c r="A466" s="2" t="n"/>
      <c r="B466" s="2" t="n"/>
      <c r="C466" s="2" t="n"/>
      <c r="D466" s="2" t="n"/>
      <c r="E466" s="2" t="n"/>
      <c r="F466" s="2" t="n"/>
    </row>
    <row r="467" ht="15.75" customHeight="1" s="57">
      <c r="A467" s="2" t="n"/>
      <c r="B467" s="2" t="n"/>
      <c r="C467" s="2" t="n"/>
      <c r="D467" s="2" t="n"/>
      <c r="E467" s="2" t="n"/>
      <c r="F467" s="2" t="n"/>
    </row>
    <row r="468" ht="15.75" customHeight="1" s="57">
      <c r="A468" s="2" t="n"/>
      <c r="B468" s="2" t="n"/>
      <c r="C468" s="2" t="n"/>
      <c r="D468" s="2" t="n"/>
      <c r="E468" s="2" t="n"/>
      <c r="F468" s="2" t="n"/>
    </row>
    <row r="469" ht="15.75" customHeight="1" s="57">
      <c r="A469" s="2" t="n"/>
      <c r="B469" s="2" t="n"/>
      <c r="C469" s="2" t="n"/>
      <c r="D469" s="2" t="n"/>
      <c r="E469" s="2" t="n"/>
      <c r="F469" s="2" t="n"/>
    </row>
    <row r="470" ht="15.75" customHeight="1" s="57">
      <c r="A470" s="2" t="n"/>
      <c r="B470" s="2" t="n"/>
      <c r="C470" s="2" t="n"/>
      <c r="D470" s="2" t="n"/>
      <c r="E470" s="2" t="n"/>
      <c r="F470" s="2" t="n"/>
    </row>
    <row r="471" ht="15.75" customHeight="1" s="57">
      <c r="A471" s="2" t="n"/>
      <c r="B471" s="2" t="n"/>
      <c r="C471" s="2" t="n"/>
      <c r="D471" s="2" t="n"/>
      <c r="E471" s="2" t="n"/>
      <c r="F471" s="2" t="n"/>
    </row>
    <row r="472" ht="15.75" customHeight="1" s="57">
      <c r="A472" s="2" t="n"/>
      <c r="B472" s="2" t="n"/>
      <c r="C472" s="2" t="n"/>
      <c r="D472" s="2" t="n"/>
      <c r="E472" s="2" t="n"/>
      <c r="F472" s="2" t="n"/>
    </row>
    <row r="473" ht="15.75" customHeight="1" s="57">
      <c r="A473" s="2" t="n"/>
      <c r="B473" s="2" t="n"/>
      <c r="C473" s="2" t="n"/>
      <c r="D473" s="2" t="n"/>
      <c r="E473" s="2" t="n"/>
      <c r="F473" s="2" t="n"/>
    </row>
    <row r="474" ht="15.75" customHeight="1" s="57">
      <c r="A474" s="2" t="n"/>
      <c r="B474" s="2" t="n"/>
      <c r="C474" s="2" t="n"/>
      <c r="D474" s="2" t="n"/>
      <c r="E474" s="2" t="n"/>
      <c r="F474" s="2" t="n"/>
    </row>
    <row r="475" ht="15.75" customHeight="1" s="57">
      <c r="A475" s="2" t="n"/>
      <c r="B475" s="2" t="n"/>
      <c r="C475" s="2" t="n"/>
      <c r="D475" s="2" t="n"/>
      <c r="E475" s="2" t="n"/>
      <c r="F475" s="2" t="n"/>
    </row>
    <row r="476" ht="15.75" customHeight="1" s="57">
      <c r="A476" s="2" t="n"/>
      <c r="B476" s="2" t="n"/>
      <c r="C476" s="2" t="n"/>
      <c r="D476" s="2" t="n"/>
      <c r="E476" s="2" t="n"/>
      <c r="F476" s="2" t="n"/>
    </row>
    <row r="477" ht="15.75" customHeight="1" s="57">
      <c r="A477" s="2" t="n"/>
      <c r="B477" s="2" t="n"/>
      <c r="C477" s="2" t="n"/>
      <c r="D477" s="2" t="n"/>
      <c r="E477" s="2" t="n"/>
      <c r="F477" s="2" t="n"/>
    </row>
    <row r="478" ht="15.75" customHeight="1" s="57">
      <c r="A478" s="2" t="n"/>
      <c r="B478" s="2" t="n"/>
      <c r="C478" s="2" t="n"/>
      <c r="D478" s="2" t="n"/>
      <c r="E478" s="2" t="n"/>
      <c r="F478" s="2" t="n"/>
    </row>
    <row r="479" ht="15.75" customHeight="1" s="57">
      <c r="A479" s="2" t="n"/>
      <c r="B479" s="2" t="n"/>
      <c r="C479" s="2" t="n"/>
      <c r="D479" s="2" t="n"/>
      <c r="E479" s="2" t="n"/>
      <c r="F479" s="2" t="n"/>
    </row>
    <row r="480" ht="15.75" customHeight="1" s="57">
      <c r="A480" s="2" t="n"/>
      <c r="B480" s="2" t="n"/>
      <c r="C480" s="2" t="n"/>
      <c r="D480" s="2" t="n"/>
      <c r="E480" s="2" t="n"/>
      <c r="F480" s="2" t="n"/>
    </row>
    <row r="481" ht="15.75" customHeight="1" s="57">
      <c r="A481" s="2" t="n"/>
      <c r="B481" s="2" t="n"/>
      <c r="C481" s="2" t="n"/>
      <c r="D481" s="2" t="n"/>
      <c r="E481" s="2" t="n"/>
      <c r="F481" s="2" t="n"/>
    </row>
    <row r="482" ht="15.75" customHeight="1" s="57">
      <c r="A482" s="2" t="n"/>
      <c r="B482" s="2" t="n"/>
      <c r="C482" s="2" t="n"/>
      <c r="D482" s="2" t="n"/>
      <c r="E482" s="2" t="n"/>
      <c r="F482" s="2" t="n"/>
    </row>
    <row r="483" ht="15.75" customHeight="1" s="57">
      <c r="A483" s="2" t="n"/>
      <c r="B483" s="2" t="n"/>
      <c r="C483" s="2" t="n"/>
      <c r="D483" s="2" t="n"/>
      <c r="E483" s="2" t="n"/>
      <c r="F483" s="2" t="n"/>
    </row>
    <row r="484" ht="15.75" customHeight="1" s="57">
      <c r="A484" s="2" t="n"/>
      <c r="B484" s="2" t="n"/>
      <c r="C484" s="2" t="n"/>
      <c r="D484" s="2" t="n"/>
      <c r="E484" s="2" t="n"/>
      <c r="F484" s="2" t="n"/>
    </row>
    <row r="485" ht="15.75" customHeight="1" s="57">
      <c r="A485" s="2" t="n"/>
      <c r="B485" s="2" t="n"/>
      <c r="C485" s="2" t="n"/>
      <c r="D485" s="2" t="n"/>
      <c r="E485" s="2" t="n"/>
      <c r="F485" s="2" t="n"/>
    </row>
    <row r="486" ht="15.75" customHeight="1" s="57">
      <c r="A486" s="2" t="n"/>
      <c r="B486" s="2" t="n"/>
      <c r="C486" s="2" t="n"/>
      <c r="D486" s="2" t="n"/>
      <c r="E486" s="2" t="n"/>
      <c r="F486" s="2" t="n"/>
    </row>
    <row r="487" ht="15.75" customHeight="1" s="57">
      <c r="A487" s="2" t="n"/>
      <c r="B487" s="2" t="n"/>
      <c r="C487" s="2" t="n"/>
      <c r="D487" s="2" t="n"/>
      <c r="E487" s="2" t="n"/>
      <c r="F487" s="2" t="n"/>
    </row>
    <row r="488" ht="15.75" customHeight="1" s="57">
      <c r="A488" s="2" t="n"/>
      <c r="B488" s="2" t="n"/>
      <c r="C488" s="2" t="n"/>
      <c r="D488" s="2" t="n"/>
      <c r="E488" s="2" t="n"/>
      <c r="F488" s="2" t="n"/>
    </row>
    <row r="489" ht="15.75" customHeight="1" s="57">
      <c r="A489" s="2" t="n"/>
      <c r="B489" s="2" t="n"/>
      <c r="C489" s="2" t="n"/>
      <c r="D489" s="2" t="n"/>
      <c r="E489" s="2" t="n"/>
      <c r="F489" s="2" t="n"/>
    </row>
    <row r="490" ht="15.75" customHeight="1" s="57">
      <c r="A490" s="2" t="n"/>
      <c r="B490" s="2" t="n"/>
      <c r="C490" s="2" t="n"/>
      <c r="D490" s="2" t="n"/>
      <c r="E490" s="2" t="n"/>
      <c r="F490" s="2" t="n"/>
    </row>
    <row r="491" ht="15.75" customHeight="1" s="57">
      <c r="A491" s="2" t="n"/>
      <c r="B491" s="2" t="n"/>
      <c r="C491" s="2" t="n"/>
      <c r="D491" s="2" t="n"/>
      <c r="E491" s="2" t="n"/>
      <c r="F491" s="2" t="n"/>
    </row>
    <row r="492" ht="15.75" customHeight="1" s="57">
      <c r="A492" s="2" t="n"/>
      <c r="B492" s="2" t="n"/>
      <c r="C492" s="2" t="n"/>
      <c r="D492" s="2" t="n"/>
      <c r="E492" s="2" t="n"/>
      <c r="F492" s="2" t="n"/>
    </row>
    <row r="493" ht="15.75" customHeight="1" s="57">
      <c r="A493" s="2" t="n"/>
      <c r="B493" s="2" t="n"/>
      <c r="C493" s="2" t="n"/>
      <c r="D493" s="2" t="n"/>
      <c r="E493" s="2" t="n"/>
      <c r="F493" s="2" t="n"/>
    </row>
    <row r="494" ht="15.75" customHeight="1" s="57">
      <c r="A494" s="2" t="n"/>
      <c r="B494" s="2" t="n"/>
      <c r="C494" s="2" t="n"/>
      <c r="D494" s="2" t="n"/>
      <c r="E494" s="2" t="n"/>
      <c r="F494" s="2" t="n"/>
    </row>
    <row r="495" ht="15.75" customHeight="1" s="57">
      <c r="A495" s="2" t="n"/>
      <c r="B495" s="2" t="n"/>
      <c r="C495" s="2" t="n"/>
      <c r="D495" s="2" t="n"/>
      <c r="E495" s="2" t="n"/>
      <c r="F495" s="2" t="n"/>
    </row>
    <row r="496" ht="15.75" customHeight="1" s="57">
      <c r="A496" s="2" t="n"/>
      <c r="B496" s="2" t="n"/>
      <c r="C496" s="2" t="n"/>
      <c r="D496" s="2" t="n"/>
      <c r="E496" s="2" t="n"/>
      <c r="F496" s="2" t="n"/>
    </row>
    <row r="497" ht="15.75" customHeight="1" s="57">
      <c r="A497" s="2" t="n"/>
      <c r="B497" s="2" t="n"/>
      <c r="C497" s="2" t="n"/>
      <c r="D497" s="2" t="n"/>
      <c r="E497" s="2" t="n"/>
      <c r="F497" s="2" t="n"/>
    </row>
    <row r="498" ht="15.75" customHeight="1" s="57">
      <c r="A498" s="2" t="n"/>
      <c r="B498" s="2" t="n"/>
      <c r="C498" s="2" t="n"/>
      <c r="D498" s="2" t="n"/>
      <c r="E498" s="2" t="n"/>
      <c r="F498" s="2" t="n"/>
    </row>
    <row r="499" ht="15.75" customHeight="1" s="57">
      <c r="A499" s="2" t="n"/>
      <c r="B499" s="2" t="n"/>
      <c r="C499" s="2" t="n"/>
      <c r="D499" s="2" t="n"/>
      <c r="E499" s="2" t="n"/>
      <c r="F499" s="2" t="n"/>
    </row>
    <row r="500" ht="15.75" customHeight="1" s="57">
      <c r="A500" s="2" t="n"/>
      <c r="B500" s="2" t="n"/>
      <c r="C500" s="2" t="n"/>
      <c r="D500" s="2" t="n"/>
      <c r="E500" s="2" t="n"/>
      <c r="F500" s="2" t="n"/>
    </row>
    <row r="501" ht="15.75" customHeight="1" s="57">
      <c r="A501" s="2" t="n"/>
      <c r="B501" s="2" t="n"/>
      <c r="C501" s="2" t="n"/>
      <c r="D501" s="2" t="n"/>
      <c r="E501" s="2" t="n"/>
      <c r="F501" s="2" t="n"/>
    </row>
    <row r="502" ht="15.75" customHeight="1" s="57">
      <c r="A502" s="2" t="n"/>
      <c r="B502" s="2" t="n"/>
      <c r="C502" s="2" t="n"/>
      <c r="D502" s="2" t="n"/>
      <c r="E502" s="2" t="n"/>
      <c r="F502" s="2" t="n"/>
    </row>
    <row r="503" ht="15.75" customHeight="1" s="57">
      <c r="A503" s="2" t="n"/>
      <c r="B503" s="2" t="n"/>
      <c r="C503" s="2" t="n"/>
      <c r="D503" s="2" t="n"/>
      <c r="E503" s="2" t="n"/>
      <c r="F503" s="2" t="n"/>
    </row>
    <row r="504" ht="15.75" customHeight="1" s="57">
      <c r="A504" s="2" t="n"/>
      <c r="B504" s="2" t="n"/>
      <c r="C504" s="2" t="n"/>
      <c r="D504" s="2" t="n"/>
      <c r="E504" s="2" t="n"/>
      <c r="F504" s="2" t="n"/>
    </row>
    <row r="505" ht="15.75" customHeight="1" s="57">
      <c r="A505" s="2" t="n"/>
      <c r="B505" s="2" t="n"/>
      <c r="C505" s="2" t="n"/>
      <c r="D505" s="2" t="n"/>
      <c r="E505" s="2" t="n"/>
      <c r="F505" s="2" t="n"/>
    </row>
    <row r="506" ht="15.75" customHeight="1" s="57">
      <c r="A506" s="2" t="n"/>
      <c r="B506" s="2" t="n"/>
      <c r="C506" s="2" t="n"/>
      <c r="D506" s="2" t="n"/>
      <c r="E506" s="2" t="n"/>
      <c r="F506" s="2" t="n"/>
    </row>
    <row r="507" ht="15.75" customHeight="1" s="57">
      <c r="A507" s="2" t="n"/>
      <c r="B507" s="2" t="n"/>
      <c r="C507" s="2" t="n"/>
      <c r="D507" s="2" t="n"/>
      <c r="E507" s="2" t="n"/>
      <c r="F507" s="2" t="n"/>
    </row>
    <row r="508" ht="15.75" customHeight="1" s="57">
      <c r="A508" s="2" t="n"/>
      <c r="B508" s="2" t="n"/>
      <c r="C508" s="2" t="n"/>
      <c r="D508" s="2" t="n"/>
      <c r="E508" s="2" t="n"/>
      <c r="F508" s="2" t="n"/>
    </row>
    <row r="509" ht="15.75" customHeight="1" s="57">
      <c r="A509" s="2" t="n"/>
      <c r="B509" s="2" t="n"/>
      <c r="C509" s="2" t="n"/>
      <c r="D509" s="2" t="n"/>
      <c r="E509" s="2" t="n"/>
      <c r="F509" s="2" t="n"/>
    </row>
    <row r="510" ht="15.75" customHeight="1" s="57">
      <c r="A510" s="2" t="n"/>
      <c r="B510" s="2" t="n"/>
      <c r="C510" s="2" t="n"/>
      <c r="D510" s="2" t="n"/>
      <c r="E510" s="2" t="n"/>
      <c r="F510" s="2" t="n"/>
    </row>
    <row r="511" ht="15.75" customHeight="1" s="57">
      <c r="A511" s="2" t="n"/>
      <c r="B511" s="2" t="n"/>
      <c r="C511" s="2" t="n"/>
      <c r="D511" s="2" t="n"/>
      <c r="E511" s="2" t="n"/>
      <c r="F511" s="2" t="n"/>
    </row>
    <row r="512" ht="15.75" customHeight="1" s="57">
      <c r="A512" s="2" t="n"/>
      <c r="B512" s="2" t="n"/>
      <c r="C512" s="2" t="n"/>
      <c r="D512" s="2" t="n"/>
      <c r="E512" s="2" t="n"/>
      <c r="F512" s="2" t="n"/>
    </row>
    <row r="513" ht="15.75" customHeight="1" s="57">
      <c r="A513" s="2" t="n"/>
      <c r="B513" s="2" t="n"/>
      <c r="C513" s="2" t="n"/>
      <c r="D513" s="2" t="n"/>
      <c r="E513" s="2" t="n"/>
      <c r="F513" s="2" t="n"/>
    </row>
    <row r="514" ht="15.75" customHeight="1" s="57">
      <c r="A514" s="2" t="n"/>
      <c r="B514" s="2" t="n"/>
      <c r="C514" s="2" t="n"/>
      <c r="D514" s="2" t="n"/>
      <c r="E514" s="2" t="n"/>
      <c r="F514" s="2" t="n"/>
    </row>
    <row r="515" ht="15.75" customHeight="1" s="57">
      <c r="A515" s="2" t="n"/>
      <c r="B515" s="2" t="n"/>
      <c r="C515" s="2" t="n"/>
      <c r="D515" s="2" t="n"/>
      <c r="E515" s="2" t="n"/>
      <c r="F515" s="2" t="n"/>
    </row>
    <row r="516" ht="15.75" customHeight="1" s="57">
      <c r="A516" s="2" t="n"/>
      <c r="B516" s="2" t="n"/>
      <c r="C516" s="2" t="n"/>
      <c r="D516" s="2" t="n"/>
      <c r="E516" s="2" t="n"/>
      <c r="F516" s="2" t="n"/>
    </row>
    <row r="517" ht="15.75" customHeight="1" s="57">
      <c r="A517" s="2" t="n"/>
      <c r="B517" s="2" t="n"/>
      <c r="C517" s="2" t="n"/>
      <c r="D517" s="2" t="n"/>
      <c r="E517" s="2" t="n"/>
      <c r="F517" s="2" t="n"/>
    </row>
    <row r="518" ht="15.75" customHeight="1" s="57">
      <c r="A518" s="2" t="n"/>
      <c r="B518" s="2" t="n"/>
      <c r="C518" s="2" t="n"/>
      <c r="D518" s="2" t="n"/>
      <c r="E518" s="2" t="n"/>
      <c r="F518" s="2" t="n"/>
    </row>
    <row r="519" ht="15.75" customHeight="1" s="57">
      <c r="A519" s="2" t="n"/>
      <c r="B519" s="2" t="n"/>
      <c r="C519" s="2" t="n"/>
      <c r="D519" s="2" t="n"/>
      <c r="E519" s="2" t="n"/>
      <c r="F519" s="2" t="n"/>
    </row>
    <row r="520" ht="15.75" customHeight="1" s="57">
      <c r="A520" s="2" t="n"/>
      <c r="B520" s="2" t="n"/>
      <c r="C520" s="2" t="n"/>
      <c r="D520" s="2" t="n"/>
      <c r="E520" s="2" t="n"/>
      <c r="F520" s="2" t="n"/>
    </row>
    <row r="521" ht="15.75" customHeight="1" s="57">
      <c r="A521" s="2" t="n"/>
      <c r="B521" s="2" t="n"/>
      <c r="C521" s="2" t="n"/>
      <c r="D521" s="2" t="n"/>
      <c r="E521" s="2" t="n"/>
      <c r="F521" s="2" t="n"/>
    </row>
    <row r="522" ht="15.75" customHeight="1" s="57">
      <c r="A522" s="2" t="n"/>
      <c r="B522" s="2" t="n"/>
      <c r="C522" s="2" t="n"/>
      <c r="D522" s="2" t="n"/>
      <c r="E522" s="2" t="n"/>
      <c r="F522" s="2" t="n"/>
    </row>
    <row r="523" ht="15.75" customHeight="1" s="57">
      <c r="A523" s="2" t="n"/>
      <c r="B523" s="2" t="n"/>
      <c r="C523" s="2" t="n"/>
      <c r="D523" s="2" t="n"/>
      <c r="E523" s="2" t="n"/>
      <c r="F523" s="2" t="n"/>
    </row>
    <row r="524" ht="15.75" customHeight="1" s="57">
      <c r="A524" s="2" t="n"/>
      <c r="B524" s="2" t="n"/>
      <c r="C524" s="2" t="n"/>
      <c r="D524" s="2" t="n"/>
      <c r="E524" s="2" t="n"/>
      <c r="F524" s="2" t="n"/>
    </row>
    <row r="525" ht="15.75" customHeight="1" s="57">
      <c r="A525" s="2" t="n"/>
      <c r="B525" s="2" t="n"/>
      <c r="C525" s="2" t="n"/>
      <c r="D525" s="2" t="n"/>
      <c r="E525" s="2" t="n"/>
      <c r="F525" s="2" t="n"/>
    </row>
    <row r="526" ht="15.75" customHeight="1" s="57">
      <c r="A526" s="2" t="n"/>
      <c r="B526" s="2" t="n"/>
      <c r="C526" s="2" t="n"/>
      <c r="D526" s="2" t="n"/>
      <c r="E526" s="2" t="n"/>
      <c r="F526" s="2" t="n"/>
    </row>
    <row r="527" ht="15.75" customHeight="1" s="57">
      <c r="A527" s="2" t="n"/>
      <c r="B527" s="2" t="n"/>
      <c r="C527" s="2" t="n"/>
      <c r="D527" s="2" t="n"/>
      <c r="E527" s="2" t="n"/>
      <c r="F527" s="2" t="n"/>
    </row>
    <row r="528" ht="15.75" customHeight="1" s="57">
      <c r="A528" s="2" t="n"/>
      <c r="B528" s="2" t="n"/>
      <c r="C528" s="2" t="n"/>
      <c r="D528" s="2" t="n"/>
      <c r="E528" s="2" t="n"/>
      <c r="F528" s="2" t="n"/>
    </row>
    <row r="529" ht="15.75" customHeight="1" s="57">
      <c r="A529" s="2" t="n"/>
      <c r="B529" s="2" t="n"/>
      <c r="C529" s="2" t="n"/>
      <c r="D529" s="2" t="n"/>
      <c r="E529" s="2" t="n"/>
      <c r="F529" s="2" t="n"/>
    </row>
    <row r="530" ht="15.75" customHeight="1" s="57">
      <c r="A530" s="2" t="n"/>
      <c r="B530" s="2" t="n"/>
      <c r="C530" s="2" t="n"/>
      <c r="D530" s="2" t="n"/>
      <c r="E530" s="2" t="n"/>
      <c r="F530" s="2" t="n"/>
    </row>
    <row r="531" ht="15.75" customHeight="1" s="57">
      <c r="A531" s="2" t="n"/>
      <c r="B531" s="2" t="n"/>
      <c r="C531" s="2" t="n"/>
      <c r="D531" s="2" t="n"/>
      <c r="E531" s="2" t="n"/>
      <c r="F531" s="2" t="n"/>
    </row>
    <row r="532" ht="15.75" customHeight="1" s="57">
      <c r="A532" s="2" t="n"/>
      <c r="B532" s="2" t="n"/>
      <c r="C532" s="2" t="n"/>
      <c r="D532" s="2" t="n"/>
      <c r="E532" s="2" t="n"/>
      <c r="F532" s="2" t="n"/>
    </row>
    <row r="533" ht="15.75" customHeight="1" s="57">
      <c r="A533" s="2" t="n"/>
      <c r="B533" s="2" t="n"/>
      <c r="C533" s="2" t="n"/>
      <c r="D533" s="2" t="n"/>
      <c r="E533" s="2" t="n"/>
      <c r="F533" s="2" t="n"/>
    </row>
    <row r="534" ht="15.75" customHeight="1" s="57">
      <c r="A534" s="2" t="n"/>
      <c r="B534" s="2" t="n"/>
      <c r="C534" s="2" t="n"/>
      <c r="D534" s="2" t="n"/>
      <c r="E534" s="2" t="n"/>
      <c r="F534" s="2" t="n"/>
    </row>
    <row r="535" ht="15.75" customHeight="1" s="57">
      <c r="A535" s="2" t="n"/>
      <c r="B535" s="2" t="n"/>
      <c r="C535" s="2" t="n"/>
      <c r="D535" s="2" t="n"/>
      <c r="E535" s="2" t="n"/>
      <c r="F535" s="2" t="n"/>
    </row>
    <row r="536" ht="15.75" customHeight="1" s="57">
      <c r="A536" s="2" t="n"/>
      <c r="B536" s="2" t="n"/>
      <c r="C536" s="2" t="n"/>
      <c r="D536" s="2" t="n"/>
      <c r="E536" s="2" t="n"/>
      <c r="F536" s="2" t="n"/>
    </row>
    <row r="537" ht="15.75" customHeight="1" s="57">
      <c r="A537" s="2" t="n"/>
      <c r="B537" s="2" t="n"/>
      <c r="C537" s="2" t="n"/>
      <c r="D537" s="2" t="n"/>
      <c r="E537" s="2" t="n"/>
      <c r="F537" s="2" t="n"/>
    </row>
    <row r="538" ht="15.75" customHeight="1" s="57">
      <c r="A538" s="2" t="n"/>
      <c r="B538" s="2" t="n"/>
      <c r="C538" s="2" t="n"/>
      <c r="D538" s="2" t="n"/>
      <c r="E538" s="2" t="n"/>
      <c r="F538" s="2" t="n"/>
    </row>
    <row r="539" ht="15.75" customHeight="1" s="57">
      <c r="A539" s="2" t="n"/>
      <c r="B539" s="2" t="n"/>
      <c r="C539" s="2" t="n"/>
      <c r="D539" s="2" t="n"/>
      <c r="E539" s="2" t="n"/>
      <c r="F539" s="2" t="n"/>
    </row>
    <row r="540" ht="15.75" customHeight="1" s="57">
      <c r="A540" s="2" t="n"/>
      <c r="B540" s="2" t="n"/>
      <c r="C540" s="2" t="n"/>
      <c r="D540" s="2" t="n"/>
      <c r="E540" s="2" t="n"/>
      <c r="F540" s="2" t="n"/>
    </row>
    <row r="541" ht="15.75" customHeight="1" s="57">
      <c r="A541" s="2" t="n"/>
      <c r="B541" s="2" t="n"/>
      <c r="C541" s="2" t="n"/>
      <c r="D541" s="2" t="n"/>
      <c r="E541" s="2" t="n"/>
      <c r="F541" s="2" t="n"/>
    </row>
    <row r="542" ht="15.75" customHeight="1" s="57">
      <c r="A542" s="2" t="n"/>
      <c r="B542" s="2" t="n"/>
      <c r="C542" s="2" t="n"/>
      <c r="D542" s="2" t="n"/>
      <c r="E542" s="2" t="n"/>
      <c r="F542" s="2" t="n"/>
    </row>
    <row r="543" ht="15.75" customHeight="1" s="57">
      <c r="A543" s="2" t="n"/>
      <c r="B543" s="2" t="n"/>
      <c r="C543" s="2" t="n"/>
      <c r="D543" s="2" t="n"/>
      <c r="E543" s="2" t="n"/>
      <c r="F543" s="2" t="n"/>
    </row>
    <row r="544" ht="15.75" customHeight="1" s="57">
      <c r="A544" s="2" t="n"/>
      <c r="B544" s="2" t="n"/>
      <c r="C544" s="2" t="n"/>
      <c r="D544" s="2" t="n"/>
      <c r="E544" s="2" t="n"/>
      <c r="F544" s="2" t="n"/>
    </row>
    <row r="545" ht="15.75" customHeight="1" s="57">
      <c r="A545" s="2" t="n"/>
      <c r="B545" s="2" t="n"/>
      <c r="C545" s="2" t="n"/>
      <c r="D545" s="2" t="n"/>
      <c r="E545" s="2" t="n"/>
      <c r="F545" s="2" t="n"/>
    </row>
    <row r="546" ht="15.75" customHeight="1" s="57">
      <c r="A546" s="2" t="n"/>
      <c r="B546" s="2" t="n"/>
      <c r="C546" s="2" t="n"/>
      <c r="D546" s="2" t="n"/>
      <c r="E546" s="2" t="n"/>
      <c r="F546" s="2" t="n"/>
    </row>
    <row r="547" ht="15.75" customHeight="1" s="57">
      <c r="A547" s="2" t="n"/>
      <c r="B547" s="2" t="n"/>
      <c r="C547" s="2" t="n"/>
      <c r="D547" s="2" t="n"/>
      <c r="E547" s="2" t="n"/>
      <c r="F547" s="2" t="n"/>
    </row>
    <row r="548" ht="15.75" customHeight="1" s="57">
      <c r="A548" s="2" t="n"/>
      <c r="B548" s="2" t="n"/>
      <c r="C548" s="2" t="n"/>
      <c r="D548" s="2" t="n"/>
      <c r="E548" s="2" t="n"/>
      <c r="F548" s="2" t="n"/>
    </row>
    <row r="549" ht="15.75" customHeight="1" s="57">
      <c r="A549" s="2" t="n"/>
      <c r="B549" s="2" t="n"/>
      <c r="C549" s="2" t="n"/>
      <c r="D549" s="2" t="n"/>
      <c r="E549" s="2" t="n"/>
      <c r="F549" s="2" t="n"/>
    </row>
    <row r="550" ht="15.75" customHeight="1" s="57">
      <c r="A550" s="2" t="n"/>
      <c r="B550" s="2" t="n"/>
      <c r="C550" s="2" t="n"/>
      <c r="D550" s="2" t="n"/>
      <c r="E550" s="2" t="n"/>
      <c r="F550" s="2" t="n"/>
    </row>
    <row r="551" ht="15.75" customHeight="1" s="57">
      <c r="A551" s="2" t="n"/>
      <c r="B551" s="2" t="n"/>
      <c r="C551" s="2" t="n"/>
      <c r="D551" s="2" t="n"/>
      <c r="E551" s="2" t="n"/>
      <c r="F551" s="2" t="n"/>
    </row>
    <row r="552" ht="15.75" customHeight="1" s="57">
      <c r="A552" s="2" t="n"/>
      <c r="B552" s="2" t="n"/>
      <c r="C552" s="2" t="n"/>
      <c r="D552" s="2" t="n"/>
      <c r="E552" s="2" t="n"/>
      <c r="F552" s="2" t="n"/>
    </row>
    <row r="553" ht="15.75" customHeight="1" s="57">
      <c r="A553" s="2" t="n"/>
      <c r="B553" s="2" t="n"/>
      <c r="C553" s="2" t="n"/>
      <c r="D553" s="2" t="n"/>
      <c r="E553" s="2" t="n"/>
      <c r="F553" s="2" t="n"/>
    </row>
    <row r="554" ht="15.75" customHeight="1" s="57">
      <c r="A554" s="2" t="n"/>
      <c r="B554" s="2" t="n"/>
      <c r="C554" s="2" t="n"/>
      <c r="D554" s="2" t="n"/>
      <c r="E554" s="2" t="n"/>
      <c r="F554" s="2" t="n"/>
    </row>
    <row r="555" ht="15.75" customHeight="1" s="57">
      <c r="A555" s="2" t="n"/>
      <c r="B555" s="2" t="n"/>
      <c r="C555" s="2" t="n"/>
      <c r="D555" s="2" t="n"/>
      <c r="E555" s="2" t="n"/>
      <c r="F555" s="2" t="n"/>
    </row>
    <row r="556" ht="15.75" customHeight="1" s="57">
      <c r="A556" s="2" t="n"/>
      <c r="B556" s="2" t="n"/>
      <c r="C556" s="2" t="n"/>
      <c r="D556" s="2" t="n"/>
      <c r="E556" s="2" t="n"/>
      <c r="F556" s="2" t="n"/>
    </row>
    <row r="557" ht="15.75" customHeight="1" s="57">
      <c r="A557" s="2" t="n"/>
      <c r="B557" s="2" t="n"/>
      <c r="C557" s="2" t="n"/>
      <c r="D557" s="2" t="n"/>
      <c r="E557" s="2" t="n"/>
      <c r="F557" s="2" t="n"/>
    </row>
    <row r="558" ht="15.75" customHeight="1" s="57">
      <c r="A558" s="2" t="n"/>
      <c r="B558" s="2" t="n"/>
      <c r="C558" s="2" t="n"/>
      <c r="D558" s="2" t="n"/>
      <c r="E558" s="2" t="n"/>
      <c r="F558" s="2" t="n"/>
    </row>
    <row r="559" ht="15.75" customHeight="1" s="57">
      <c r="A559" s="2" t="n"/>
      <c r="B559" s="2" t="n"/>
      <c r="C559" s="2" t="n"/>
      <c r="D559" s="2" t="n"/>
      <c r="E559" s="2" t="n"/>
      <c r="F559" s="2" t="n"/>
    </row>
    <row r="560" ht="15.75" customHeight="1" s="57">
      <c r="A560" s="2" t="n"/>
      <c r="B560" s="2" t="n"/>
      <c r="C560" s="2" t="n"/>
      <c r="D560" s="2" t="n"/>
      <c r="E560" s="2" t="n"/>
      <c r="F560" s="2" t="n"/>
    </row>
    <row r="561" ht="15.75" customHeight="1" s="57">
      <c r="A561" s="2" t="n"/>
      <c r="B561" s="2" t="n"/>
      <c r="C561" s="2" t="n"/>
      <c r="D561" s="2" t="n"/>
      <c r="E561" s="2" t="n"/>
      <c r="F561" s="2" t="n"/>
    </row>
    <row r="562" ht="15.75" customHeight="1" s="57">
      <c r="A562" s="2" t="n"/>
      <c r="B562" s="2" t="n"/>
      <c r="C562" s="2" t="n"/>
      <c r="D562" s="2" t="n"/>
      <c r="E562" s="2" t="n"/>
      <c r="F562" s="2" t="n"/>
    </row>
    <row r="563" ht="15.75" customHeight="1" s="57">
      <c r="A563" s="2" t="n"/>
      <c r="B563" s="2" t="n"/>
      <c r="C563" s="2" t="n"/>
      <c r="D563" s="2" t="n"/>
      <c r="E563" s="2" t="n"/>
      <c r="F563" s="2" t="n"/>
    </row>
    <row r="564" ht="15.75" customHeight="1" s="57">
      <c r="A564" s="2" t="n"/>
      <c r="B564" s="2" t="n"/>
      <c r="C564" s="2" t="n"/>
      <c r="D564" s="2" t="n"/>
      <c r="E564" s="2" t="n"/>
      <c r="F564" s="2" t="n"/>
    </row>
    <row r="565" ht="15.75" customHeight="1" s="57">
      <c r="A565" s="2" t="n"/>
      <c r="B565" s="2" t="n"/>
      <c r="C565" s="2" t="n"/>
      <c r="D565" s="2" t="n"/>
      <c r="E565" s="2" t="n"/>
      <c r="F565" s="2" t="n"/>
    </row>
    <row r="566" ht="15.75" customHeight="1" s="57">
      <c r="A566" s="2" t="n"/>
      <c r="B566" s="2" t="n"/>
      <c r="C566" s="2" t="n"/>
      <c r="D566" s="2" t="n"/>
      <c r="E566" s="2" t="n"/>
      <c r="F566" s="2" t="n"/>
    </row>
    <row r="567" ht="15.75" customHeight="1" s="57">
      <c r="A567" s="2" t="n"/>
      <c r="B567" s="2" t="n"/>
      <c r="C567" s="2" t="n"/>
      <c r="D567" s="2" t="n"/>
      <c r="E567" s="2" t="n"/>
      <c r="F567" s="2" t="n"/>
    </row>
    <row r="568" ht="15.75" customHeight="1" s="57">
      <c r="A568" s="2" t="n"/>
      <c r="B568" s="2" t="n"/>
      <c r="C568" s="2" t="n"/>
      <c r="D568" s="2" t="n"/>
      <c r="E568" s="2" t="n"/>
      <c r="F568" s="2" t="n"/>
    </row>
    <row r="569" ht="15.75" customHeight="1" s="57">
      <c r="A569" s="2" t="n"/>
      <c r="B569" s="2" t="n"/>
      <c r="C569" s="2" t="n"/>
      <c r="D569" s="2" t="n"/>
      <c r="E569" s="2" t="n"/>
      <c r="F569" s="2" t="n"/>
    </row>
    <row r="570" ht="15.75" customHeight="1" s="57">
      <c r="A570" s="2" t="n"/>
      <c r="B570" s="2" t="n"/>
      <c r="C570" s="2" t="n"/>
      <c r="D570" s="2" t="n"/>
      <c r="E570" s="2" t="n"/>
      <c r="F570" s="2" t="n"/>
    </row>
    <row r="571" ht="15.75" customHeight="1" s="57">
      <c r="A571" s="2" t="n"/>
      <c r="B571" s="2" t="n"/>
      <c r="C571" s="2" t="n"/>
      <c r="D571" s="2" t="n"/>
      <c r="E571" s="2" t="n"/>
      <c r="F571" s="2" t="n"/>
    </row>
    <row r="572" ht="15.75" customHeight="1" s="57">
      <c r="A572" s="2" t="n"/>
      <c r="B572" s="2" t="n"/>
      <c r="C572" s="2" t="n"/>
      <c r="D572" s="2" t="n"/>
      <c r="E572" s="2" t="n"/>
      <c r="F572" s="2" t="n"/>
    </row>
    <row r="573" ht="15.75" customHeight="1" s="57">
      <c r="A573" s="2" t="n"/>
      <c r="B573" s="2" t="n"/>
      <c r="C573" s="2" t="n"/>
      <c r="D573" s="2" t="n"/>
      <c r="E573" s="2" t="n"/>
      <c r="F573" s="2" t="n"/>
    </row>
    <row r="574" ht="15.75" customHeight="1" s="57">
      <c r="A574" s="2" t="n"/>
      <c r="B574" s="2" t="n"/>
      <c r="C574" s="2" t="n"/>
      <c r="D574" s="2" t="n"/>
      <c r="E574" s="2" t="n"/>
      <c r="F574" s="2" t="n"/>
    </row>
    <row r="575" ht="15.75" customHeight="1" s="57">
      <c r="A575" s="2" t="n"/>
      <c r="B575" s="2" t="n"/>
      <c r="C575" s="2" t="n"/>
      <c r="D575" s="2" t="n"/>
      <c r="E575" s="2" t="n"/>
      <c r="F575" s="2" t="n"/>
    </row>
    <row r="576" ht="15.75" customHeight="1" s="57">
      <c r="A576" s="2" t="n"/>
      <c r="B576" s="2" t="n"/>
      <c r="C576" s="2" t="n"/>
      <c r="D576" s="2" t="n"/>
      <c r="E576" s="2" t="n"/>
      <c r="F576" s="2" t="n"/>
    </row>
    <row r="577" ht="15.75" customHeight="1" s="57">
      <c r="A577" s="2" t="n"/>
      <c r="B577" s="2" t="n"/>
      <c r="C577" s="2" t="n"/>
      <c r="D577" s="2" t="n"/>
      <c r="E577" s="2" t="n"/>
      <c r="F577" s="2" t="n"/>
    </row>
    <row r="578" ht="15.75" customHeight="1" s="57">
      <c r="A578" s="2" t="n"/>
      <c r="B578" s="2" t="n"/>
      <c r="C578" s="2" t="n"/>
      <c r="D578" s="2" t="n"/>
      <c r="E578" s="2" t="n"/>
      <c r="F578" s="2" t="n"/>
    </row>
    <row r="579" ht="15.75" customHeight="1" s="57">
      <c r="A579" s="2" t="n"/>
      <c r="B579" s="2" t="n"/>
      <c r="C579" s="2" t="n"/>
      <c r="D579" s="2" t="n"/>
      <c r="E579" s="2" t="n"/>
      <c r="F579" s="2" t="n"/>
    </row>
    <row r="580" ht="15.75" customHeight="1" s="57">
      <c r="A580" s="2" t="n"/>
      <c r="B580" s="2" t="n"/>
      <c r="C580" s="2" t="n"/>
      <c r="D580" s="2" t="n"/>
      <c r="E580" s="2" t="n"/>
      <c r="F580" s="2" t="n"/>
    </row>
    <row r="581" ht="15.75" customHeight="1" s="57">
      <c r="A581" s="2" t="n"/>
      <c r="B581" s="2" t="n"/>
      <c r="C581" s="2" t="n"/>
      <c r="D581" s="2" t="n"/>
      <c r="E581" s="2" t="n"/>
      <c r="F581" s="2" t="n"/>
    </row>
    <row r="582" ht="15.75" customHeight="1" s="57">
      <c r="A582" s="2" t="n"/>
      <c r="B582" s="2" t="n"/>
      <c r="C582" s="2" t="n"/>
      <c r="D582" s="2" t="n"/>
      <c r="E582" s="2" t="n"/>
      <c r="F582" s="2" t="n"/>
    </row>
    <row r="583" ht="15.75" customHeight="1" s="57">
      <c r="A583" s="2" t="n"/>
      <c r="B583" s="2" t="n"/>
      <c r="C583" s="2" t="n"/>
      <c r="D583" s="2" t="n"/>
      <c r="E583" s="2" t="n"/>
      <c r="F583" s="2" t="n"/>
    </row>
    <row r="584" ht="15.75" customHeight="1" s="57">
      <c r="A584" s="2" t="n"/>
      <c r="B584" s="2" t="n"/>
      <c r="C584" s="2" t="n"/>
      <c r="D584" s="2" t="n"/>
      <c r="E584" s="2" t="n"/>
      <c r="F584" s="2" t="n"/>
    </row>
    <row r="585" ht="15.75" customHeight="1" s="57">
      <c r="A585" s="2" t="n"/>
      <c r="B585" s="2" t="n"/>
      <c r="C585" s="2" t="n"/>
      <c r="D585" s="2" t="n"/>
      <c r="E585" s="2" t="n"/>
      <c r="F585" s="2" t="n"/>
    </row>
    <row r="586" ht="15.75" customHeight="1" s="57">
      <c r="A586" s="2" t="n"/>
      <c r="B586" s="2" t="n"/>
      <c r="C586" s="2" t="n"/>
      <c r="D586" s="2" t="n"/>
      <c r="E586" s="2" t="n"/>
      <c r="F586" s="2" t="n"/>
    </row>
    <row r="587" ht="15.75" customHeight="1" s="57">
      <c r="A587" s="2" t="n"/>
      <c r="B587" s="2" t="n"/>
      <c r="C587" s="2" t="n"/>
      <c r="D587" s="2" t="n"/>
      <c r="E587" s="2" t="n"/>
      <c r="F587" s="2" t="n"/>
    </row>
    <row r="588" ht="15.75" customHeight="1" s="57">
      <c r="A588" s="2" t="n"/>
      <c r="B588" s="2" t="n"/>
      <c r="C588" s="2" t="n"/>
      <c r="D588" s="2" t="n"/>
      <c r="E588" s="2" t="n"/>
      <c r="F588" s="2" t="n"/>
    </row>
    <row r="589" ht="15.75" customHeight="1" s="57">
      <c r="A589" s="2" t="n"/>
      <c r="B589" s="2" t="n"/>
      <c r="C589" s="2" t="n"/>
      <c r="D589" s="2" t="n"/>
      <c r="E589" s="2" t="n"/>
      <c r="F589" s="2" t="n"/>
    </row>
    <row r="590" ht="15.75" customHeight="1" s="57">
      <c r="A590" s="2" t="n"/>
      <c r="B590" s="2" t="n"/>
      <c r="C590" s="2" t="n"/>
      <c r="D590" s="2" t="n"/>
      <c r="E590" s="2" t="n"/>
      <c r="F590" s="2" t="n"/>
    </row>
    <row r="591" ht="15.75" customHeight="1" s="57">
      <c r="A591" s="2" t="n"/>
      <c r="B591" s="2" t="n"/>
      <c r="C591" s="2" t="n"/>
      <c r="D591" s="2" t="n"/>
      <c r="E591" s="2" t="n"/>
      <c r="F591" s="2" t="n"/>
    </row>
    <row r="592" ht="15.75" customHeight="1" s="57">
      <c r="A592" s="2" t="n"/>
      <c r="B592" s="2" t="n"/>
      <c r="C592" s="2" t="n"/>
      <c r="D592" s="2" t="n"/>
      <c r="E592" s="2" t="n"/>
      <c r="F592" s="2" t="n"/>
    </row>
    <row r="593" ht="15.75" customHeight="1" s="57">
      <c r="A593" s="2" t="n"/>
      <c r="B593" s="2" t="n"/>
      <c r="C593" s="2" t="n"/>
      <c r="D593" s="2" t="n"/>
      <c r="E593" s="2" t="n"/>
      <c r="F593" s="2" t="n"/>
    </row>
    <row r="594" ht="15.75" customHeight="1" s="57">
      <c r="A594" s="2" t="n"/>
      <c r="B594" s="2" t="n"/>
      <c r="C594" s="2" t="n"/>
      <c r="D594" s="2" t="n"/>
      <c r="E594" s="2" t="n"/>
      <c r="F594" s="2" t="n"/>
    </row>
    <row r="595" ht="15.75" customHeight="1" s="57">
      <c r="A595" s="2" t="n"/>
      <c r="B595" s="2" t="n"/>
      <c r="C595" s="2" t="n"/>
      <c r="D595" s="2" t="n"/>
      <c r="E595" s="2" t="n"/>
      <c r="F595" s="2" t="n"/>
    </row>
    <row r="596" ht="15.75" customHeight="1" s="57">
      <c r="A596" s="2" t="n"/>
      <c r="B596" s="2" t="n"/>
      <c r="C596" s="2" t="n"/>
      <c r="D596" s="2" t="n"/>
      <c r="E596" s="2" t="n"/>
      <c r="F596" s="2" t="n"/>
    </row>
    <row r="597" ht="15.75" customHeight="1" s="57">
      <c r="A597" s="2" t="n"/>
      <c r="B597" s="2" t="n"/>
      <c r="C597" s="2" t="n"/>
      <c r="D597" s="2" t="n"/>
      <c r="E597" s="2" t="n"/>
      <c r="F597" s="2" t="n"/>
    </row>
    <row r="598" ht="15.75" customHeight="1" s="57">
      <c r="A598" s="2" t="n"/>
      <c r="B598" s="2" t="n"/>
      <c r="C598" s="2" t="n"/>
      <c r="D598" s="2" t="n"/>
      <c r="E598" s="2" t="n"/>
      <c r="F598" s="2" t="n"/>
    </row>
    <row r="599" ht="15.75" customHeight="1" s="57">
      <c r="A599" s="2" t="n"/>
      <c r="B599" s="2" t="n"/>
      <c r="C599" s="2" t="n"/>
      <c r="D599" s="2" t="n"/>
      <c r="E599" s="2" t="n"/>
      <c r="F599" s="2" t="n"/>
    </row>
    <row r="600" ht="15.75" customHeight="1" s="57">
      <c r="A600" s="2" t="n"/>
      <c r="B600" s="2" t="n"/>
      <c r="C600" s="2" t="n"/>
      <c r="D600" s="2" t="n"/>
      <c r="E600" s="2" t="n"/>
      <c r="F600" s="2" t="n"/>
    </row>
    <row r="601" ht="15.75" customHeight="1" s="57">
      <c r="A601" s="2" t="n"/>
      <c r="B601" s="2" t="n"/>
      <c r="C601" s="2" t="n"/>
      <c r="D601" s="2" t="n"/>
      <c r="E601" s="2" t="n"/>
      <c r="F601" s="2" t="n"/>
    </row>
    <row r="602" ht="15.75" customHeight="1" s="57">
      <c r="A602" s="2" t="n"/>
      <c r="B602" s="2" t="n"/>
      <c r="C602" s="2" t="n"/>
      <c r="D602" s="2" t="n"/>
      <c r="E602" s="2" t="n"/>
      <c r="F602" s="2" t="n"/>
    </row>
    <row r="603" ht="15.75" customHeight="1" s="57">
      <c r="A603" s="2" t="n"/>
      <c r="B603" s="2" t="n"/>
      <c r="C603" s="2" t="n"/>
      <c r="D603" s="2" t="n"/>
      <c r="E603" s="2" t="n"/>
      <c r="F603" s="2" t="n"/>
    </row>
    <row r="604" ht="15.75" customHeight="1" s="57">
      <c r="A604" s="2" t="n"/>
      <c r="B604" s="2" t="n"/>
      <c r="C604" s="2" t="n"/>
      <c r="D604" s="2" t="n"/>
      <c r="E604" s="2" t="n"/>
      <c r="F604" s="2" t="n"/>
    </row>
    <row r="605" ht="15.75" customHeight="1" s="57">
      <c r="A605" s="2" t="n"/>
      <c r="B605" s="2" t="n"/>
      <c r="C605" s="2" t="n"/>
      <c r="D605" s="2" t="n"/>
      <c r="E605" s="2" t="n"/>
      <c r="F605" s="2" t="n"/>
    </row>
    <row r="606" ht="15.75" customHeight="1" s="57">
      <c r="A606" s="2" t="n"/>
      <c r="B606" s="2" t="n"/>
      <c r="C606" s="2" t="n"/>
      <c r="D606" s="2" t="n"/>
      <c r="E606" s="2" t="n"/>
      <c r="F606" s="2" t="n"/>
    </row>
    <row r="607" ht="15.75" customHeight="1" s="57">
      <c r="A607" s="2" t="n"/>
      <c r="B607" s="2" t="n"/>
      <c r="C607" s="2" t="n"/>
      <c r="D607" s="2" t="n"/>
      <c r="E607" s="2" t="n"/>
      <c r="F607" s="2" t="n"/>
    </row>
    <row r="608" ht="15.75" customHeight="1" s="57">
      <c r="A608" s="2" t="n"/>
      <c r="B608" s="2" t="n"/>
      <c r="C608" s="2" t="n"/>
      <c r="D608" s="2" t="n"/>
      <c r="E608" s="2" t="n"/>
      <c r="F608" s="2" t="n"/>
    </row>
    <row r="609" ht="15.75" customHeight="1" s="57">
      <c r="A609" s="2" t="n"/>
      <c r="B609" s="2" t="n"/>
      <c r="C609" s="2" t="n"/>
      <c r="D609" s="2" t="n"/>
      <c r="E609" s="2" t="n"/>
      <c r="F609" s="2" t="n"/>
    </row>
    <row r="610" ht="15.75" customHeight="1" s="57">
      <c r="A610" s="2" t="n"/>
      <c r="B610" s="2" t="n"/>
      <c r="C610" s="2" t="n"/>
      <c r="D610" s="2" t="n"/>
      <c r="E610" s="2" t="n"/>
      <c r="F610" s="2" t="n"/>
    </row>
    <row r="611" ht="15.75" customHeight="1" s="57">
      <c r="A611" s="2" t="n"/>
      <c r="B611" s="2" t="n"/>
      <c r="C611" s="2" t="n"/>
      <c r="D611" s="2" t="n"/>
      <c r="E611" s="2" t="n"/>
      <c r="F611" s="2" t="n"/>
    </row>
    <row r="612" ht="15.75" customHeight="1" s="57">
      <c r="A612" s="2" t="n"/>
      <c r="B612" s="2" t="n"/>
      <c r="C612" s="2" t="n"/>
      <c r="D612" s="2" t="n"/>
      <c r="E612" s="2" t="n"/>
      <c r="F612" s="2" t="n"/>
    </row>
    <row r="613" ht="15.75" customHeight="1" s="57">
      <c r="A613" s="2" t="n"/>
      <c r="B613" s="2" t="n"/>
      <c r="C613" s="2" t="n"/>
      <c r="D613" s="2" t="n"/>
      <c r="E613" s="2" t="n"/>
      <c r="F613" s="2" t="n"/>
    </row>
    <row r="614" ht="15.75" customHeight="1" s="57">
      <c r="A614" s="2" t="n"/>
      <c r="B614" s="2" t="n"/>
      <c r="C614" s="2" t="n"/>
      <c r="D614" s="2" t="n"/>
      <c r="E614" s="2" t="n"/>
      <c r="F614" s="2" t="n"/>
    </row>
    <row r="615" ht="15.75" customHeight="1" s="57">
      <c r="A615" s="2" t="n"/>
      <c r="B615" s="2" t="n"/>
      <c r="C615" s="2" t="n"/>
      <c r="D615" s="2" t="n"/>
      <c r="E615" s="2" t="n"/>
      <c r="F615" s="2" t="n"/>
    </row>
    <row r="616" ht="15.75" customHeight="1" s="57">
      <c r="A616" s="2" t="n"/>
      <c r="B616" s="2" t="n"/>
      <c r="C616" s="2" t="n"/>
      <c r="D616" s="2" t="n"/>
      <c r="E616" s="2" t="n"/>
      <c r="F616" s="2" t="n"/>
    </row>
    <row r="617" ht="15.75" customHeight="1" s="57">
      <c r="A617" s="2" t="n"/>
      <c r="B617" s="2" t="n"/>
      <c r="C617" s="2" t="n"/>
      <c r="D617" s="2" t="n"/>
      <c r="E617" s="2" t="n"/>
      <c r="F617" s="2" t="n"/>
    </row>
    <row r="618" ht="15.75" customHeight="1" s="57">
      <c r="A618" s="2" t="n"/>
      <c r="B618" s="2" t="n"/>
      <c r="C618" s="2" t="n"/>
      <c r="D618" s="2" t="n"/>
      <c r="E618" s="2" t="n"/>
      <c r="F618" s="2" t="n"/>
    </row>
    <row r="619" ht="15.75" customHeight="1" s="57">
      <c r="A619" s="2" t="n"/>
      <c r="B619" s="2" t="n"/>
      <c r="C619" s="2" t="n"/>
      <c r="D619" s="2" t="n"/>
      <c r="E619" s="2" t="n"/>
      <c r="F619" s="2" t="n"/>
    </row>
    <row r="620" ht="15.75" customHeight="1" s="57">
      <c r="A620" s="2" t="n"/>
      <c r="B620" s="2" t="n"/>
      <c r="C620" s="2" t="n"/>
      <c r="D620" s="2" t="n"/>
      <c r="E620" s="2" t="n"/>
      <c r="F620" s="2" t="n"/>
    </row>
    <row r="621" ht="15.75" customHeight="1" s="57">
      <c r="A621" s="2" t="n"/>
      <c r="B621" s="2" t="n"/>
      <c r="C621" s="2" t="n"/>
      <c r="D621" s="2" t="n"/>
      <c r="E621" s="2" t="n"/>
      <c r="F621" s="2" t="n"/>
    </row>
    <row r="622" ht="15.75" customHeight="1" s="57">
      <c r="A622" s="2" t="n"/>
      <c r="B622" s="2" t="n"/>
      <c r="C622" s="2" t="n"/>
      <c r="D622" s="2" t="n"/>
      <c r="E622" s="2" t="n"/>
      <c r="F622" s="2" t="n"/>
    </row>
    <row r="623" ht="15.75" customHeight="1" s="57">
      <c r="A623" s="2" t="n"/>
      <c r="B623" s="2" t="n"/>
      <c r="C623" s="2" t="n"/>
      <c r="D623" s="2" t="n"/>
      <c r="E623" s="2" t="n"/>
      <c r="F623" s="2" t="n"/>
    </row>
    <row r="624" ht="15.75" customHeight="1" s="57">
      <c r="A624" s="2" t="n"/>
      <c r="B624" s="2" t="n"/>
      <c r="C624" s="2" t="n"/>
      <c r="D624" s="2" t="n"/>
      <c r="E624" s="2" t="n"/>
      <c r="F624" s="2" t="n"/>
    </row>
    <row r="625" ht="15.75" customHeight="1" s="57">
      <c r="A625" s="2" t="n"/>
      <c r="B625" s="2" t="n"/>
      <c r="C625" s="2" t="n"/>
      <c r="D625" s="2" t="n"/>
      <c r="E625" s="2" t="n"/>
      <c r="F625" s="2" t="n"/>
    </row>
    <row r="626" ht="15.75" customHeight="1" s="57">
      <c r="A626" s="2" t="n"/>
      <c r="B626" s="2" t="n"/>
      <c r="C626" s="2" t="n"/>
      <c r="D626" s="2" t="n"/>
      <c r="E626" s="2" t="n"/>
      <c r="F626" s="2" t="n"/>
    </row>
    <row r="627" ht="15.75" customHeight="1" s="57">
      <c r="A627" s="2" t="n"/>
      <c r="B627" s="2" t="n"/>
      <c r="C627" s="2" t="n"/>
      <c r="D627" s="2" t="n"/>
      <c r="E627" s="2" t="n"/>
      <c r="F627" s="2" t="n"/>
    </row>
    <row r="628" ht="15.75" customHeight="1" s="57">
      <c r="A628" s="2" t="n"/>
      <c r="B628" s="2" t="n"/>
      <c r="C628" s="2" t="n"/>
      <c r="D628" s="2" t="n"/>
      <c r="E628" s="2" t="n"/>
      <c r="F628" s="2" t="n"/>
    </row>
    <row r="629" ht="15.75" customHeight="1" s="57">
      <c r="A629" s="2" t="n"/>
      <c r="B629" s="2" t="n"/>
      <c r="C629" s="2" t="n"/>
      <c r="D629" s="2" t="n"/>
      <c r="E629" s="2" t="n"/>
      <c r="F629" s="2" t="n"/>
    </row>
    <row r="630" ht="15.75" customHeight="1" s="57">
      <c r="A630" s="2" t="n"/>
      <c r="B630" s="2" t="n"/>
      <c r="C630" s="2" t="n"/>
      <c r="D630" s="2" t="n"/>
      <c r="E630" s="2" t="n"/>
      <c r="F630" s="2" t="n"/>
    </row>
    <row r="631" ht="15.75" customHeight="1" s="57">
      <c r="A631" s="2" t="n"/>
      <c r="B631" s="2" t="n"/>
      <c r="C631" s="2" t="n"/>
      <c r="D631" s="2" t="n"/>
      <c r="E631" s="2" t="n"/>
      <c r="F631" s="2" t="n"/>
    </row>
    <row r="632" ht="15.75" customHeight="1" s="57">
      <c r="A632" s="2" t="n"/>
      <c r="B632" s="2" t="n"/>
      <c r="C632" s="2" t="n"/>
      <c r="D632" s="2" t="n"/>
      <c r="E632" s="2" t="n"/>
      <c r="F632" s="2" t="n"/>
    </row>
    <row r="633" ht="15.75" customHeight="1" s="57">
      <c r="A633" s="2" t="n"/>
      <c r="B633" s="2" t="n"/>
      <c r="C633" s="2" t="n"/>
      <c r="D633" s="2" t="n"/>
      <c r="E633" s="2" t="n"/>
      <c r="F633" s="2" t="n"/>
    </row>
    <row r="634" ht="15.75" customHeight="1" s="57">
      <c r="A634" s="2" t="n"/>
      <c r="B634" s="2" t="n"/>
      <c r="C634" s="2" t="n"/>
      <c r="D634" s="2" t="n"/>
      <c r="E634" s="2" t="n"/>
      <c r="F634" s="2" t="n"/>
    </row>
    <row r="635" ht="15.75" customHeight="1" s="57">
      <c r="A635" s="2" t="n"/>
      <c r="B635" s="2" t="n"/>
      <c r="C635" s="2" t="n"/>
      <c r="D635" s="2" t="n"/>
      <c r="E635" s="2" t="n"/>
      <c r="F635" s="2" t="n"/>
    </row>
    <row r="636" ht="15.75" customHeight="1" s="57">
      <c r="A636" s="2" t="n"/>
      <c r="B636" s="2" t="n"/>
      <c r="C636" s="2" t="n"/>
      <c r="D636" s="2" t="n"/>
      <c r="E636" s="2" t="n"/>
      <c r="F636" s="2" t="n"/>
    </row>
    <row r="637" ht="15.75" customHeight="1" s="57">
      <c r="A637" s="2" t="n"/>
      <c r="B637" s="2" t="n"/>
      <c r="C637" s="2" t="n"/>
      <c r="D637" s="2" t="n"/>
      <c r="E637" s="2" t="n"/>
      <c r="F637" s="2" t="n"/>
    </row>
    <row r="638" ht="15.75" customHeight="1" s="57">
      <c r="A638" s="2" t="n"/>
      <c r="B638" s="2" t="n"/>
      <c r="C638" s="2" t="n"/>
      <c r="D638" s="2" t="n"/>
      <c r="E638" s="2" t="n"/>
      <c r="F638" s="2" t="n"/>
    </row>
    <row r="639" ht="15.75" customHeight="1" s="57">
      <c r="A639" s="2" t="n"/>
      <c r="B639" s="2" t="n"/>
      <c r="C639" s="2" t="n"/>
      <c r="D639" s="2" t="n"/>
      <c r="E639" s="2" t="n"/>
      <c r="F639" s="2" t="n"/>
    </row>
    <row r="640" ht="15.75" customHeight="1" s="57">
      <c r="A640" s="2" t="n"/>
      <c r="B640" s="2" t="n"/>
      <c r="C640" s="2" t="n"/>
      <c r="D640" s="2" t="n"/>
      <c r="E640" s="2" t="n"/>
      <c r="F640" s="2" t="n"/>
    </row>
    <row r="641" ht="15.75" customHeight="1" s="57">
      <c r="A641" s="2" t="n"/>
      <c r="B641" s="2" t="n"/>
      <c r="C641" s="2" t="n"/>
      <c r="D641" s="2" t="n"/>
      <c r="E641" s="2" t="n"/>
      <c r="F641" s="2" t="n"/>
    </row>
    <row r="642" ht="15.75" customHeight="1" s="57">
      <c r="A642" s="2" t="n"/>
      <c r="B642" s="2" t="n"/>
      <c r="C642" s="2" t="n"/>
      <c r="D642" s="2" t="n"/>
      <c r="E642" s="2" t="n"/>
      <c r="F642" s="2" t="n"/>
    </row>
    <row r="643" ht="15.75" customHeight="1" s="57">
      <c r="A643" s="2" t="n"/>
      <c r="B643" s="2" t="n"/>
      <c r="C643" s="2" t="n"/>
      <c r="D643" s="2" t="n"/>
      <c r="E643" s="2" t="n"/>
      <c r="F643" s="2" t="n"/>
    </row>
    <row r="644" ht="15.75" customHeight="1" s="57">
      <c r="A644" s="2" t="n"/>
      <c r="B644" s="2" t="n"/>
      <c r="C644" s="2" t="n"/>
      <c r="D644" s="2" t="n"/>
      <c r="E644" s="2" t="n"/>
      <c r="F644" s="2" t="n"/>
    </row>
    <row r="645" ht="15.75" customHeight="1" s="57">
      <c r="A645" s="2" t="n"/>
      <c r="B645" s="2" t="n"/>
      <c r="C645" s="2" t="n"/>
      <c r="D645" s="2" t="n"/>
      <c r="E645" s="2" t="n"/>
      <c r="F645" s="2" t="n"/>
    </row>
    <row r="646" ht="15.75" customHeight="1" s="57">
      <c r="A646" s="2" t="n"/>
      <c r="B646" s="2" t="n"/>
      <c r="C646" s="2" t="n"/>
      <c r="D646" s="2" t="n"/>
      <c r="E646" s="2" t="n"/>
      <c r="F646" s="2" t="n"/>
    </row>
    <row r="647" ht="15.75" customHeight="1" s="57">
      <c r="A647" s="2" t="n"/>
      <c r="B647" s="2" t="n"/>
      <c r="C647" s="2" t="n"/>
      <c r="D647" s="2" t="n"/>
      <c r="E647" s="2" t="n"/>
      <c r="F647" s="2" t="n"/>
    </row>
    <row r="648" ht="15.75" customHeight="1" s="57">
      <c r="A648" s="2" t="n"/>
      <c r="B648" s="2" t="n"/>
      <c r="C648" s="2" t="n"/>
      <c r="D648" s="2" t="n"/>
      <c r="E648" s="2" t="n"/>
      <c r="F648" s="2" t="n"/>
    </row>
    <row r="649" ht="15.75" customHeight="1" s="57">
      <c r="A649" s="2" t="n"/>
      <c r="B649" s="2" t="n"/>
      <c r="C649" s="2" t="n"/>
      <c r="D649" s="2" t="n"/>
      <c r="E649" s="2" t="n"/>
      <c r="F649" s="2" t="n"/>
    </row>
    <row r="650" ht="15.75" customHeight="1" s="57">
      <c r="A650" s="2" t="n"/>
      <c r="B650" s="2" t="n"/>
      <c r="C650" s="2" t="n"/>
      <c r="D650" s="2" t="n"/>
      <c r="E650" s="2" t="n"/>
      <c r="F650" s="2" t="n"/>
    </row>
    <row r="651" ht="15.75" customHeight="1" s="57">
      <c r="A651" s="2" t="n"/>
      <c r="B651" s="2" t="n"/>
      <c r="C651" s="2" t="n"/>
      <c r="D651" s="2" t="n"/>
      <c r="E651" s="2" t="n"/>
      <c r="F651" s="2" t="n"/>
    </row>
    <row r="652" ht="15.75" customHeight="1" s="57">
      <c r="A652" s="2" t="n"/>
      <c r="B652" s="2" t="n"/>
      <c r="C652" s="2" t="n"/>
      <c r="D652" s="2" t="n"/>
      <c r="E652" s="2" t="n"/>
      <c r="F652" s="2" t="n"/>
    </row>
    <row r="653" ht="15.75" customHeight="1" s="57">
      <c r="A653" s="2" t="n"/>
      <c r="B653" s="2" t="n"/>
      <c r="C653" s="2" t="n"/>
      <c r="D653" s="2" t="n"/>
      <c r="E653" s="2" t="n"/>
      <c r="F653" s="2" t="n"/>
    </row>
    <row r="654" ht="15.75" customHeight="1" s="57">
      <c r="A654" s="2" t="n"/>
      <c r="B654" s="2" t="n"/>
      <c r="C654" s="2" t="n"/>
      <c r="D654" s="2" t="n"/>
      <c r="E654" s="2" t="n"/>
      <c r="F654" s="2" t="n"/>
    </row>
    <row r="655" ht="15.75" customHeight="1" s="57">
      <c r="A655" s="2" t="n"/>
      <c r="B655" s="2" t="n"/>
      <c r="C655" s="2" t="n"/>
      <c r="D655" s="2" t="n"/>
      <c r="E655" s="2" t="n"/>
      <c r="F655" s="2" t="n"/>
    </row>
    <row r="656" ht="15.75" customHeight="1" s="57">
      <c r="A656" s="2" t="n"/>
      <c r="B656" s="2" t="n"/>
      <c r="C656" s="2" t="n"/>
      <c r="D656" s="2" t="n"/>
      <c r="E656" s="2" t="n"/>
      <c r="F656" s="2" t="n"/>
    </row>
    <row r="657" ht="15.75" customHeight="1" s="57">
      <c r="A657" s="2" t="n"/>
      <c r="B657" s="2" t="n"/>
      <c r="C657" s="2" t="n"/>
      <c r="D657" s="2" t="n"/>
      <c r="E657" s="2" t="n"/>
      <c r="F657" s="2" t="n"/>
    </row>
    <row r="658" ht="15.75" customHeight="1" s="57">
      <c r="A658" s="2" t="n"/>
      <c r="B658" s="2" t="n"/>
      <c r="C658" s="2" t="n"/>
      <c r="D658" s="2" t="n"/>
      <c r="E658" s="2" t="n"/>
      <c r="F658" s="2" t="n"/>
    </row>
    <row r="659" ht="15.75" customHeight="1" s="57">
      <c r="A659" s="2" t="n"/>
      <c r="B659" s="2" t="n"/>
      <c r="C659" s="2" t="n"/>
      <c r="D659" s="2" t="n"/>
      <c r="E659" s="2" t="n"/>
      <c r="F659" s="2" t="n"/>
    </row>
    <row r="660" ht="15.75" customHeight="1" s="57">
      <c r="A660" s="2" t="n"/>
      <c r="B660" s="2" t="n"/>
      <c r="C660" s="2" t="n"/>
      <c r="D660" s="2" t="n"/>
      <c r="E660" s="2" t="n"/>
      <c r="F660" s="2" t="n"/>
    </row>
    <row r="661" ht="15.75" customHeight="1" s="57">
      <c r="A661" s="2" t="n"/>
      <c r="B661" s="2" t="n"/>
      <c r="C661" s="2" t="n"/>
      <c r="D661" s="2" t="n"/>
      <c r="E661" s="2" t="n"/>
      <c r="F661" s="2" t="n"/>
    </row>
    <row r="662" ht="15.75" customHeight="1" s="57">
      <c r="A662" s="2" t="n"/>
      <c r="B662" s="2" t="n"/>
      <c r="C662" s="2" t="n"/>
      <c r="D662" s="2" t="n"/>
      <c r="E662" s="2" t="n"/>
      <c r="F662" s="2" t="n"/>
    </row>
    <row r="663" ht="15.75" customHeight="1" s="57">
      <c r="A663" s="2" t="n"/>
      <c r="B663" s="2" t="n"/>
      <c r="C663" s="2" t="n"/>
      <c r="D663" s="2" t="n"/>
      <c r="E663" s="2" t="n"/>
      <c r="F663" s="2" t="n"/>
    </row>
    <row r="664" ht="15.75" customHeight="1" s="57">
      <c r="A664" s="2" t="n"/>
      <c r="B664" s="2" t="n"/>
      <c r="C664" s="2" t="n"/>
      <c r="D664" s="2" t="n"/>
      <c r="E664" s="2" t="n"/>
      <c r="F664" s="2" t="n"/>
    </row>
    <row r="665" ht="15.75" customHeight="1" s="57">
      <c r="A665" s="2" t="n"/>
      <c r="B665" s="2" t="n"/>
      <c r="C665" s="2" t="n"/>
      <c r="D665" s="2" t="n"/>
      <c r="E665" s="2" t="n"/>
      <c r="F665" s="2" t="n"/>
    </row>
    <row r="666" ht="15.75" customHeight="1" s="57">
      <c r="A666" s="2" t="n"/>
      <c r="B666" s="2" t="n"/>
      <c r="C666" s="2" t="n"/>
      <c r="D666" s="2" t="n"/>
      <c r="E666" s="2" t="n"/>
      <c r="F666" s="2" t="n"/>
    </row>
    <row r="667" ht="15.75" customHeight="1" s="57">
      <c r="A667" s="2" t="n"/>
      <c r="B667" s="2" t="n"/>
      <c r="C667" s="2" t="n"/>
      <c r="D667" s="2" t="n"/>
      <c r="E667" s="2" t="n"/>
      <c r="F667" s="2" t="n"/>
    </row>
    <row r="668" ht="15.75" customHeight="1" s="57">
      <c r="A668" s="2" t="n"/>
      <c r="B668" s="2" t="n"/>
      <c r="C668" s="2" t="n"/>
      <c r="D668" s="2" t="n"/>
      <c r="E668" s="2" t="n"/>
      <c r="F668" s="2" t="n"/>
    </row>
    <row r="669" ht="15.75" customHeight="1" s="57">
      <c r="A669" s="2" t="n"/>
      <c r="B669" s="2" t="n"/>
      <c r="C669" s="2" t="n"/>
      <c r="D669" s="2" t="n"/>
      <c r="E669" s="2" t="n"/>
      <c r="F669" s="2" t="n"/>
    </row>
    <row r="670" ht="15.75" customHeight="1" s="57">
      <c r="A670" s="2" t="n"/>
      <c r="B670" s="2" t="n"/>
      <c r="C670" s="2" t="n"/>
      <c r="D670" s="2" t="n"/>
      <c r="E670" s="2" t="n"/>
      <c r="F670" s="2" t="n"/>
    </row>
    <row r="671" ht="15.75" customHeight="1" s="57">
      <c r="A671" s="2" t="n"/>
      <c r="B671" s="2" t="n"/>
      <c r="C671" s="2" t="n"/>
      <c r="D671" s="2" t="n"/>
      <c r="E671" s="2" t="n"/>
      <c r="F671" s="2" t="n"/>
    </row>
    <row r="672" ht="15.75" customHeight="1" s="57">
      <c r="A672" s="2" t="n"/>
      <c r="B672" s="2" t="n"/>
      <c r="C672" s="2" t="n"/>
      <c r="D672" s="2" t="n"/>
      <c r="E672" s="2" t="n"/>
      <c r="F672" s="2" t="n"/>
    </row>
    <row r="673" ht="15.75" customHeight="1" s="57">
      <c r="A673" s="2" t="n"/>
      <c r="B673" s="2" t="n"/>
      <c r="C673" s="2" t="n"/>
      <c r="D673" s="2" t="n"/>
      <c r="E673" s="2" t="n"/>
      <c r="F673" s="2" t="n"/>
    </row>
    <row r="674" ht="15.75" customHeight="1" s="57">
      <c r="A674" s="2" t="n"/>
      <c r="B674" s="2" t="n"/>
      <c r="C674" s="2" t="n"/>
      <c r="D674" s="2" t="n"/>
      <c r="E674" s="2" t="n"/>
      <c r="F674" s="2" t="n"/>
    </row>
    <row r="675" ht="15.75" customHeight="1" s="57">
      <c r="A675" s="2" t="n"/>
      <c r="B675" s="2" t="n"/>
      <c r="C675" s="2" t="n"/>
      <c r="D675" s="2" t="n"/>
      <c r="E675" s="2" t="n"/>
      <c r="F675" s="2" t="n"/>
    </row>
    <row r="676" ht="15.75" customHeight="1" s="57">
      <c r="A676" s="2" t="n"/>
      <c r="B676" s="2" t="n"/>
      <c r="C676" s="2" t="n"/>
      <c r="D676" s="2" t="n"/>
      <c r="E676" s="2" t="n"/>
      <c r="F676" s="2" t="n"/>
    </row>
    <row r="677" ht="15.75" customHeight="1" s="57">
      <c r="A677" s="2" t="n"/>
      <c r="B677" s="2" t="n"/>
      <c r="C677" s="2" t="n"/>
      <c r="D677" s="2" t="n"/>
      <c r="E677" s="2" t="n"/>
      <c r="F677" s="2" t="n"/>
    </row>
    <row r="678" ht="15.75" customHeight="1" s="57">
      <c r="A678" s="2" t="n"/>
      <c r="B678" s="2" t="n"/>
      <c r="C678" s="2" t="n"/>
      <c r="D678" s="2" t="n"/>
      <c r="E678" s="2" t="n"/>
      <c r="F678" s="2" t="n"/>
    </row>
    <row r="679" ht="15.75" customHeight="1" s="57">
      <c r="A679" s="2" t="n"/>
      <c r="B679" s="2" t="n"/>
      <c r="C679" s="2" t="n"/>
      <c r="D679" s="2" t="n"/>
      <c r="E679" s="2" t="n"/>
      <c r="F679" s="2" t="n"/>
    </row>
    <row r="680" ht="15.75" customHeight="1" s="57">
      <c r="A680" s="2" t="n"/>
      <c r="B680" s="2" t="n"/>
      <c r="C680" s="2" t="n"/>
      <c r="D680" s="2" t="n"/>
      <c r="E680" s="2" t="n"/>
      <c r="F680" s="2" t="n"/>
    </row>
    <row r="681" ht="15.75" customHeight="1" s="57">
      <c r="A681" s="2" t="n"/>
      <c r="B681" s="2" t="n"/>
      <c r="C681" s="2" t="n"/>
      <c r="D681" s="2" t="n"/>
      <c r="E681" s="2" t="n"/>
      <c r="F681" s="2" t="n"/>
    </row>
    <row r="682" ht="15.75" customHeight="1" s="57">
      <c r="A682" s="2" t="n"/>
      <c r="B682" s="2" t="n"/>
      <c r="C682" s="2" t="n"/>
      <c r="D682" s="2" t="n"/>
      <c r="E682" s="2" t="n"/>
      <c r="F682" s="2" t="n"/>
    </row>
    <row r="683" ht="15.75" customHeight="1" s="57">
      <c r="A683" s="2" t="n"/>
      <c r="B683" s="2" t="n"/>
      <c r="C683" s="2" t="n"/>
      <c r="D683" s="2" t="n"/>
      <c r="E683" s="2" t="n"/>
      <c r="F683" s="2" t="n"/>
    </row>
    <row r="684" ht="15.75" customHeight="1" s="57">
      <c r="A684" s="2" t="n"/>
      <c r="B684" s="2" t="n"/>
      <c r="C684" s="2" t="n"/>
      <c r="D684" s="2" t="n"/>
      <c r="E684" s="2" t="n"/>
      <c r="F684" s="2" t="n"/>
    </row>
    <row r="685" ht="15.75" customHeight="1" s="57">
      <c r="A685" s="2" t="n"/>
      <c r="B685" s="2" t="n"/>
      <c r="C685" s="2" t="n"/>
      <c r="D685" s="2" t="n"/>
      <c r="E685" s="2" t="n"/>
      <c r="F685" s="2" t="n"/>
    </row>
    <row r="686" ht="15.75" customHeight="1" s="57">
      <c r="A686" s="2" t="n"/>
      <c r="B686" s="2" t="n"/>
      <c r="C686" s="2" t="n"/>
      <c r="D686" s="2" t="n"/>
      <c r="E686" s="2" t="n"/>
      <c r="F686" s="2" t="n"/>
    </row>
    <row r="687" ht="15.75" customHeight="1" s="57">
      <c r="A687" s="2" t="n"/>
      <c r="B687" s="2" t="n"/>
      <c r="C687" s="2" t="n"/>
      <c r="D687" s="2" t="n"/>
      <c r="E687" s="2" t="n"/>
      <c r="F687" s="2" t="n"/>
    </row>
    <row r="688" ht="15.75" customHeight="1" s="57">
      <c r="A688" s="2" t="n"/>
      <c r="B688" s="2" t="n"/>
      <c r="C688" s="2" t="n"/>
      <c r="D688" s="2" t="n"/>
      <c r="E688" s="2" t="n"/>
      <c r="F688" s="2" t="n"/>
    </row>
    <row r="689" ht="15.75" customHeight="1" s="57">
      <c r="A689" s="2" t="n"/>
      <c r="B689" s="2" t="n"/>
      <c r="C689" s="2" t="n"/>
      <c r="D689" s="2" t="n"/>
      <c r="E689" s="2" t="n"/>
      <c r="F689" s="2" t="n"/>
    </row>
    <row r="690" ht="15.75" customHeight="1" s="57">
      <c r="A690" s="2" t="n"/>
      <c r="B690" s="2" t="n"/>
      <c r="C690" s="2" t="n"/>
      <c r="D690" s="2" t="n"/>
      <c r="E690" s="2" t="n"/>
      <c r="F690" s="2" t="n"/>
    </row>
    <row r="691" ht="15.75" customHeight="1" s="57">
      <c r="A691" s="2" t="n"/>
      <c r="B691" s="2" t="n"/>
      <c r="C691" s="2" t="n"/>
      <c r="D691" s="2" t="n"/>
      <c r="E691" s="2" t="n"/>
      <c r="F691" s="2" t="n"/>
    </row>
    <row r="692" ht="15.75" customHeight="1" s="57">
      <c r="A692" s="2" t="n"/>
      <c r="B692" s="2" t="n"/>
      <c r="C692" s="2" t="n"/>
      <c r="D692" s="2" t="n"/>
      <c r="E692" s="2" t="n"/>
      <c r="F692" s="2" t="n"/>
    </row>
    <row r="693" ht="15.75" customHeight="1" s="57">
      <c r="A693" s="2" t="n"/>
      <c r="B693" s="2" t="n"/>
      <c r="C693" s="2" t="n"/>
      <c r="D693" s="2" t="n"/>
      <c r="E693" s="2" t="n"/>
      <c r="F693" s="2" t="n"/>
    </row>
    <row r="694" ht="15.75" customHeight="1" s="57">
      <c r="A694" s="2" t="n"/>
      <c r="B694" s="2" t="n"/>
      <c r="C694" s="2" t="n"/>
      <c r="D694" s="2" t="n"/>
      <c r="E694" s="2" t="n"/>
      <c r="F694" s="2" t="n"/>
    </row>
    <row r="695" ht="15.75" customHeight="1" s="57">
      <c r="A695" s="2" t="n"/>
      <c r="B695" s="2" t="n"/>
      <c r="C695" s="2" t="n"/>
      <c r="D695" s="2" t="n"/>
      <c r="E695" s="2" t="n"/>
      <c r="F695" s="2" t="n"/>
    </row>
    <row r="696" ht="15.75" customHeight="1" s="57">
      <c r="A696" s="2" t="n"/>
      <c r="B696" s="2" t="n"/>
      <c r="C696" s="2" t="n"/>
      <c r="D696" s="2" t="n"/>
      <c r="E696" s="2" t="n"/>
      <c r="F696" s="2" t="n"/>
    </row>
    <row r="697" ht="15.75" customHeight="1" s="57">
      <c r="A697" s="2" t="n"/>
      <c r="B697" s="2" t="n"/>
      <c r="C697" s="2" t="n"/>
      <c r="D697" s="2" t="n"/>
      <c r="E697" s="2" t="n"/>
      <c r="F697" s="2" t="n"/>
    </row>
    <row r="698" ht="15.75" customHeight="1" s="57">
      <c r="A698" s="2" t="n"/>
      <c r="B698" s="2" t="n"/>
      <c r="C698" s="2" t="n"/>
      <c r="D698" s="2" t="n"/>
      <c r="E698" s="2" t="n"/>
      <c r="F698" s="2" t="n"/>
    </row>
    <row r="699" ht="15.75" customHeight="1" s="57">
      <c r="A699" s="2" t="n"/>
      <c r="B699" s="2" t="n"/>
      <c r="C699" s="2" t="n"/>
      <c r="D699" s="2" t="n"/>
      <c r="E699" s="2" t="n"/>
      <c r="F699" s="2" t="n"/>
    </row>
    <row r="700" ht="15.75" customHeight="1" s="57">
      <c r="A700" s="2" t="n"/>
      <c r="B700" s="2" t="n"/>
      <c r="C700" s="2" t="n"/>
      <c r="D700" s="2" t="n"/>
      <c r="E700" s="2" t="n"/>
      <c r="F700" s="2" t="n"/>
    </row>
    <row r="701" ht="15.75" customHeight="1" s="57">
      <c r="A701" s="2" t="n"/>
      <c r="B701" s="2" t="n"/>
      <c r="C701" s="2" t="n"/>
      <c r="D701" s="2" t="n"/>
      <c r="E701" s="2" t="n"/>
      <c r="F701" s="2" t="n"/>
    </row>
    <row r="702" ht="15.75" customHeight="1" s="57">
      <c r="A702" s="2" t="n"/>
      <c r="B702" s="2" t="n"/>
      <c r="C702" s="2" t="n"/>
      <c r="D702" s="2" t="n"/>
      <c r="E702" s="2" t="n"/>
      <c r="F702" s="2" t="n"/>
    </row>
    <row r="703" ht="15.75" customHeight="1" s="57">
      <c r="A703" s="2" t="n"/>
      <c r="B703" s="2" t="n"/>
      <c r="C703" s="2" t="n"/>
      <c r="D703" s="2" t="n"/>
      <c r="E703" s="2" t="n"/>
      <c r="F703" s="2" t="n"/>
    </row>
    <row r="704" ht="15.75" customHeight="1" s="57">
      <c r="A704" s="2" t="n"/>
      <c r="B704" s="2" t="n"/>
      <c r="C704" s="2" t="n"/>
      <c r="D704" s="2" t="n"/>
      <c r="E704" s="2" t="n"/>
      <c r="F704" s="2" t="n"/>
    </row>
    <row r="705" ht="15.75" customHeight="1" s="57">
      <c r="A705" s="2" t="n"/>
      <c r="B705" s="2" t="n"/>
      <c r="C705" s="2" t="n"/>
      <c r="D705" s="2" t="n"/>
      <c r="E705" s="2" t="n"/>
      <c r="F705" s="2" t="n"/>
    </row>
    <row r="706" ht="15.75" customHeight="1" s="57">
      <c r="A706" s="2" t="n"/>
      <c r="B706" s="2" t="n"/>
      <c r="C706" s="2" t="n"/>
      <c r="D706" s="2" t="n"/>
      <c r="E706" s="2" t="n"/>
      <c r="F706" s="2" t="n"/>
    </row>
    <row r="707" ht="15.75" customHeight="1" s="57">
      <c r="A707" s="2" t="n"/>
      <c r="B707" s="2" t="n"/>
      <c r="C707" s="2" t="n"/>
      <c r="D707" s="2" t="n"/>
      <c r="E707" s="2" t="n"/>
      <c r="F707" s="2" t="n"/>
    </row>
    <row r="708" ht="15.75" customHeight="1" s="57">
      <c r="A708" s="2" t="n"/>
      <c r="B708" s="2" t="n"/>
      <c r="C708" s="2" t="n"/>
      <c r="D708" s="2" t="n"/>
      <c r="E708" s="2" t="n"/>
      <c r="F708" s="2" t="n"/>
    </row>
    <row r="709" ht="15.75" customHeight="1" s="57">
      <c r="A709" s="2" t="n"/>
      <c r="B709" s="2" t="n"/>
      <c r="C709" s="2" t="n"/>
      <c r="D709" s="2" t="n"/>
      <c r="E709" s="2" t="n"/>
      <c r="F709" s="2" t="n"/>
    </row>
    <row r="710" ht="15.75" customHeight="1" s="57">
      <c r="A710" s="2" t="n"/>
      <c r="B710" s="2" t="n"/>
      <c r="C710" s="2" t="n"/>
      <c r="D710" s="2" t="n"/>
      <c r="E710" s="2" t="n"/>
      <c r="F710" s="2" t="n"/>
    </row>
    <row r="711" ht="15.75" customHeight="1" s="57">
      <c r="A711" s="2" t="n"/>
      <c r="B711" s="2" t="n"/>
      <c r="C711" s="2" t="n"/>
      <c r="D711" s="2" t="n"/>
      <c r="E711" s="2" t="n"/>
      <c r="F711" s="2" t="n"/>
    </row>
    <row r="712" ht="15.75" customHeight="1" s="57">
      <c r="A712" s="2" t="n"/>
      <c r="B712" s="2" t="n"/>
      <c r="C712" s="2" t="n"/>
      <c r="D712" s="2" t="n"/>
      <c r="E712" s="2" t="n"/>
      <c r="F712" s="2" t="n"/>
    </row>
    <row r="713" ht="15.75" customHeight="1" s="57">
      <c r="A713" s="2" t="n"/>
      <c r="B713" s="2" t="n"/>
      <c r="C713" s="2" t="n"/>
      <c r="D713" s="2" t="n"/>
      <c r="E713" s="2" t="n"/>
      <c r="F713" s="2" t="n"/>
    </row>
    <row r="714" ht="15.75" customHeight="1" s="57">
      <c r="A714" s="2" t="n"/>
      <c r="B714" s="2" t="n"/>
      <c r="C714" s="2" t="n"/>
      <c r="D714" s="2" t="n"/>
      <c r="E714" s="2" t="n"/>
      <c r="F714" s="2" t="n"/>
    </row>
    <row r="715" ht="15.75" customHeight="1" s="57">
      <c r="A715" s="2" t="n"/>
      <c r="B715" s="2" t="n"/>
      <c r="C715" s="2" t="n"/>
      <c r="D715" s="2" t="n"/>
      <c r="E715" s="2" t="n"/>
      <c r="F715" s="2" t="n"/>
    </row>
    <row r="716" ht="15.75" customHeight="1" s="57">
      <c r="A716" s="2" t="n"/>
      <c r="B716" s="2" t="n"/>
      <c r="C716" s="2" t="n"/>
      <c r="D716" s="2" t="n"/>
      <c r="E716" s="2" t="n"/>
      <c r="F716" s="2" t="n"/>
    </row>
    <row r="717" ht="15.75" customHeight="1" s="57">
      <c r="A717" s="2" t="n"/>
      <c r="B717" s="2" t="n"/>
      <c r="C717" s="2" t="n"/>
      <c r="D717" s="2" t="n"/>
      <c r="E717" s="2" t="n"/>
      <c r="F717" s="2" t="n"/>
    </row>
    <row r="718" ht="15.75" customHeight="1" s="57">
      <c r="A718" s="2" t="n"/>
      <c r="B718" s="2" t="n"/>
      <c r="C718" s="2" t="n"/>
      <c r="D718" s="2" t="n"/>
      <c r="E718" s="2" t="n"/>
      <c r="F718" s="2" t="n"/>
    </row>
    <row r="719" ht="15.75" customHeight="1" s="57">
      <c r="A719" s="2" t="n"/>
      <c r="B719" s="2" t="n"/>
      <c r="C719" s="2" t="n"/>
      <c r="D719" s="2" t="n"/>
      <c r="E719" s="2" t="n"/>
      <c r="F719" s="2" t="n"/>
    </row>
    <row r="720" ht="15.75" customHeight="1" s="57">
      <c r="A720" s="2" t="n"/>
      <c r="B720" s="2" t="n"/>
      <c r="C720" s="2" t="n"/>
      <c r="D720" s="2" t="n"/>
      <c r="E720" s="2" t="n"/>
      <c r="F720" s="2" t="n"/>
    </row>
    <row r="721" ht="15.75" customHeight="1" s="57">
      <c r="A721" s="2" t="n"/>
      <c r="B721" s="2" t="n"/>
      <c r="C721" s="2" t="n"/>
      <c r="D721" s="2" t="n"/>
      <c r="E721" s="2" t="n"/>
      <c r="F721" s="2" t="n"/>
    </row>
    <row r="722" ht="15.75" customHeight="1" s="57">
      <c r="A722" s="2" t="n"/>
      <c r="B722" s="2" t="n"/>
      <c r="C722" s="2" t="n"/>
      <c r="D722" s="2" t="n"/>
      <c r="E722" s="2" t="n"/>
      <c r="F722" s="2" t="n"/>
    </row>
    <row r="723" ht="15.75" customHeight="1" s="57">
      <c r="A723" s="2" t="n"/>
      <c r="B723" s="2" t="n"/>
      <c r="C723" s="2" t="n"/>
      <c r="D723" s="2" t="n"/>
      <c r="E723" s="2" t="n"/>
      <c r="F723" s="2" t="n"/>
    </row>
    <row r="724" ht="15.75" customHeight="1" s="57">
      <c r="A724" s="2" t="n"/>
      <c r="B724" s="2" t="n"/>
      <c r="C724" s="2" t="n"/>
      <c r="D724" s="2" t="n"/>
      <c r="E724" s="2" t="n"/>
      <c r="F724" s="2" t="n"/>
    </row>
    <row r="725" ht="15.75" customHeight="1" s="57">
      <c r="A725" s="2" t="n"/>
      <c r="B725" s="2" t="n"/>
      <c r="C725" s="2" t="n"/>
      <c r="D725" s="2" t="n"/>
      <c r="E725" s="2" t="n"/>
      <c r="F725" s="2" t="n"/>
    </row>
    <row r="726" ht="15.75" customHeight="1" s="57">
      <c r="A726" s="2" t="n"/>
      <c r="B726" s="2" t="n"/>
      <c r="C726" s="2" t="n"/>
      <c r="D726" s="2" t="n"/>
      <c r="E726" s="2" t="n"/>
      <c r="F726" s="2" t="n"/>
    </row>
    <row r="727" ht="15.75" customHeight="1" s="57">
      <c r="A727" s="2" t="n"/>
      <c r="B727" s="2" t="n"/>
      <c r="C727" s="2" t="n"/>
      <c r="D727" s="2" t="n"/>
      <c r="E727" s="2" t="n"/>
      <c r="F727" s="2" t="n"/>
    </row>
    <row r="728" ht="15.75" customHeight="1" s="57">
      <c r="A728" s="2" t="n"/>
      <c r="B728" s="2" t="n"/>
      <c r="C728" s="2" t="n"/>
      <c r="D728" s="2" t="n"/>
      <c r="E728" s="2" t="n"/>
      <c r="F728" s="2" t="n"/>
    </row>
    <row r="729" ht="15.75" customHeight="1" s="57">
      <c r="A729" s="2" t="n"/>
      <c r="B729" s="2" t="n"/>
      <c r="C729" s="2" t="n"/>
      <c r="D729" s="2" t="n"/>
      <c r="E729" s="2" t="n"/>
      <c r="F729" s="2" t="n"/>
    </row>
    <row r="730" ht="15.75" customHeight="1" s="57">
      <c r="A730" s="2" t="n"/>
      <c r="B730" s="2" t="n"/>
      <c r="C730" s="2" t="n"/>
      <c r="D730" s="2" t="n"/>
      <c r="E730" s="2" t="n"/>
      <c r="F730" s="2" t="n"/>
    </row>
    <row r="731" ht="15.75" customHeight="1" s="57">
      <c r="A731" s="2" t="n"/>
      <c r="B731" s="2" t="n"/>
      <c r="C731" s="2" t="n"/>
      <c r="D731" s="2" t="n"/>
      <c r="E731" s="2" t="n"/>
      <c r="F731" s="2" t="n"/>
    </row>
    <row r="732" ht="15.75" customHeight="1" s="57">
      <c r="A732" s="2" t="n"/>
      <c r="B732" s="2" t="n"/>
      <c r="C732" s="2" t="n"/>
      <c r="D732" s="2" t="n"/>
      <c r="E732" s="2" t="n"/>
      <c r="F732" s="2" t="n"/>
    </row>
    <row r="733" ht="15.75" customHeight="1" s="57">
      <c r="A733" s="2" t="n"/>
      <c r="B733" s="2" t="n"/>
      <c r="C733" s="2" t="n"/>
      <c r="D733" s="2" t="n"/>
      <c r="E733" s="2" t="n"/>
      <c r="F733" s="2" t="n"/>
    </row>
    <row r="734" ht="15.75" customHeight="1" s="57">
      <c r="A734" s="2" t="n"/>
      <c r="B734" s="2" t="n"/>
      <c r="C734" s="2" t="n"/>
      <c r="D734" s="2" t="n"/>
      <c r="E734" s="2" t="n"/>
      <c r="F734" s="2" t="n"/>
    </row>
    <row r="735" ht="15.75" customHeight="1" s="57">
      <c r="A735" s="2" t="n"/>
      <c r="B735" s="2" t="n"/>
      <c r="C735" s="2" t="n"/>
      <c r="D735" s="2" t="n"/>
      <c r="E735" s="2" t="n"/>
      <c r="F735" s="2" t="n"/>
    </row>
    <row r="736" ht="15.75" customHeight="1" s="57">
      <c r="A736" s="2" t="n"/>
      <c r="B736" s="2" t="n"/>
      <c r="C736" s="2" t="n"/>
      <c r="D736" s="2" t="n"/>
      <c r="E736" s="2" t="n"/>
      <c r="F736" s="2" t="n"/>
    </row>
    <row r="737" ht="15.75" customHeight="1" s="57">
      <c r="A737" s="2" t="n"/>
      <c r="B737" s="2" t="n"/>
      <c r="C737" s="2" t="n"/>
      <c r="D737" s="2" t="n"/>
      <c r="E737" s="2" t="n"/>
      <c r="F737" s="2" t="n"/>
    </row>
    <row r="738" ht="15.75" customHeight="1" s="57">
      <c r="A738" s="2" t="n"/>
      <c r="B738" s="2" t="n"/>
      <c r="C738" s="2" t="n"/>
      <c r="D738" s="2" t="n"/>
      <c r="E738" s="2" t="n"/>
      <c r="F738" s="2" t="n"/>
    </row>
    <row r="739" ht="15.75" customHeight="1" s="57">
      <c r="A739" s="2" t="n"/>
      <c r="B739" s="2" t="n"/>
      <c r="C739" s="2" t="n"/>
      <c r="D739" s="2" t="n"/>
      <c r="E739" s="2" t="n"/>
      <c r="F739" s="2" t="n"/>
    </row>
    <row r="740" ht="15.75" customHeight="1" s="57">
      <c r="A740" s="2" t="n"/>
      <c r="B740" s="2" t="n"/>
      <c r="C740" s="2" t="n"/>
      <c r="D740" s="2" t="n"/>
      <c r="E740" s="2" t="n"/>
      <c r="F740" s="2" t="n"/>
    </row>
    <row r="741" ht="15.75" customHeight="1" s="57">
      <c r="A741" s="2" t="n"/>
      <c r="B741" s="2" t="n"/>
      <c r="C741" s="2" t="n"/>
      <c r="D741" s="2" t="n"/>
      <c r="E741" s="2" t="n"/>
      <c r="F741" s="2" t="n"/>
    </row>
    <row r="742" ht="15.75" customHeight="1" s="57">
      <c r="A742" s="2" t="n"/>
      <c r="B742" s="2" t="n"/>
      <c r="C742" s="2" t="n"/>
      <c r="D742" s="2" t="n"/>
      <c r="E742" s="2" t="n"/>
      <c r="F742" s="2" t="n"/>
    </row>
    <row r="743" ht="15.75" customHeight="1" s="57">
      <c r="A743" s="2" t="n"/>
      <c r="B743" s="2" t="n"/>
      <c r="C743" s="2" t="n"/>
      <c r="D743" s="2" t="n"/>
      <c r="E743" s="2" t="n"/>
      <c r="F743" s="2" t="n"/>
    </row>
    <row r="744" ht="15.75" customHeight="1" s="57">
      <c r="A744" s="2" t="n"/>
      <c r="B744" s="2" t="n"/>
      <c r="C744" s="2" t="n"/>
      <c r="D744" s="2" t="n"/>
      <c r="E744" s="2" t="n"/>
      <c r="F744" s="2" t="n"/>
    </row>
    <row r="745" ht="15.75" customHeight="1" s="57">
      <c r="A745" s="2" t="n"/>
      <c r="B745" s="2" t="n"/>
      <c r="C745" s="2" t="n"/>
      <c r="D745" s="2" t="n"/>
      <c r="E745" s="2" t="n"/>
      <c r="F745" s="2" t="n"/>
    </row>
    <row r="746" ht="15.75" customHeight="1" s="57">
      <c r="A746" s="2" t="n"/>
      <c r="B746" s="2" t="n"/>
      <c r="C746" s="2" t="n"/>
      <c r="D746" s="2" t="n"/>
      <c r="E746" s="2" t="n"/>
      <c r="F746" s="2" t="n"/>
    </row>
    <row r="747" ht="15.75" customHeight="1" s="57">
      <c r="A747" s="2" t="n"/>
      <c r="B747" s="2" t="n"/>
      <c r="C747" s="2" t="n"/>
      <c r="D747" s="2" t="n"/>
      <c r="E747" s="2" t="n"/>
      <c r="F747" s="2" t="n"/>
    </row>
    <row r="748" ht="15.75" customHeight="1" s="57">
      <c r="A748" s="2" t="n"/>
      <c r="B748" s="2" t="n"/>
      <c r="C748" s="2" t="n"/>
      <c r="D748" s="2" t="n"/>
      <c r="E748" s="2" t="n"/>
      <c r="F748" s="2" t="n"/>
    </row>
    <row r="749" ht="15.75" customHeight="1" s="57">
      <c r="A749" s="2" t="n"/>
      <c r="B749" s="2" t="n"/>
      <c r="C749" s="2" t="n"/>
      <c r="D749" s="2" t="n"/>
      <c r="E749" s="2" t="n"/>
      <c r="F749" s="2" t="n"/>
    </row>
    <row r="750" ht="15.75" customHeight="1" s="57">
      <c r="A750" s="2" t="n"/>
      <c r="B750" s="2" t="n"/>
      <c r="C750" s="2" t="n"/>
      <c r="D750" s="2" t="n"/>
      <c r="E750" s="2" t="n"/>
      <c r="F750" s="2" t="n"/>
    </row>
    <row r="751" ht="15.75" customHeight="1" s="57">
      <c r="A751" s="2" t="n"/>
      <c r="B751" s="2" t="n"/>
      <c r="C751" s="2" t="n"/>
      <c r="D751" s="2" t="n"/>
      <c r="E751" s="2" t="n"/>
      <c r="F751" s="2" t="n"/>
    </row>
    <row r="752" ht="15.75" customHeight="1" s="57">
      <c r="A752" s="2" t="n"/>
      <c r="B752" s="2" t="n"/>
      <c r="C752" s="2" t="n"/>
      <c r="D752" s="2" t="n"/>
      <c r="E752" s="2" t="n"/>
      <c r="F752" s="2" t="n"/>
    </row>
    <row r="753" ht="15.75" customHeight="1" s="57">
      <c r="A753" s="2" t="n"/>
      <c r="B753" s="2" t="n"/>
      <c r="C753" s="2" t="n"/>
      <c r="D753" s="2" t="n"/>
      <c r="E753" s="2" t="n"/>
      <c r="F753" s="2" t="n"/>
    </row>
    <row r="754" ht="15.75" customHeight="1" s="57">
      <c r="A754" s="2" t="n"/>
      <c r="B754" s="2" t="n"/>
      <c r="C754" s="2" t="n"/>
      <c r="D754" s="2" t="n"/>
      <c r="E754" s="2" t="n"/>
      <c r="F754" s="2" t="n"/>
    </row>
    <row r="755" ht="15.75" customHeight="1" s="57">
      <c r="A755" s="2" t="n"/>
      <c r="B755" s="2" t="n"/>
      <c r="C755" s="2" t="n"/>
      <c r="D755" s="2" t="n"/>
      <c r="E755" s="2" t="n"/>
      <c r="F755" s="2" t="n"/>
    </row>
    <row r="756" ht="15.75" customHeight="1" s="57">
      <c r="A756" s="2" t="n"/>
      <c r="B756" s="2" t="n"/>
      <c r="C756" s="2" t="n"/>
      <c r="D756" s="2" t="n"/>
      <c r="E756" s="2" t="n"/>
      <c r="F756" s="2" t="n"/>
    </row>
    <row r="757" ht="15.75" customHeight="1" s="57">
      <c r="A757" s="2" t="n"/>
      <c r="B757" s="2" t="n"/>
      <c r="C757" s="2" t="n"/>
      <c r="D757" s="2" t="n"/>
      <c r="E757" s="2" t="n"/>
      <c r="F757" s="2" t="n"/>
    </row>
    <row r="758" ht="15.75" customHeight="1" s="57">
      <c r="A758" s="2" t="n"/>
      <c r="B758" s="2" t="n"/>
      <c r="C758" s="2" t="n"/>
      <c r="D758" s="2" t="n"/>
      <c r="E758" s="2" t="n"/>
      <c r="F758" s="2" t="n"/>
    </row>
    <row r="759" ht="15.75" customHeight="1" s="57">
      <c r="A759" s="2" t="n"/>
      <c r="B759" s="2" t="n"/>
      <c r="C759" s="2" t="n"/>
      <c r="D759" s="2" t="n"/>
      <c r="E759" s="2" t="n"/>
      <c r="F759" s="2" t="n"/>
    </row>
    <row r="760" ht="15.75" customHeight="1" s="57">
      <c r="A760" s="2" t="n"/>
      <c r="B760" s="2" t="n"/>
      <c r="C760" s="2" t="n"/>
      <c r="D760" s="2" t="n"/>
      <c r="E760" s="2" t="n"/>
      <c r="F760" s="2" t="n"/>
    </row>
    <row r="761" ht="15.75" customHeight="1" s="57">
      <c r="A761" s="2" t="n"/>
      <c r="B761" s="2" t="n"/>
      <c r="C761" s="2" t="n"/>
      <c r="D761" s="2" t="n"/>
      <c r="E761" s="2" t="n"/>
      <c r="F761" s="2" t="n"/>
    </row>
    <row r="762" ht="15.75" customHeight="1" s="57">
      <c r="A762" s="2" t="n"/>
      <c r="B762" s="2" t="n"/>
      <c r="C762" s="2" t="n"/>
      <c r="D762" s="2" t="n"/>
      <c r="E762" s="2" t="n"/>
      <c r="F762" s="2" t="n"/>
    </row>
    <row r="763" ht="15.75" customHeight="1" s="57">
      <c r="A763" s="2" t="n"/>
      <c r="B763" s="2" t="n"/>
      <c r="C763" s="2" t="n"/>
      <c r="D763" s="2" t="n"/>
      <c r="E763" s="2" t="n"/>
      <c r="F763" s="2" t="n"/>
    </row>
    <row r="764" ht="15.75" customHeight="1" s="57">
      <c r="A764" s="2" t="n"/>
      <c r="B764" s="2" t="n"/>
      <c r="C764" s="2" t="n"/>
      <c r="D764" s="2" t="n"/>
      <c r="E764" s="2" t="n"/>
      <c r="F764" s="2" t="n"/>
    </row>
    <row r="765" ht="15.75" customHeight="1" s="57">
      <c r="A765" s="2" t="n"/>
      <c r="B765" s="2" t="n"/>
      <c r="C765" s="2" t="n"/>
      <c r="D765" s="2" t="n"/>
      <c r="E765" s="2" t="n"/>
      <c r="F765" s="2" t="n"/>
    </row>
    <row r="766" ht="15.75" customHeight="1" s="57">
      <c r="A766" s="2" t="n"/>
      <c r="B766" s="2" t="n"/>
      <c r="C766" s="2" t="n"/>
      <c r="D766" s="2" t="n"/>
      <c r="E766" s="2" t="n"/>
      <c r="F766" s="2" t="n"/>
    </row>
    <row r="767" ht="15.75" customHeight="1" s="57">
      <c r="A767" s="2" t="n"/>
      <c r="B767" s="2" t="n"/>
      <c r="C767" s="2" t="n"/>
      <c r="D767" s="2" t="n"/>
      <c r="E767" s="2" t="n"/>
      <c r="F767" s="2" t="n"/>
    </row>
    <row r="768" ht="15.75" customHeight="1" s="57">
      <c r="A768" s="2" t="n"/>
      <c r="B768" s="2" t="n"/>
      <c r="C768" s="2" t="n"/>
      <c r="D768" s="2" t="n"/>
      <c r="E768" s="2" t="n"/>
      <c r="F768" s="2" t="n"/>
    </row>
    <row r="769" ht="15.75" customHeight="1" s="57">
      <c r="A769" s="2" t="n"/>
      <c r="B769" s="2" t="n"/>
      <c r="C769" s="2" t="n"/>
      <c r="D769" s="2" t="n"/>
      <c r="E769" s="2" t="n"/>
      <c r="F769" s="2" t="n"/>
    </row>
    <row r="770" ht="15.75" customHeight="1" s="57">
      <c r="A770" s="2" t="n"/>
      <c r="B770" s="2" t="n"/>
      <c r="C770" s="2" t="n"/>
      <c r="D770" s="2" t="n"/>
      <c r="E770" s="2" t="n"/>
      <c r="F770" s="2" t="n"/>
    </row>
    <row r="771" ht="15.75" customHeight="1" s="57">
      <c r="A771" s="2" t="n"/>
      <c r="B771" s="2" t="n"/>
      <c r="C771" s="2" t="n"/>
      <c r="D771" s="2" t="n"/>
      <c r="E771" s="2" t="n"/>
      <c r="F771" s="2" t="n"/>
    </row>
    <row r="772" ht="15.75" customHeight="1" s="57">
      <c r="A772" s="2" t="n"/>
      <c r="B772" s="2" t="n"/>
      <c r="C772" s="2" t="n"/>
      <c r="D772" s="2" t="n"/>
      <c r="E772" s="2" t="n"/>
      <c r="F772" s="2" t="n"/>
    </row>
    <row r="773" ht="15.75" customHeight="1" s="57">
      <c r="A773" s="2" t="n"/>
      <c r="B773" s="2" t="n"/>
      <c r="C773" s="2" t="n"/>
      <c r="D773" s="2" t="n"/>
      <c r="E773" s="2" t="n"/>
      <c r="F773" s="2" t="n"/>
    </row>
    <row r="774" ht="15.75" customHeight="1" s="57">
      <c r="A774" s="2" t="n"/>
      <c r="B774" s="2" t="n"/>
      <c r="C774" s="2" t="n"/>
      <c r="D774" s="2" t="n"/>
      <c r="E774" s="2" t="n"/>
      <c r="F774" s="2" t="n"/>
    </row>
    <row r="775" ht="15.75" customHeight="1" s="57">
      <c r="A775" s="2" t="n"/>
      <c r="B775" s="2" t="n"/>
      <c r="C775" s="2" t="n"/>
      <c r="D775" s="2" t="n"/>
      <c r="E775" s="2" t="n"/>
      <c r="F775" s="2" t="n"/>
    </row>
    <row r="776" ht="15.75" customHeight="1" s="57">
      <c r="A776" s="2" t="n"/>
      <c r="B776" s="2" t="n"/>
      <c r="C776" s="2" t="n"/>
      <c r="D776" s="2" t="n"/>
      <c r="E776" s="2" t="n"/>
      <c r="F776" s="2" t="n"/>
    </row>
    <row r="777" ht="15.75" customHeight="1" s="57">
      <c r="A777" s="2" t="n"/>
      <c r="B777" s="2" t="n"/>
      <c r="C777" s="2" t="n"/>
      <c r="D777" s="2" t="n"/>
      <c r="E777" s="2" t="n"/>
      <c r="F777" s="2" t="n"/>
    </row>
    <row r="778" ht="15.75" customHeight="1" s="57">
      <c r="A778" s="2" t="n"/>
      <c r="B778" s="2" t="n"/>
      <c r="C778" s="2" t="n"/>
      <c r="D778" s="2" t="n"/>
      <c r="E778" s="2" t="n"/>
      <c r="F778" s="2" t="n"/>
    </row>
    <row r="779" ht="15.75" customHeight="1" s="57">
      <c r="A779" s="2" t="n"/>
      <c r="B779" s="2" t="n"/>
      <c r="C779" s="2" t="n"/>
      <c r="D779" s="2" t="n"/>
      <c r="E779" s="2" t="n"/>
      <c r="F779" s="2" t="n"/>
    </row>
    <row r="780" ht="15.75" customHeight="1" s="57">
      <c r="A780" s="2" t="n"/>
      <c r="B780" s="2" t="n"/>
      <c r="C780" s="2" t="n"/>
      <c r="D780" s="2" t="n"/>
      <c r="E780" s="2" t="n"/>
      <c r="F780" s="2" t="n"/>
    </row>
    <row r="781" ht="15.75" customHeight="1" s="57">
      <c r="A781" s="2" t="n"/>
      <c r="B781" s="2" t="n"/>
      <c r="C781" s="2" t="n"/>
      <c r="D781" s="2" t="n"/>
      <c r="E781" s="2" t="n"/>
      <c r="F781" s="2" t="n"/>
    </row>
    <row r="782" ht="15.75" customHeight="1" s="57">
      <c r="A782" s="2" t="n"/>
      <c r="B782" s="2" t="n"/>
      <c r="C782" s="2" t="n"/>
      <c r="D782" s="2" t="n"/>
      <c r="E782" s="2" t="n"/>
      <c r="F782" s="2" t="n"/>
    </row>
    <row r="783" ht="15.75" customHeight="1" s="57">
      <c r="A783" s="2" t="n"/>
      <c r="B783" s="2" t="n"/>
      <c r="C783" s="2" t="n"/>
      <c r="D783" s="2" t="n"/>
      <c r="E783" s="2" t="n"/>
      <c r="F783" s="2" t="n"/>
    </row>
    <row r="784" ht="15.75" customHeight="1" s="57">
      <c r="A784" s="2" t="n"/>
      <c r="B784" s="2" t="n"/>
      <c r="C784" s="2" t="n"/>
      <c r="D784" s="2" t="n"/>
      <c r="E784" s="2" t="n"/>
      <c r="F784" s="2" t="n"/>
    </row>
    <row r="785" ht="15.75" customHeight="1" s="57">
      <c r="A785" s="2" t="n"/>
      <c r="B785" s="2" t="n"/>
      <c r="C785" s="2" t="n"/>
      <c r="D785" s="2" t="n"/>
      <c r="E785" s="2" t="n"/>
      <c r="F785" s="2" t="n"/>
    </row>
    <row r="786" ht="15.75" customHeight="1" s="57">
      <c r="A786" s="2" t="n"/>
      <c r="B786" s="2" t="n"/>
      <c r="C786" s="2" t="n"/>
      <c r="D786" s="2" t="n"/>
      <c r="E786" s="2" t="n"/>
      <c r="F786" s="2" t="n"/>
    </row>
    <row r="787" ht="15.75" customHeight="1" s="57">
      <c r="A787" s="2" t="n"/>
      <c r="B787" s="2" t="n"/>
      <c r="C787" s="2" t="n"/>
      <c r="D787" s="2" t="n"/>
      <c r="E787" s="2" t="n"/>
      <c r="F787" s="2" t="n"/>
    </row>
    <row r="788" ht="15.75" customHeight="1" s="57">
      <c r="A788" s="2" t="n"/>
      <c r="B788" s="2" t="n"/>
      <c r="C788" s="2" t="n"/>
      <c r="D788" s="2" t="n"/>
      <c r="E788" s="2" t="n"/>
      <c r="F788" s="2" t="n"/>
    </row>
    <row r="789" ht="15.75" customHeight="1" s="57">
      <c r="A789" s="2" t="n"/>
      <c r="B789" s="2" t="n"/>
      <c r="C789" s="2" t="n"/>
      <c r="D789" s="2" t="n"/>
      <c r="E789" s="2" t="n"/>
      <c r="F789" s="2" t="n"/>
    </row>
    <row r="790" ht="15.75" customHeight="1" s="57">
      <c r="A790" s="2" t="n"/>
      <c r="B790" s="2" t="n"/>
      <c r="C790" s="2" t="n"/>
      <c r="D790" s="2" t="n"/>
      <c r="E790" s="2" t="n"/>
      <c r="F790" s="2" t="n"/>
    </row>
    <row r="791" ht="15.75" customHeight="1" s="57">
      <c r="A791" s="2" t="n"/>
      <c r="B791" s="2" t="n"/>
      <c r="C791" s="2" t="n"/>
      <c r="D791" s="2" t="n"/>
      <c r="E791" s="2" t="n"/>
      <c r="F791" s="2" t="n"/>
    </row>
    <row r="792" ht="15.75" customHeight="1" s="57">
      <c r="A792" s="2" t="n"/>
      <c r="B792" s="2" t="n"/>
      <c r="C792" s="2" t="n"/>
      <c r="D792" s="2" t="n"/>
      <c r="E792" s="2" t="n"/>
      <c r="F792" s="2" t="n"/>
    </row>
    <row r="793" ht="15.75" customHeight="1" s="57">
      <c r="A793" s="2" t="n"/>
      <c r="B793" s="2" t="n"/>
      <c r="C793" s="2" t="n"/>
      <c r="D793" s="2" t="n"/>
      <c r="E793" s="2" t="n"/>
      <c r="F793" s="2" t="n"/>
    </row>
    <row r="794" ht="15.75" customHeight="1" s="57">
      <c r="A794" s="2" t="n"/>
      <c r="B794" s="2" t="n"/>
      <c r="C794" s="2" t="n"/>
      <c r="D794" s="2" t="n"/>
      <c r="E794" s="2" t="n"/>
      <c r="F794" s="2" t="n"/>
    </row>
    <row r="795" ht="15.75" customHeight="1" s="57">
      <c r="A795" s="2" t="n"/>
      <c r="B795" s="2" t="n"/>
      <c r="C795" s="2" t="n"/>
      <c r="D795" s="2" t="n"/>
      <c r="E795" s="2" t="n"/>
      <c r="F795" s="2" t="n"/>
    </row>
    <row r="796" ht="15.75" customHeight="1" s="57">
      <c r="A796" s="2" t="n"/>
      <c r="B796" s="2" t="n"/>
      <c r="C796" s="2" t="n"/>
      <c r="D796" s="2" t="n"/>
      <c r="E796" s="2" t="n"/>
      <c r="F796" s="2" t="n"/>
    </row>
    <row r="797" ht="15.75" customHeight="1" s="57">
      <c r="A797" s="2" t="n"/>
      <c r="B797" s="2" t="n"/>
      <c r="C797" s="2" t="n"/>
      <c r="D797" s="2" t="n"/>
      <c r="E797" s="2" t="n"/>
      <c r="F797" s="2" t="n"/>
    </row>
    <row r="798" ht="15.75" customHeight="1" s="57">
      <c r="A798" s="2" t="n"/>
      <c r="B798" s="2" t="n"/>
      <c r="C798" s="2" t="n"/>
      <c r="D798" s="2" t="n"/>
      <c r="E798" s="2" t="n"/>
      <c r="F798" s="2" t="n"/>
    </row>
    <row r="799" ht="15.75" customHeight="1" s="57">
      <c r="A799" s="2" t="n"/>
      <c r="B799" s="2" t="n"/>
      <c r="C799" s="2" t="n"/>
      <c r="D799" s="2" t="n"/>
      <c r="E799" s="2" t="n"/>
      <c r="F799" s="2" t="n"/>
    </row>
    <row r="800" ht="15.75" customHeight="1" s="57">
      <c r="A800" s="2" t="n"/>
      <c r="B800" s="2" t="n"/>
      <c r="C800" s="2" t="n"/>
      <c r="D800" s="2" t="n"/>
      <c r="E800" s="2" t="n"/>
      <c r="F800" s="2" t="n"/>
    </row>
    <row r="801" ht="15.75" customHeight="1" s="57">
      <c r="A801" s="2" t="n"/>
      <c r="B801" s="2" t="n"/>
      <c r="C801" s="2" t="n"/>
      <c r="D801" s="2" t="n"/>
      <c r="E801" s="2" t="n"/>
      <c r="F801" s="2" t="n"/>
    </row>
    <row r="802" ht="15.75" customHeight="1" s="57">
      <c r="A802" s="2" t="n"/>
      <c r="B802" s="2" t="n"/>
      <c r="C802" s="2" t="n"/>
      <c r="D802" s="2" t="n"/>
      <c r="E802" s="2" t="n"/>
      <c r="F802" s="2" t="n"/>
    </row>
    <row r="803" ht="15.75" customHeight="1" s="57">
      <c r="A803" s="2" t="n"/>
      <c r="B803" s="2" t="n"/>
      <c r="C803" s="2" t="n"/>
      <c r="D803" s="2" t="n"/>
      <c r="E803" s="2" t="n"/>
      <c r="F803" s="2" t="n"/>
    </row>
    <row r="804" ht="15.75" customHeight="1" s="57">
      <c r="A804" s="2" t="n"/>
      <c r="B804" s="2" t="n"/>
      <c r="C804" s="2" t="n"/>
      <c r="D804" s="2" t="n"/>
      <c r="E804" s="2" t="n"/>
      <c r="F804" s="2" t="n"/>
    </row>
    <row r="805" ht="15.75" customHeight="1" s="57">
      <c r="A805" s="2" t="n"/>
      <c r="B805" s="2" t="n"/>
      <c r="C805" s="2" t="n"/>
      <c r="D805" s="2" t="n"/>
      <c r="E805" s="2" t="n"/>
      <c r="F805" s="2" t="n"/>
    </row>
    <row r="806" ht="15.75" customHeight="1" s="57">
      <c r="A806" s="2" t="n"/>
      <c r="B806" s="2" t="n"/>
      <c r="C806" s="2" t="n"/>
      <c r="D806" s="2" t="n"/>
      <c r="E806" s="2" t="n"/>
      <c r="F806" s="2" t="n"/>
    </row>
    <row r="807" ht="15.75" customHeight="1" s="57">
      <c r="A807" s="2" t="n"/>
      <c r="B807" s="2" t="n"/>
      <c r="C807" s="2" t="n"/>
      <c r="D807" s="2" t="n"/>
      <c r="E807" s="2" t="n"/>
      <c r="F807" s="2" t="n"/>
    </row>
    <row r="808" ht="15.75" customHeight="1" s="57">
      <c r="A808" s="2" t="n"/>
      <c r="B808" s="2" t="n"/>
      <c r="C808" s="2" t="n"/>
      <c r="D808" s="2" t="n"/>
      <c r="E808" s="2" t="n"/>
      <c r="F808" s="2" t="n"/>
    </row>
    <row r="809" ht="15.75" customHeight="1" s="57">
      <c r="A809" s="2" t="n"/>
      <c r="B809" s="2" t="n"/>
      <c r="C809" s="2" t="n"/>
      <c r="D809" s="2" t="n"/>
      <c r="E809" s="2" t="n"/>
      <c r="F809" s="2" t="n"/>
    </row>
    <row r="810" ht="15.75" customHeight="1" s="57">
      <c r="A810" s="2" t="n"/>
      <c r="B810" s="2" t="n"/>
      <c r="C810" s="2" t="n"/>
      <c r="D810" s="2" t="n"/>
      <c r="E810" s="2" t="n"/>
      <c r="F810" s="2" t="n"/>
    </row>
    <row r="811" ht="15.75" customHeight="1" s="57">
      <c r="A811" s="2" t="n"/>
      <c r="B811" s="2" t="n"/>
      <c r="C811" s="2" t="n"/>
      <c r="D811" s="2" t="n"/>
      <c r="E811" s="2" t="n"/>
      <c r="F811" s="2" t="n"/>
    </row>
    <row r="812" ht="15.75" customHeight="1" s="57">
      <c r="A812" s="2" t="n"/>
      <c r="B812" s="2" t="n"/>
      <c r="C812" s="2" t="n"/>
      <c r="D812" s="2" t="n"/>
      <c r="E812" s="2" t="n"/>
      <c r="F812" s="2" t="n"/>
    </row>
    <row r="813" ht="15.75" customHeight="1" s="57">
      <c r="A813" s="2" t="n"/>
      <c r="B813" s="2" t="n"/>
      <c r="C813" s="2" t="n"/>
      <c r="D813" s="2" t="n"/>
      <c r="E813" s="2" t="n"/>
      <c r="F813" s="2" t="n"/>
    </row>
    <row r="814" ht="15.75" customHeight="1" s="57">
      <c r="A814" s="2" t="n"/>
      <c r="B814" s="2" t="n"/>
      <c r="C814" s="2" t="n"/>
      <c r="D814" s="2" t="n"/>
      <c r="E814" s="2" t="n"/>
      <c r="F814" s="2" t="n"/>
    </row>
    <row r="815" ht="15.75" customHeight="1" s="57">
      <c r="A815" s="2" t="n"/>
      <c r="B815" s="2" t="n"/>
      <c r="C815" s="2" t="n"/>
      <c r="D815" s="2" t="n"/>
      <c r="E815" s="2" t="n"/>
      <c r="F815" s="2" t="n"/>
    </row>
    <row r="816" ht="15.75" customHeight="1" s="57">
      <c r="A816" s="2" t="n"/>
      <c r="B816" s="2" t="n"/>
      <c r="C816" s="2" t="n"/>
      <c r="D816" s="2" t="n"/>
      <c r="E816" s="2" t="n"/>
      <c r="F816" s="2" t="n"/>
    </row>
    <row r="817" ht="15.75" customHeight="1" s="57">
      <c r="A817" s="2" t="n"/>
      <c r="B817" s="2" t="n"/>
      <c r="C817" s="2" t="n"/>
      <c r="D817" s="2" t="n"/>
      <c r="E817" s="2" t="n"/>
      <c r="F817" s="2" t="n"/>
    </row>
    <row r="818" ht="15.75" customHeight="1" s="57">
      <c r="A818" s="2" t="n"/>
      <c r="B818" s="2" t="n"/>
      <c r="C818" s="2" t="n"/>
      <c r="D818" s="2" t="n"/>
      <c r="E818" s="2" t="n"/>
      <c r="F818" s="2" t="n"/>
    </row>
    <row r="819" ht="15.75" customHeight="1" s="57">
      <c r="A819" s="2" t="n"/>
      <c r="B819" s="2" t="n"/>
      <c r="C819" s="2" t="n"/>
      <c r="D819" s="2" t="n"/>
      <c r="E819" s="2" t="n"/>
      <c r="F819" s="2" t="n"/>
    </row>
    <row r="820" ht="15.75" customHeight="1" s="57">
      <c r="A820" s="2" t="n"/>
      <c r="B820" s="2" t="n"/>
      <c r="C820" s="2" t="n"/>
      <c r="D820" s="2" t="n"/>
      <c r="E820" s="2" t="n"/>
      <c r="F820" s="2" t="n"/>
    </row>
    <row r="821" ht="15.75" customHeight="1" s="57">
      <c r="A821" s="2" t="n"/>
      <c r="B821" s="2" t="n"/>
      <c r="C821" s="2" t="n"/>
      <c r="D821" s="2" t="n"/>
      <c r="E821" s="2" t="n"/>
      <c r="F821" s="2" t="n"/>
    </row>
    <row r="822" ht="15.75" customHeight="1" s="57">
      <c r="A822" s="2" t="n"/>
      <c r="B822" s="2" t="n"/>
      <c r="C822" s="2" t="n"/>
      <c r="D822" s="2" t="n"/>
      <c r="E822" s="2" t="n"/>
      <c r="F822" s="2" t="n"/>
    </row>
    <row r="823" ht="15.75" customHeight="1" s="57">
      <c r="A823" s="2" t="n"/>
      <c r="B823" s="2" t="n"/>
      <c r="C823" s="2" t="n"/>
      <c r="D823" s="2" t="n"/>
      <c r="E823" s="2" t="n"/>
      <c r="F823" s="2" t="n"/>
    </row>
    <row r="824" ht="15.75" customHeight="1" s="57">
      <c r="A824" s="2" t="n"/>
      <c r="B824" s="2" t="n"/>
      <c r="C824" s="2" t="n"/>
      <c r="D824" s="2" t="n"/>
      <c r="E824" s="2" t="n"/>
      <c r="F824" s="2" t="n"/>
    </row>
    <row r="825" ht="15.75" customHeight="1" s="57">
      <c r="A825" s="2" t="n"/>
      <c r="B825" s="2" t="n"/>
      <c r="C825" s="2" t="n"/>
      <c r="D825" s="2" t="n"/>
      <c r="E825" s="2" t="n"/>
      <c r="F825" s="2" t="n"/>
    </row>
    <row r="826" ht="15.75" customHeight="1" s="57">
      <c r="A826" s="2" t="n"/>
      <c r="B826" s="2" t="n"/>
      <c r="C826" s="2" t="n"/>
      <c r="D826" s="2" t="n"/>
      <c r="E826" s="2" t="n"/>
      <c r="F826" s="2" t="n"/>
    </row>
    <row r="827" ht="15.75" customHeight="1" s="57">
      <c r="A827" s="2" t="n"/>
      <c r="B827" s="2" t="n"/>
      <c r="C827" s="2" t="n"/>
      <c r="D827" s="2" t="n"/>
      <c r="E827" s="2" t="n"/>
      <c r="F827" s="2" t="n"/>
    </row>
    <row r="828" ht="15.75" customHeight="1" s="57">
      <c r="A828" s="2" t="n"/>
      <c r="B828" s="2" t="n"/>
      <c r="C828" s="2" t="n"/>
      <c r="D828" s="2" t="n"/>
      <c r="E828" s="2" t="n"/>
      <c r="F828" s="2" t="n"/>
    </row>
    <row r="829" ht="15.75" customHeight="1" s="57">
      <c r="A829" s="2" t="n"/>
      <c r="B829" s="2" t="n"/>
      <c r="C829" s="2" t="n"/>
      <c r="D829" s="2" t="n"/>
      <c r="E829" s="2" t="n"/>
      <c r="F829" s="2" t="n"/>
    </row>
    <row r="830" ht="15.75" customHeight="1" s="57">
      <c r="A830" s="2" t="n"/>
      <c r="B830" s="2" t="n"/>
      <c r="C830" s="2" t="n"/>
      <c r="D830" s="2" t="n"/>
      <c r="E830" s="2" t="n"/>
      <c r="F830" s="2" t="n"/>
    </row>
    <row r="831" ht="15.75" customHeight="1" s="57">
      <c r="A831" s="2" t="n"/>
      <c r="B831" s="2" t="n"/>
      <c r="C831" s="2" t="n"/>
      <c r="D831" s="2" t="n"/>
      <c r="E831" s="2" t="n"/>
      <c r="F831" s="2" t="n"/>
    </row>
    <row r="832" ht="15.75" customHeight="1" s="57">
      <c r="A832" s="2" t="n"/>
      <c r="B832" s="2" t="n"/>
      <c r="C832" s="2" t="n"/>
      <c r="D832" s="2" t="n"/>
      <c r="E832" s="2" t="n"/>
      <c r="F832" s="2" t="n"/>
    </row>
    <row r="833" ht="15.75" customHeight="1" s="57">
      <c r="A833" s="2" t="n"/>
      <c r="B833" s="2" t="n"/>
      <c r="C833" s="2" t="n"/>
      <c r="D833" s="2" t="n"/>
      <c r="E833" s="2" t="n"/>
      <c r="F833" s="2" t="n"/>
    </row>
    <row r="834" ht="15.75" customHeight="1" s="57">
      <c r="A834" s="2" t="n"/>
      <c r="B834" s="2" t="n"/>
      <c r="C834" s="2" t="n"/>
      <c r="D834" s="2" t="n"/>
      <c r="E834" s="2" t="n"/>
      <c r="F834" s="2" t="n"/>
    </row>
    <row r="835" ht="15.75" customHeight="1" s="57">
      <c r="A835" s="2" t="n"/>
      <c r="B835" s="2" t="n"/>
      <c r="C835" s="2" t="n"/>
      <c r="D835" s="2" t="n"/>
      <c r="E835" s="2" t="n"/>
      <c r="F835" s="2" t="n"/>
    </row>
    <row r="836" ht="15.75" customHeight="1" s="57">
      <c r="A836" s="2" t="n"/>
      <c r="B836" s="2" t="n"/>
      <c r="C836" s="2" t="n"/>
      <c r="D836" s="2" t="n"/>
      <c r="E836" s="2" t="n"/>
      <c r="F836" s="2" t="n"/>
    </row>
    <row r="837" ht="15.75" customHeight="1" s="57">
      <c r="A837" s="2" t="n"/>
      <c r="B837" s="2" t="n"/>
      <c r="C837" s="2" t="n"/>
      <c r="D837" s="2" t="n"/>
      <c r="E837" s="2" t="n"/>
      <c r="F837" s="2" t="n"/>
    </row>
    <row r="838" ht="15.75" customHeight="1" s="57">
      <c r="A838" s="2" t="n"/>
      <c r="B838" s="2" t="n"/>
      <c r="C838" s="2" t="n"/>
      <c r="D838" s="2" t="n"/>
      <c r="E838" s="2" t="n"/>
      <c r="F838" s="2" t="n"/>
    </row>
    <row r="839" ht="15.75" customHeight="1" s="57">
      <c r="A839" s="2" t="n"/>
      <c r="B839" s="2" t="n"/>
      <c r="C839" s="2" t="n"/>
      <c r="D839" s="2" t="n"/>
      <c r="E839" s="2" t="n"/>
      <c r="F839" s="2" t="n"/>
    </row>
    <row r="840" ht="15.75" customHeight="1" s="57">
      <c r="A840" s="2" t="n"/>
      <c r="B840" s="2" t="n"/>
      <c r="C840" s="2" t="n"/>
      <c r="D840" s="2" t="n"/>
      <c r="E840" s="2" t="n"/>
      <c r="F840" s="2" t="n"/>
    </row>
    <row r="841" ht="15.75" customHeight="1" s="57">
      <c r="A841" s="2" t="n"/>
      <c r="B841" s="2" t="n"/>
      <c r="C841" s="2" t="n"/>
      <c r="D841" s="2" t="n"/>
      <c r="E841" s="2" t="n"/>
      <c r="F841" s="2" t="n"/>
    </row>
    <row r="842" ht="15.75" customHeight="1" s="57">
      <c r="A842" s="2" t="n"/>
      <c r="B842" s="2" t="n"/>
      <c r="C842" s="2" t="n"/>
      <c r="D842" s="2" t="n"/>
      <c r="E842" s="2" t="n"/>
      <c r="F842" s="2" t="n"/>
    </row>
    <row r="843" ht="15.75" customHeight="1" s="57">
      <c r="A843" s="2" t="n"/>
      <c r="B843" s="2" t="n"/>
      <c r="C843" s="2" t="n"/>
      <c r="D843" s="2" t="n"/>
      <c r="E843" s="2" t="n"/>
      <c r="F843" s="2" t="n"/>
    </row>
    <row r="844" ht="15.75" customHeight="1" s="57">
      <c r="A844" s="2" t="n"/>
      <c r="B844" s="2" t="n"/>
      <c r="C844" s="2" t="n"/>
      <c r="D844" s="2" t="n"/>
      <c r="E844" s="2" t="n"/>
      <c r="F844" s="2" t="n"/>
    </row>
    <row r="845" ht="15.75" customHeight="1" s="57">
      <c r="A845" s="2" t="n"/>
      <c r="B845" s="2" t="n"/>
      <c r="C845" s="2" t="n"/>
      <c r="D845" s="2" t="n"/>
      <c r="E845" s="2" t="n"/>
      <c r="F845" s="2" t="n"/>
    </row>
    <row r="846" ht="15.75" customHeight="1" s="57">
      <c r="A846" s="2" t="n"/>
      <c r="B846" s="2" t="n"/>
      <c r="C846" s="2" t="n"/>
      <c r="D846" s="2" t="n"/>
      <c r="E846" s="2" t="n"/>
      <c r="F846" s="2" t="n"/>
    </row>
    <row r="847" ht="15.75" customHeight="1" s="57">
      <c r="A847" s="2" t="n"/>
      <c r="B847" s="2" t="n"/>
      <c r="C847" s="2" t="n"/>
      <c r="D847" s="2" t="n"/>
      <c r="E847" s="2" t="n"/>
      <c r="F847" s="2" t="n"/>
    </row>
    <row r="848" ht="15.75" customHeight="1" s="57">
      <c r="A848" s="2" t="n"/>
      <c r="B848" s="2" t="n"/>
      <c r="C848" s="2" t="n"/>
      <c r="D848" s="2" t="n"/>
      <c r="E848" s="2" t="n"/>
      <c r="F848" s="2" t="n"/>
    </row>
    <row r="849" ht="15.75" customHeight="1" s="57">
      <c r="A849" s="2" t="n"/>
      <c r="B849" s="2" t="n"/>
      <c r="C849" s="2" t="n"/>
      <c r="D849" s="2" t="n"/>
      <c r="E849" s="2" t="n"/>
      <c r="F849" s="2" t="n"/>
    </row>
    <row r="850" ht="15.75" customHeight="1" s="57">
      <c r="A850" s="2" t="n"/>
      <c r="B850" s="2" t="n"/>
      <c r="C850" s="2" t="n"/>
      <c r="D850" s="2" t="n"/>
      <c r="E850" s="2" t="n"/>
      <c r="F850" s="2" t="n"/>
    </row>
    <row r="851" ht="15.75" customHeight="1" s="57">
      <c r="A851" s="2" t="n"/>
      <c r="B851" s="2" t="n"/>
      <c r="C851" s="2" t="n"/>
      <c r="D851" s="2" t="n"/>
      <c r="E851" s="2" t="n"/>
      <c r="F851" s="2" t="n"/>
    </row>
    <row r="852" ht="15.75" customHeight="1" s="57">
      <c r="A852" s="2" t="n"/>
      <c r="B852" s="2" t="n"/>
      <c r="C852" s="2" t="n"/>
      <c r="D852" s="2" t="n"/>
      <c r="E852" s="2" t="n"/>
      <c r="F852" s="2" t="n"/>
    </row>
    <row r="853" ht="15.75" customHeight="1" s="57">
      <c r="A853" s="2" t="n"/>
      <c r="B853" s="2" t="n"/>
      <c r="C853" s="2" t="n"/>
      <c r="D853" s="2" t="n"/>
      <c r="E853" s="2" t="n"/>
      <c r="F853" s="2" t="n"/>
    </row>
    <row r="854" ht="15.75" customHeight="1" s="57">
      <c r="A854" s="2" t="n"/>
      <c r="B854" s="2" t="n"/>
      <c r="C854" s="2" t="n"/>
      <c r="D854" s="2" t="n"/>
      <c r="E854" s="2" t="n"/>
      <c r="F854" s="2" t="n"/>
    </row>
    <row r="855" ht="15.75" customHeight="1" s="57">
      <c r="A855" s="2" t="n"/>
      <c r="B855" s="2" t="n"/>
      <c r="C855" s="2" t="n"/>
      <c r="D855" s="2" t="n"/>
      <c r="E855" s="2" t="n"/>
      <c r="F855" s="2" t="n"/>
    </row>
    <row r="856" ht="15.75" customHeight="1" s="57">
      <c r="A856" s="2" t="n"/>
      <c r="B856" s="2" t="n"/>
      <c r="C856" s="2" t="n"/>
      <c r="D856" s="2" t="n"/>
      <c r="E856" s="2" t="n"/>
      <c r="F856" s="2" t="n"/>
    </row>
    <row r="857" ht="15.75" customHeight="1" s="57">
      <c r="A857" s="2" t="n"/>
      <c r="B857" s="2" t="n"/>
      <c r="C857" s="2" t="n"/>
      <c r="D857" s="2" t="n"/>
      <c r="E857" s="2" t="n"/>
      <c r="F857" s="2" t="n"/>
    </row>
    <row r="858" ht="15.75" customHeight="1" s="57">
      <c r="A858" s="2" t="n"/>
      <c r="B858" s="2" t="n"/>
      <c r="C858" s="2" t="n"/>
      <c r="D858" s="2" t="n"/>
      <c r="E858" s="2" t="n"/>
      <c r="F858" s="2" t="n"/>
    </row>
    <row r="859" ht="15.75" customHeight="1" s="57">
      <c r="A859" s="2" t="n"/>
      <c r="B859" s="2" t="n"/>
      <c r="C859" s="2" t="n"/>
      <c r="D859" s="2" t="n"/>
      <c r="E859" s="2" t="n"/>
      <c r="F859" s="2" t="n"/>
    </row>
    <row r="860" ht="15.75" customHeight="1" s="57">
      <c r="A860" s="2" t="n"/>
      <c r="B860" s="2" t="n"/>
      <c r="C860" s="2" t="n"/>
      <c r="D860" s="2" t="n"/>
      <c r="E860" s="2" t="n"/>
      <c r="F860" s="2" t="n"/>
    </row>
    <row r="861" ht="15.75" customHeight="1" s="57">
      <c r="A861" s="2" t="n"/>
      <c r="B861" s="2" t="n"/>
      <c r="C861" s="2" t="n"/>
      <c r="D861" s="2" t="n"/>
      <c r="E861" s="2" t="n"/>
      <c r="F861" s="2" t="n"/>
    </row>
    <row r="862" ht="15.75" customHeight="1" s="57">
      <c r="A862" s="2" t="n"/>
      <c r="B862" s="2" t="n"/>
      <c r="C862" s="2" t="n"/>
      <c r="D862" s="2" t="n"/>
      <c r="E862" s="2" t="n"/>
      <c r="F862" s="2" t="n"/>
    </row>
    <row r="863" ht="15.75" customHeight="1" s="57">
      <c r="A863" s="2" t="n"/>
      <c r="B863" s="2" t="n"/>
      <c r="C863" s="2" t="n"/>
      <c r="D863" s="2" t="n"/>
      <c r="E863" s="2" t="n"/>
      <c r="F863" s="2" t="n"/>
    </row>
    <row r="864" ht="15.75" customHeight="1" s="57">
      <c r="A864" s="2" t="n"/>
      <c r="B864" s="2" t="n"/>
      <c r="C864" s="2" t="n"/>
      <c r="D864" s="2" t="n"/>
      <c r="E864" s="2" t="n"/>
      <c r="F864" s="2" t="n"/>
    </row>
    <row r="865" ht="15.75" customHeight="1" s="57">
      <c r="A865" s="2" t="n"/>
      <c r="B865" s="2" t="n"/>
      <c r="C865" s="2" t="n"/>
      <c r="D865" s="2" t="n"/>
      <c r="E865" s="2" t="n"/>
      <c r="F865" s="2" t="n"/>
    </row>
    <row r="866" ht="15.75" customHeight="1" s="57">
      <c r="A866" s="2" t="n"/>
      <c r="B866" s="2" t="n"/>
      <c r="C866" s="2" t="n"/>
      <c r="D866" s="2" t="n"/>
      <c r="E866" s="2" t="n"/>
      <c r="F866" s="2" t="n"/>
    </row>
    <row r="867" ht="15.75" customHeight="1" s="57">
      <c r="A867" s="2" t="n"/>
      <c r="B867" s="2" t="n"/>
      <c r="C867" s="2" t="n"/>
      <c r="D867" s="2" t="n"/>
      <c r="E867" s="2" t="n"/>
      <c r="F867" s="2" t="n"/>
    </row>
    <row r="868" ht="15.75" customHeight="1" s="57">
      <c r="A868" s="2" t="n"/>
      <c r="B868" s="2" t="n"/>
      <c r="C868" s="2" t="n"/>
      <c r="D868" s="2" t="n"/>
      <c r="E868" s="2" t="n"/>
      <c r="F868" s="2" t="n"/>
    </row>
    <row r="869" ht="15.75" customHeight="1" s="57">
      <c r="A869" s="2" t="n"/>
      <c r="B869" s="2" t="n"/>
      <c r="C869" s="2" t="n"/>
      <c r="D869" s="2" t="n"/>
      <c r="E869" s="2" t="n"/>
      <c r="F869" s="2" t="n"/>
    </row>
    <row r="870" ht="15.75" customHeight="1" s="57">
      <c r="A870" s="2" t="n"/>
      <c r="B870" s="2" t="n"/>
      <c r="C870" s="2" t="n"/>
      <c r="D870" s="2" t="n"/>
      <c r="E870" s="2" t="n"/>
      <c r="F870" s="2" t="n"/>
    </row>
    <row r="871" ht="15.75" customHeight="1" s="57">
      <c r="A871" s="2" t="n"/>
      <c r="B871" s="2" t="n"/>
      <c r="C871" s="2" t="n"/>
      <c r="D871" s="2" t="n"/>
      <c r="E871" s="2" t="n"/>
      <c r="F871" s="2" t="n"/>
    </row>
    <row r="872" ht="15.75" customHeight="1" s="57">
      <c r="A872" s="2" t="n"/>
      <c r="B872" s="2" t="n"/>
      <c r="C872" s="2" t="n"/>
      <c r="D872" s="2" t="n"/>
      <c r="E872" s="2" t="n"/>
      <c r="F872" s="2" t="n"/>
    </row>
    <row r="873" ht="15.75" customHeight="1" s="57">
      <c r="A873" s="2" t="n"/>
      <c r="B873" s="2" t="n"/>
      <c r="C873" s="2" t="n"/>
      <c r="D873" s="2" t="n"/>
      <c r="E873" s="2" t="n"/>
      <c r="F873" s="2" t="n"/>
    </row>
    <row r="874" ht="15.75" customHeight="1" s="57">
      <c r="A874" s="2" t="n"/>
      <c r="B874" s="2" t="n"/>
      <c r="C874" s="2" t="n"/>
      <c r="D874" s="2" t="n"/>
      <c r="E874" s="2" t="n"/>
      <c r="F874" s="2" t="n"/>
    </row>
    <row r="875" ht="15.75" customHeight="1" s="57">
      <c r="A875" s="2" t="n"/>
      <c r="B875" s="2" t="n"/>
      <c r="C875" s="2" t="n"/>
      <c r="D875" s="2" t="n"/>
      <c r="E875" s="2" t="n"/>
      <c r="F875" s="2" t="n"/>
    </row>
    <row r="876" ht="15.75" customHeight="1" s="57">
      <c r="A876" s="2" t="n"/>
      <c r="B876" s="2" t="n"/>
      <c r="C876" s="2" t="n"/>
      <c r="D876" s="2" t="n"/>
      <c r="E876" s="2" t="n"/>
      <c r="F876" s="2" t="n"/>
    </row>
    <row r="877" ht="15.75" customHeight="1" s="57">
      <c r="A877" s="2" t="n"/>
      <c r="B877" s="2" t="n"/>
      <c r="C877" s="2" t="n"/>
      <c r="D877" s="2" t="n"/>
      <c r="E877" s="2" t="n"/>
      <c r="F877" s="2" t="n"/>
    </row>
    <row r="878" ht="15.75" customHeight="1" s="57">
      <c r="A878" s="2" t="n"/>
      <c r="B878" s="2" t="n"/>
      <c r="C878" s="2" t="n"/>
      <c r="D878" s="2" t="n"/>
      <c r="E878" s="2" t="n"/>
      <c r="F878" s="2" t="n"/>
    </row>
    <row r="879" ht="15.75" customHeight="1" s="57">
      <c r="A879" s="2" t="n"/>
      <c r="B879" s="2" t="n"/>
      <c r="C879" s="2" t="n"/>
      <c r="D879" s="2" t="n"/>
      <c r="E879" s="2" t="n"/>
      <c r="F879" s="2" t="n"/>
    </row>
    <row r="880" ht="15.75" customHeight="1" s="57">
      <c r="A880" s="2" t="n"/>
      <c r="B880" s="2" t="n"/>
      <c r="C880" s="2" t="n"/>
      <c r="D880" s="2" t="n"/>
      <c r="E880" s="2" t="n"/>
      <c r="F880" s="2" t="n"/>
    </row>
    <row r="881" ht="15.75" customHeight="1" s="57">
      <c r="A881" s="2" t="n"/>
      <c r="B881" s="2" t="n"/>
      <c r="C881" s="2" t="n"/>
      <c r="D881" s="2" t="n"/>
      <c r="E881" s="2" t="n"/>
      <c r="F881" s="2" t="n"/>
    </row>
    <row r="882" ht="15.75" customHeight="1" s="57">
      <c r="A882" s="2" t="n"/>
      <c r="B882" s="2" t="n"/>
      <c r="C882" s="2" t="n"/>
      <c r="D882" s="2" t="n"/>
      <c r="E882" s="2" t="n"/>
      <c r="F882" s="2" t="n"/>
    </row>
    <row r="883" ht="15.75" customHeight="1" s="57">
      <c r="A883" s="2" t="n"/>
      <c r="B883" s="2" t="n"/>
      <c r="C883" s="2" t="n"/>
      <c r="D883" s="2" t="n"/>
      <c r="E883" s="2" t="n"/>
      <c r="F883" s="2" t="n"/>
    </row>
    <row r="884" ht="15.75" customHeight="1" s="57">
      <c r="A884" s="2" t="n"/>
      <c r="B884" s="2" t="n"/>
      <c r="C884" s="2" t="n"/>
      <c r="D884" s="2" t="n"/>
      <c r="E884" s="2" t="n"/>
      <c r="F884" s="2" t="n"/>
    </row>
    <row r="885" ht="15.75" customHeight="1" s="57">
      <c r="A885" s="2" t="n"/>
      <c r="B885" s="2" t="n"/>
      <c r="C885" s="2" t="n"/>
      <c r="D885" s="2" t="n"/>
      <c r="E885" s="2" t="n"/>
      <c r="F885" s="2" t="n"/>
    </row>
    <row r="886" ht="15.75" customHeight="1" s="57">
      <c r="A886" s="2" t="n"/>
      <c r="B886" s="2" t="n"/>
      <c r="C886" s="2" t="n"/>
      <c r="D886" s="2" t="n"/>
      <c r="E886" s="2" t="n"/>
      <c r="F886" s="2" t="n"/>
    </row>
    <row r="887" ht="15.75" customHeight="1" s="57">
      <c r="A887" s="2" t="n"/>
      <c r="B887" s="2" t="n"/>
      <c r="C887" s="2" t="n"/>
      <c r="D887" s="2" t="n"/>
      <c r="E887" s="2" t="n"/>
      <c r="F887" s="2" t="n"/>
    </row>
    <row r="888" ht="15.75" customHeight="1" s="57">
      <c r="A888" s="2" t="n"/>
      <c r="B888" s="2" t="n"/>
      <c r="C888" s="2" t="n"/>
      <c r="D888" s="2" t="n"/>
      <c r="E888" s="2" t="n"/>
      <c r="F888" s="2" t="n"/>
    </row>
    <row r="889" ht="15.75" customHeight="1" s="57">
      <c r="A889" s="2" t="n"/>
      <c r="B889" s="2" t="n"/>
      <c r="C889" s="2" t="n"/>
      <c r="D889" s="2" t="n"/>
      <c r="E889" s="2" t="n"/>
      <c r="F889" s="2" t="n"/>
    </row>
    <row r="890" ht="15.75" customHeight="1" s="57">
      <c r="A890" s="2" t="n"/>
      <c r="B890" s="2" t="n"/>
      <c r="C890" s="2" t="n"/>
      <c r="D890" s="2" t="n"/>
      <c r="E890" s="2" t="n"/>
      <c r="F890" s="2" t="n"/>
    </row>
    <row r="891" ht="15.75" customHeight="1" s="57">
      <c r="A891" s="2" t="n"/>
      <c r="B891" s="2" t="n"/>
      <c r="C891" s="2" t="n"/>
      <c r="D891" s="2" t="n"/>
      <c r="E891" s="2" t="n"/>
      <c r="F891" s="2" t="n"/>
    </row>
    <row r="892" ht="15.75" customHeight="1" s="57">
      <c r="A892" s="2" t="n"/>
      <c r="B892" s="2" t="n"/>
      <c r="C892" s="2" t="n"/>
      <c r="D892" s="2" t="n"/>
      <c r="E892" s="2" t="n"/>
      <c r="F892" s="2" t="n"/>
    </row>
    <row r="893" ht="15.75" customHeight="1" s="57">
      <c r="A893" s="2" t="n"/>
      <c r="B893" s="2" t="n"/>
      <c r="C893" s="2" t="n"/>
      <c r="D893" s="2" t="n"/>
      <c r="E893" s="2" t="n"/>
      <c r="F893" s="2" t="n"/>
    </row>
    <row r="894" ht="15.75" customHeight="1" s="57">
      <c r="A894" s="2" t="n"/>
      <c r="B894" s="2" t="n"/>
      <c r="C894" s="2" t="n"/>
      <c r="D894" s="2" t="n"/>
      <c r="E894" s="2" t="n"/>
      <c r="F894" s="2" t="n"/>
    </row>
    <row r="895" ht="15.75" customHeight="1" s="57">
      <c r="A895" s="2" t="n"/>
      <c r="B895" s="2" t="n"/>
      <c r="C895" s="2" t="n"/>
      <c r="D895" s="2" t="n"/>
      <c r="E895" s="2" t="n"/>
      <c r="F895" s="2" t="n"/>
    </row>
    <row r="896" ht="15.75" customHeight="1" s="57">
      <c r="A896" s="2" t="n"/>
      <c r="B896" s="2" t="n"/>
      <c r="C896" s="2" t="n"/>
      <c r="D896" s="2" t="n"/>
      <c r="E896" s="2" t="n"/>
      <c r="F896" s="2" t="n"/>
    </row>
    <row r="897" ht="15.75" customHeight="1" s="57">
      <c r="A897" s="2" t="n"/>
      <c r="B897" s="2" t="n"/>
      <c r="C897" s="2" t="n"/>
      <c r="D897" s="2" t="n"/>
      <c r="E897" s="2" t="n"/>
      <c r="F897" s="2" t="n"/>
    </row>
    <row r="898" ht="15.75" customHeight="1" s="57">
      <c r="A898" s="2" t="n"/>
      <c r="B898" s="2" t="n"/>
      <c r="C898" s="2" t="n"/>
      <c r="D898" s="2" t="n"/>
      <c r="E898" s="2" t="n"/>
      <c r="F898" s="2" t="n"/>
    </row>
    <row r="899" ht="15.75" customHeight="1" s="57">
      <c r="A899" s="2" t="n"/>
      <c r="B899" s="2" t="n"/>
      <c r="C899" s="2" t="n"/>
      <c r="D899" s="2" t="n"/>
      <c r="E899" s="2" t="n"/>
      <c r="F899" s="2" t="n"/>
    </row>
    <row r="900" ht="15.75" customHeight="1" s="57">
      <c r="A900" s="2" t="n"/>
      <c r="B900" s="2" t="n"/>
      <c r="C900" s="2" t="n"/>
      <c r="D900" s="2" t="n"/>
      <c r="E900" s="2" t="n"/>
      <c r="F900" s="2" t="n"/>
    </row>
    <row r="901" ht="15.75" customHeight="1" s="57">
      <c r="A901" s="2" t="n"/>
      <c r="B901" s="2" t="n"/>
      <c r="C901" s="2" t="n"/>
      <c r="D901" s="2" t="n"/>
      <c r="E901" s="2" t="n"/>
      <c r="F901" s="2" t="n"/>
    </row>
    <row r="902" ht="15.75" customHeight="1" s="57">
      <c r="A902" s="2" t="n"/>
      <c r="B902" s="2" t="n"/>
      <c r="C902" s="2" t="n"/>
      <c r="D902" s="2" t="n"/>
      <c r="E902" s="2" t="n"/>
      <c r="F902" s="2" t="n"/>
    </row>
    <row r="903" ht="15.75" customHeight="1" s="57">
      <c r="A903" s="2" t="n"/>
      <c r="B903" s="2" t="n"/>
      <c r="C903" s="2" t="n"/>
      <c r="D903" s="2" t="n"/>
      <c r="E903" s="2" t="n"/>
      <c r="F903" s="2" t="n"/>
    </row>
    <row r="904" ht="15.75" customHeight="1" s="57">
      <c r="A904" s="2" t="n"/>
      <c r="B904" s="2" t="n"/>
      <c r="C904" s="2" t="n"/>
      <c r="D904" s="2" t="n"/>
      <c r="E904" s="2" t="n"/>
      <c r="F904" s="2" t="n"/>
    </row>
    <row r="905" ht="15.75" customHeight="1" s="57">
      <c r="A905" s="2" t="n"/>
      <c r="B905" s="2" t="n"/>
      <c r="C905" s="2" t="n"/>
      <c r="D905" s="2" t="n"/>
      <c r="E905" s="2" t="n"/>
      <c r="F905" s="2" t="n"/>
    </row>
    <row r="906" ht="15.75" customHeight="1" s="57">
      <c r="A906" s="2" t="n"/>
      <c r="B906" s="2" t="n"/>
      <c r="C906" s="2" t="n"/>
      <c r="D906" s="2" t="n"/>
      <c r="E906" s="2" t="n"/>
      <c r="F906" s="2" t="n"/>
    </row>
    <row r="907" ht="15.75" customHeight="1" s="57">
      <c r="A907" s="2" t="n"/>
      <c r="B907" s="2" t="n"/>
      <c r="C907" s="2" t="n"/>
      <c r="D907" s="2" t="n"/>
      <c r="E907" s="2" t="n"/>
      <c r="F907" s="2" t="n"/>
    </row>
    <row r="908" ht="15.75" customHeight="1" s="57">
      <c r="A908" s="2" t="n"/>
      <c r="B908" s="2" t="n"/>
      <c r="C908" s="2" t="n"/>
      <c r="D908" s="2" t="n"/>
      <c r="E908" s="2" t="n"/>
      <c r="F908" s="2" t="n"/>
    </row>
    <row r="909" ht="15.75" customHeight="1" s="57">
      <c r="A909" s="2" t="n"/>
      <c r="B909" s="2" t="n"/>
      <c r="C909" s="2" t="n"/>
      <c r="D909" s="2" t="n"/>
      <c r="E909" s="2" t="n"/>
      <c r="F909" s="2" t="n"/>
    </row>
    <row r="910" ht="15.75" customHeight="1" s="57">
      <c r="A910" s="2" t="n"/>
      <c r="B910" s="2" t="n"/>
      <c r="C910" s="2" t="n"/>
      <c r="D910" s="2" t="n"/>
      <c r="E910" s="2" t="n"/>
      <c r="F910" s="2" t="n"/>
    </row>
    <row r="911" ht="15.75" customHeight="1" s="57">
      <c r="A911" s="2" t="n"/>
      <c r="B911" s="2" t="n"/>
      <c r="C911" s="2" t="n"/>
      <c r="D911" s="2" t="n"/>
      <c r="E911" s="2" t="n"/>
      <c r="F911" s="2" t="n"/>
    </row>
    <row r="912" ht="15.75" customHeight="1" s="57">
      <c r="A912" s="2" t="n"/>
      <c r="B912" s="2" t="n"/>
      <c r="C912" s="2" t="n"/>
      <c r="D912" s="2" t="n"/>
      <c r="E912" s="2" t="n"/>
      <c r="F912" s="2" t="n"/>
    </row>
    <row r="913" ht="15.75" customHeight="1" s="57">
      <c r="A913" s="2" t="n"/>
      <c r="B913" s="2" t="n"/>
      <c r="C913" s="2" t="n"/>
      <c r="D913" s="2" t="n"/>
      <c r="E913" s="2" t="n"/>
      <c r="F913" s="2" t="n"/>
    </row>
    <row r="914" ht="15.75" customHeight="1" s="57">
      <c r="A914" s="2" t="n"/>
      <c r="B914" s="2" t="n"/>
      <c r="C914" s="2" t="n"/>
      <c r="D914" s="2" t="n"/>
      <c r="E914" s="2" t="n"/>
      <c r="F914" s="2" t="n"/>
    </row>
    <row r="915" ht="15.75" customHeight="1" s="57">
      <c r="A915" s="2" t="n"/>
      <c r="B915" s="2" t="n"/>
      <c r="C915" s="2" t="n"/>
      <c r="D915" s="2" t="n"/>
      <c r="E915" s="2" t="n"/>
      <c r="F915" s="2" t="n"/>
    </row>
    <row r="916" ht="15.75" customHeight="1" s="57">
      <c r="A916" s="2" t="n"/>
      <c r="B916" s="2" t="n"/>
      <c r="C916" s="2" t="n"/>
      <c r="D916" s="2" t="n"/>
      <c r="E916" s="2" t="n"/>
      <c r="F916" s="2" t="n"/>
    </row>
    <row r="917" ht="15.75" customHeight="1" s="57">
      <c r="A917" s="2" t="n"/>
      <c r="B917" s="2" t="n"/>
      <c r="C917" s="2" t="n"/>
      <c r="D917" s="2" t="n"/>
      <c r="E917" s="2" t="n"/>
      <c r="F917" s="2" t="n"/>
    </row>
    <row r="918" ht="15.75" customHeight="1" s="57">
      <c r="A918" s="2" t="n"/>
      <c r="B918" s="2" t="n"/>
      <c r="C918" s="2" t="n"/>
      <c r="D918" s="2" t="n"/>
      <c r="E918" s="2" t="n"/>
      <c r="F918" s="2" t="n"/>
    </row>
    <row r="919" ht="15.75" customHeight="1" s="57">
      <c r="A919" s="2" t="n"/>
      <c r="B919" s="2" t="n"/>
      <c r="C919" s="2" t="n"/>
      <c r="D919" s="2" t="n"/>
      <c r="E919" s="2" t="n"/>
      <c r="F919" s="2" t="n"/>
    </row>
    <row r="920" ht="15.75" customHeight="1" s="57">
      <c r="A920" s="2" t="n"/>
      <c r="B920" s="2" t="n"/>
      <c r="C920" s="2" t="n"/>
      <c r="D920" s="2" t="n"/>
      <c r="E920" s="2" t="n"/>
      <c r="F920" s="2" t="n"/>
    </row>
    <row r="921" ht="15.75" customHeight="1" s="57">
      <c r="A921" s="2" t="n"/>
      <c r="B921" s="2" t="n"/>
      <c r="C921" s="2" t="n"/>
      <c r="D921" s="2" t="n"/>
      <c r="E921" s="2" t="n"/>
      <c r="F921" s="2" t="n"/>
    </row>
    <row r="922" ht="15.75" customHeight="1" s="57">
      <c r="A922" s="2" t="n"/>
      <c r="B922" s="2" t="n"/>
      <c r="C922" s="2" t="n"/>
      <c r="D922" s="2" t="n"/>
      <c r="E922" s="2" t="n"/>
      <c r="F922" s="2" t="n"/>
    </row>
    <row r="923" ht="15.75" customHeight="1" s="57">
      <c r="A923" s="2" t="n"/>
      <c r="B923" s="2" t="n"/>
      <c r="C923" s="2" t="n"/>
      <c r="D923" s="2" t="n"/>
      <c r="E923" s="2" t="n"/>
      <c r="F923" s="2" t="n"/>
    </row>
    <row r="924" ht="15.75" customHeight="1" s="57">
      <c r="A924" s="2" t="n"/>
      <c r="B924" s="2" t="n"/>
      <c r="C924" s="2" t="n"/>
      <c r="D924" s="2" t="n"/>
      <c r="E924" s="2" t="n"/>
      <c r="F924" s="2" t="n"/>
    </row>
    <row r="925" ht="15.75" customHeight="1" s="57">
      <c r="A925" s="2" t="n"/>
      <c r="B925" s="2" t="n"/>
      <c r="C925" s="2" t="n"/>
      <c r="D925" s="2" t="n"/>
      <c r="E925" s="2" t="n"/>
      <c r="F925" s="2" t="n"/>
    </row>
    <row r="926" ht="15.75" customHeight="1" s="57">
      <c r="A926" s="2" t="n"/>
      <c r="B926" s="2" t="n"/>
      <c r="C926" s="2" t="n"/>
      <c r="D926" s="2" t="n"/>
      <c r="E926" s="2" t="n"/>
      <c r="F926" s="2" t="n"/>
    </row>
    <row r="927" ht="15.75" customHeight="1" s="57">
      <c r="A927" s="2" t="n"/>
      <c r="B927" s="2" t="n"/>
      <c r="C927" s="2" t="n"/>
      <c r="D927" s="2" t="n"/>
      <c r="E927" s="2" t="n"/>
      <c r="F927" s="2" t="n"/>
    </row>
    <row r="928" ht="15.75" customHeight="1" s="57">
      <c r="A928" s="2" t="n"/>
      <c r="B928" s="2" t="n"/>
      <c r="C928" s="2" t="n"/>
      <c r="D928" s="2" t="n"/>
      <c r="E928" s="2" t="n"/>
      <c r="F928" s="2" t="n"/>
    </row>
    <row r="929" ht="15.75" customHeight="1" s="57">
      <c r="A929" s="2" t="n"/>
      <c r="B929" s="2" t="n"/>
      <c r="C929" s="2" t="n"/>
      <c r="D929" s="2" t="n"/>
      <c r="E929" s="2" t="n"/>
      <c r="F929" s="2" t="n"/>
    </row>
    <row r="930" ht="15.75" customHeight="1" s="57">
      <c r="A930" s="2" t="n"/>
      <c r="B930" s="2" t="n"/>
      <c r="C930" s="2" t="n"/>
      <c r="D930" s="2" t="n"/>
      <c r="E930" s="2" t="n"/>
      <c r="F930" s="2" t="n"/>
    </row>
    <row r="931" ht="15.75" customHeight="1" s="57">
      <c r="A931" s="2" t="n"/>
      <c r="B931" s="2" t="n"/>
      <c r="C931" s="2" t="n"/>
      <c r="D931" s="2" t="n"/>
      <c r="E931" s="2" t="n"/>
      <c r="F931" s="2" t="n"/>
    </row>
    <row r="932" ht="15.75" customHeight="1" s="57">
      <c r="A932" s="2" t="n"/>
      <c r="B932" s="2" t="n"/>
      <c r="C932" s="2" t="n"/>
      <c r="D932" s="2" t="n"/>
      <c r="E932" s="2" t="n"/>
      <c r="F932" s="2" t="n"/>
    </row>
    <row r="933" ht="15.75" customHeight="1" s="57">
      <c r="A933" s="2" t="n"/>
      <c r="B933" s="2" t="n"/>
      <c r="C933" s="2" t="n"/>
      <c r="D933" s="2" t="n"/>
      <c r="E933" s="2" t="n"/>
      <c r="F933" s="2" t="n"/>
    </row>
    <row r="934" ht="15.75" customHeight="1" s="57">
      <c r="A934" s="2" t="n"/>
      <c r="B934" s="2" t="n"/>
      <c r="C934" s="2" t="n"/>
      <c r="D934" s="2" t="n"/>
      <c r="E934" s="2" t="n"/>
      <c r="F934" s="2" t="n"/>
    </row>
    <row r="935" ht="15.75" customHeight="1" s="57">
      <c r="A935" s="2" t="n"/>
      <c r="B935" s="2" t="n"/>
      <c r="C935" s="2" t="n"/>
      <c r="D935" s="2" t="n"/>
      <c r="E935" s="2" t="n"/>
      <c r="F935" s="2" t="n"/>
    </row>
    <row r="936" ht="15.75" customHeight="1" s="57">
      <c r="A936" s="2" t="n"/>
      <c r="B936" s="2" t="n"/>
      <c r="C936" s="2" t="n"/>
      <c r="D936" s="2" t="n"/>
      <c r="E936" s="2" t="n"/>
      <c r="F936" s="2" t="n"/>
    </row>
    <row r="937" ht="15.75" customHeight="1" s="57">
      <c r="A937" s="2" t="n"/>
      <c r="B937" s="2" t="n"/>
      <c r="C937" s="2" t="n"/>
      <c r="D937" s="2" t="n"/>
      <c r="E937" s="2" t="n"/>
      <c r="F937" s="2" t="n"/>
    </row>
    <row r="938" ht="15.75" customHeight="1" s="57">
      <c r="A938" s="2" t="n"/>
      <c r="B938" s="2" t="n"/>
      <c r="C938" s="2" t="n"/>
      <c r="D938" s="2" t="n"/>
      <c r="E938" s="2" t="n"/>
      <c r="F938" s="2" t="n"/>
    </row>
    <row r="939" ht="15.75" customHeight="1" s="57">
      <c r="A939" s="2" t="n"/>
      <c r="B939" s="2" t="n"/>
      <c r="C939" s="2" t="n"/>
      <c r="D939" s="2" t="n"/>
      <c r="E939" s="2" t="n"/>
      <c r="F939" s="2" t="n"/>
    </row>
    <row r="940" ht="15.75" customHeight="1" s="57">
      <c r="A940" s="2" t="n"/>
      <c r="B940" s="2" t="n"/>
      <c r="C940" s="2" t="n"/>
      <c r="D940" s="2" t="n"/>
      <c r="E940" s="2" t="n"/>
      <c r="F940" s="2" t="n"/>
    </row>
    <row r="941" ht="15.75" customHeight="1" s="57">
      <c r="A941" s="2" t="n"/>
      <c r="B941" s="2" t="n"/>
      <c r="C941" s="2" t="n"/>
      <c r="D941" s="2" t="n"/>
      <c r="E941" s="2" t="n"/>
      <c r="F941" s="2" t="n"/>
    </row>
    <row r="942" ht="15.75" customHeight="1" s="57">
      <c r="A942" s="2" t="n"/>
      <c r="B942" s="2" t="n"/>
      <c r="C942" s="2" t="n"/>
      <c r="D942" s="2" t="n"/>
      <c r="E942" s="2" t="n"/>
      <c r="F942" s="2" t="n"/>
    </row>
    <row r="943" ht="15.75" customHeight="1" s="57">
      <c r="A943" s="2" t="n"/>
      <c r="B943" s="2" t="n"/>
      <c r="C943" s="2" t="n"/>
      <c r="D943" s="2" t="n"/>
      <c r="E943" s="2" t="n"/>
      <c r="F943" s="2" t="n"/>
    </row>
    <row r="944" ht="15.75" customHeight="1" s="57">
      <c r="A944" s="2" t="n"/>
      <c r="B944" s="2" t="n"/>
      <c r="C944" s="2" t="n"/>
      <c r="D944" s="2" t="n"/>
      <c r="E944" s="2" t="n"/>
      <c r="F944" s="2" t="n"/>
    </row>
    <row r="945" ht="15.75" customHeight="1" s="57">
      <c r="A945" s="2" t="n"/>
      <c r="B945" s="2" t="n"/>
      <c r="C945" s="2" t="n"/>
      <c r="D945" s="2" t="n"/>
      <c r="E945" s="2" t="n"/>
      <c r="F945" s="2" t="n"/>
    </row>
    <row r="946" ht="15.75" customHeight="1" s="57">
      <c r="A946" s="2" t="n"/>
      <c r="B946" s="2" t="n"/>
      <c r="C946" s="2" t="n"/>
      <c r="D946" s="2" t="n"/>
      <c r="E946" s="2" t="n"/>
      <c r="F946" s="2" t="n"/>
    </row>
    <row r="947" ht="15.75" customHeight="1" s="57">
      <c r="A947" s="2" t="n"/>
      <c r="B947" s="2" t="n"/>
      <c r="C947" s="2" t="n"/>
      <c r="D947" s="2" t="n"/>
      <c r="E947" s="2" t="n"/>
      <c r="F947" s="2" t="n"/>
    </row>
    <row r="948" ht="15.75" customHeight="1" s="57">
      <c r="A948" s="2" t="n"/>
      <c r="B948" s="2" t="n"/>
      <c r="C948" s="2" t="n"/>
      <c r="D948" s="2" t="n"/>
      <c r="E948" s="2" t="n"/>
      <c r="F948" s="2" t="n"/>
    </row>
    <row r="949" ht="15.75" customHeight="1" s="57">
      <c r="A949" s="2" t="n"/>
      <c r="B949" s="2" t="n"/>
      <c r="C949" s="2" t="n"/>
      <c r="D949" s="2" t="n"/>
      <c r="E949" s="2" t="n"/>
      <c r="F949" s="2" t="n"/>
    </row>
    <row r="950" ht="15.75" customHeight="1" s="57">
      <c r="A950" s="2" t="n"/>
      <c r="B950" s="2" t="n"/>
      <c r="C950" s="2" t="n"/>
      <c r="D950" s="2" t="n"/>
      <c r="E950" s="2" t="n"/>
      <c r="F950" s="2" t="n"/>
    </row>
    <row r="951" ht="15.75" customHeight="1" s="57">
      <c r="A951" s="2" t="n"/>
      <c r="B951" s="2" t="n"/>
      <c r="C951" s="2" t="n"/>
      <c r="D951" s="2" t="n"/>
      <c r="E951" s="2" t="n"/>
      <c r="F951" s="2" t="n"/>
    </row>
    <row r="952" ht="15.75" customHeight="1" s="57">
      <c r="A952" s="2" t="n"/>
      <c r="B952" s="2" t="n"/>
      <c r="C952" s="2" t="n"/>
      <c r="D952" s="2" t="n"/>
      <c r="E952" s="2" t="n"/>
      <c r="F952" s="2" t="n"/>
    </row>
    <row r="953" ht="15.75" customHeight="1" s="57">
      <c r="A953" s="2" t="n"/>
      <c r="B953" s="2" t="n"/>
      <c r="C953" s="2" t="n"/>
      <c r="D953" s="2" t="n"/>
      <c r="E953" s="2" t="n"/>
      <c r="F953" s="2" t="n"/>
    </row>
    <row r="954" ht="15.75" customHeight="1" s="57">
      <c r="A954" s="2" t="n"/>
      <c r="B954" s="2" t="n"/>
      <c r="C954" s="2" t="n"/>
      <c r="D954" s="2" t="n"/>
      <c r="E954" s="2" t="n"/>
      <c r="F954" s="2" t="n"/>
    </row>
    <row r="955" ht="15.75" customHeight="1" s="57">
      <c r="A955" s="2" t="n"/>
      <c r="B955" s="2" t="n"/>
      <c r="C955" s="2" t="n"/>
      <c r="D955" s="2" t="n"/>
      <c r="E955" s="2" t="n"/>
      <c r="F955" s="2" t="n"/>
    </row>
    <row r="956" ht="15.75" customHeight="1" s="57">
      <c r="A956" s="2" t="n"/>
      <c r="B956" s="2" t="n"/>
      <c r="C956" s="2" t="n"/>
      <c r="D956" s="2" t="n"/>
      <c r="E956" s="2" t="n"/>
      <c r="F956" s="2" t="n"/>
    </row>
    <row r="957" ht="15.75" customHeight="1" s="57">
      <c r="A957" s="2" t="n"/>
      <c r="B957" s="2" t="n"/>
      <c r="C957" s="2" t="n"/>
      <c r="D957" s="2" t="n"/>
      <c r="E957" s="2" t="n"/>
      <c r="F957" s="2" t="n"/>
    </row>
    <row r="958" ht="15.75" customHeight="1" s="57">
      <c r="A958" s="2" t="n"/>
      <c r="B958" s="2" t="n"/>
      <c r="C958" s="2" t="n"/>
      <c r="D958" s="2" t="n"/>
      <c r="E958" s="2" t="n"/>
      <c r="F958" s="2" t="n"/>
    </row>
    <row r="959" ht="15.75" customHeight="1" s="57">
      <c r="A959" s="2" t="n"/>
      <c r="B959" s="2" t="n"/>
      <c r="C959" s="2" t="n"/>
      <c r="D959" s="2" t="n"/>
      <c r="E959" s="2" t="n"/>
      <c r="F959" s="2" t="n"/>
    </row>
    <row r="960" ht="15.75" customHeight="1" s="57">
      <c r="A960" s="2" t="n"/>
      <c r="B960" s="2" t="n"/>
      <c r="C960" s="2" t="n"/>
      <c r="D960" s="2" t="n"/>
      <c r="E960" s="2" t="n"/>
      <c r="F960" s="2" t="n"/>
    </row>
    <row r="961" ht="15.75" customHeight="1" s="57">
      <c r="A961" s="2" t="n"/>
      <c r="B961" s="2" t="n"/>
      <c r="C961" s="2" t="n"/>
      <c r="D961" s="2" t="n"/>
      <c r="E961" s="2" t="n"/>
      <c r="F961" s="2" t="n"/>
    </row>
    <row r="962" ht="15.75" customHeight="1" s="57">
      <c r="A962" s="2" t="n"/>
      <c r="B962" s="2" t="n"/>
      <c r="C962" s="2" t="n"/>
      <c r="D962" s="2" t="n"/>
      <c r="E962" s="2" t="n"/>
      <c r="F962" s="2" t="n"/>
    </row>
    <row r="963" ht="15.75" customHeight="1" s="57">
      <c r="A963" s="2" t="n"/>
      <c r="B963" s="2" t="n"/>
      <c r="C963" s="2" t="n"/>
      <c r="D963" s="2" t="n"/>
      <c r="E963" s="2" t="n"/>
      <c r="F963" s="2" t="n"/>
    </row>
    <row r="964" ht="15.75" customHeight="1" s="57">
      <c r="A964" s="2" t="n"/>
      <c r="B964" s="2" t="n"/>
      <c r="C964" s="2" t="n"/>
      <c r="D964" s="2" t="n"/>
      <c r="E964" s="2" t="n"/>
      <c r="F964" s="2" t="n"/>
    </row>
    <row r="965" ht="15.75" customHeight="1" s="57">
      <c r="A965" s="2" t="n"/>
      <c r="B965" s="2" t="n"/>
      <c r="C965" s="2" t="n"/>
      <c r="D965" s="2" t="n"/>
      <c r="E965" s="2" t="n"/>
      <c r="F965" s="2" t="n"/>
    </row>
    <row r="966" ht="15.75" customHeight="1" s="57">
      <c r="A966" s="2" t="n"/>
      <c r="B966" s="2" t="n"/>
      <c r="C966" s="2" t="n"/>
      <c r="D966" s="2" t="n"/>
      <c r="E966" s="2" t="n"/>
      <c r="F966" s="2" t="n"/>
    </row>
    <row r="967" ht="15.75" customHeight="1" s="57">
      <c r="A967" s="2" t="n"/>
      <c r="B967" s="2" t="n"/>
      <c r="C967" s="2" t="n"/>
      <c r="D967" s="2" t="n"/>
      <c r="E967" s="2" t="n"/>
      <c r="F967" s="2" t="n"/>
    </row>
    <row r="968" ht="15.75" customHeight="1" s="57">
      <c r="A968" s="2" t="n"/>
      <c r="B968" s="2" t="n"/>
      <c r="C968" s="2" t="n"/>
      <c r="D968" s="2" t="n"/>
      <c r="E968" s="2" t="n"/>
      <c r="F968" s="2" t="n"/>
    </row>
    <row r="969" ht="15.75" customHeight="1" s="57">
      <c r="A969" s="2" t="n"/>
      <c r="B969" s="2" t="n"/>
      <c r="C969" s="2" t="n"/>
      <c r="D969" s="2" t="n"/>
      <c r="E969" s="2" t="n"/>
      <c r="F969" s="2" t="n"/>
    </row>
    <row r="970" ht="15.75" customHeight="1" s="57">
      <c r="A970" s="2" t="n"/>
      <c r="B970" s="2" t="n"/>
      <c r="C970" s="2" t="n"/>
      <c r="D970" s="2" t="n"/>
      <c r="E970" s="2" t="n"/>
      <c r="F970" s="2" t="n"/>
    </row>
    <row r="971" ht="15.75" customHeight="1" s="57">
      <c r="A971" s="2" t="n"/>
      <c r="B971" s="2" t="n"/>
      <c r="C971" s="2" t="n"/>
      <c r="D971" s="2" t="n"/>
      <c r="E971" s="2" t="n"/>
      <c r="F971" s="2" t="n"/>
    </row>
    <row r="972" ht="15.75" customHeight="1" s="57">
      <c r="A972" s="2" t="n"/>
      <c r="B972" s="2" t="n"/>
      <c r="C972" s="2" t="n"/>
      <c r="D972" s="2" t="n"/>
      <c r="E972" s="2" t="n"/>
      <c r="F972" s="2" t="n"/>
    </row>
    <row r="973" ht="15.75" customHeight="1" s="57">
      <c r="A973" s="2" t="n"/>
      <c r="B973" s="2" t="n"/>
      <c r="C973" s="2" t="n"/>
      <c r="D973" s="2" t="n"/>
      <c r="E973" s="2" t="n"/>
      <c r="F973" s="2" t="n"/>
    </row>
    <row r="974" ht="15.75" customHeight="1" s="57">
      <c r="A974" s="2" t="n"/>
      <c r="B974" s="2" t="n"/>
      <c r="C974" s="2" t="n"/>
      <c r="D974" s="2" t="n"/>
      <c r="E974" s="2" t="n"/>
      <c r="F974" s="2" t="n"/>
    </row>
    <row r="975" ht="15.75" customHeight="1" s="57">
      <c r="A975" s="2" t="n"/>
      <c r="B975" s="2" t="n"/>
      <c r="C975" s="2" t="n"/>
      <c r="D975" s="2" t="n"/>
      <c r="E975" s="2" t="n"/>
      <c r="F975" s="2" t="n"/>
    </row>
    <row r="976" ht="15.75" customHeight="1" s="57">
      <c r="A976" s="2" t="n"/>
      <c r="B976" s="2" t="n"/>
      <c r="C976" s="2" t="n"/>
      <c r="D976" s="2" t="n"/>
      <c r="E976" s="2" t="n"/>
      <c r="F976" s="2" t="n"/>
    </row>
    <row r="977" ht="15.75" customHeight="1" s="57">
      <c r="A977" s="2" t="n"/>
      <c r="B977" s="2" t="n"/>
      <c r="C977" s="2" t="n"/>
      <c r="D977" s="2" t="n"/>
      <c r="E977" s="2" t="n"/>
      <c r="F977" s="2" t="n"/>
    </row>
    <row r="978" ht="15.75" customHeight="1" s="57">
      <c r="A978" s="2" t="n"/>
      <c r="B978" s="2" t="n"/>
      <c r="C978" s="2" t="n"/>
      <c r="D978" s="2" t="n"/>
      <c r="E978" s="2" t="n"/>
      <c r="F978" s="2" t="n"/>
    </row>
    <row r="979" ht="15.75" customHeight="1" s="57">
      <c r="A979" s="2" t="n"/>
      <c r="B979" s="2" t="n"/>
      <c r="C979" s="2" t="n"/>
      <c r="D979" s="2" t="n"/>
      <c r="E979" s="2" t="n"/>
      <c r="F979" s="2" t="n"/>
    </row>
    <row r="980" ht="15.75" customHeight="1" s="57">
      <c r="A980" s="2" t="n"/>
      <c r="B980" s="2" t="n"/>
      <c r="C980" s="2" t="n"/>
      <c r="D980" s="2" t="n"/>
      <c r="E980" s="2" t="n"/>
      <c r="F980" s="2" t="n"/>
    </row>
    <row r="981" ht="15.75" customHeight="1" s="57">
      <c r="A981" s="2" t="n"/>
      <c r="B981" s="2" t="n"/>
      <c r="C981" s="2" t="n"/>
      <c r="D981" s="2" t="n"/>
      <c r="E981" s="2" t="n"/>
      <c r="F981" s="2" t="n"/>
    </row>
    <row r="982" ht="15.75" customHeight="1" s="57">
      <c r="A982" s="2" t="n"/>
      <c r="B982" s="2" t="n"/>
      <c r="C982" s="2" t="n"/>
      <c r="D982" s="2" t="n"/>
      <c r="E982" s="2" t="n"/>
      <c r="F982" s="2" t="n"/>
    </row>
    <row r="983" ht="15.75" customHeight="1" s="57">
      <c r="A983" s="2" t="n"/>
      <c r="B983" s="2" t="n"/>
      <c r="C983" s="2" t="n"/>
      <c r="D983" s="2" t="n"/>
      <c r="E983" s="2" t="n"/>
      <c r="F983" s="2" t="n"/>
    </row>
    <row r="984" ht="15.75" customHeight="1" s="57">
      <c r="A984" s="2" t="n"/>
      <c r="B984" s="2" t="n"/>
      <c r="C984" s="2" t="n"/>
      <c r="D984" s="2" t="n"/>
      <c r="E984" s="2" t="n"/>
      <c r="F984" s="2" t="n"/>
    </row>
    <row r="985" ht="15.75" customHeight="1" s="57">
      <c r="A985" s="2" t="n"/>
      <c r="B985" s="2" t="n"/>
      <c r="C985" s="2" t="n"/>
      <c r="D985" s="2" t="n"/>
      <c r="E985" s="2" t="n"/>
      <c r="F985" s="2" t="n"/>
    </row>
    <row r="986" ht="15.75" customHeight="1" s="57">
      <c r="A986" s="2" t="n"/>
      <c r="B986" s="2" t="n"/>
      <c r="C986" s="2" t="n"/>
      <c r="D986" s="2" t="n"/>
      <c r="E986" s="2" t="n"/>
      <c r="F986" s="2" t="n"/>
    </row>
    <row r="987" ht="15.75" customHeight="1" s="57">
      <c r="A987" s="2" t="n"/>
      <c r="B987" s="2" t="n"/>
      <c r="C987" s="2" t="n"/>
      <c r="D987" s="2" t="n"/>
      <c r="E987" s="2" t="n"/>
      <c r="F987" s="2" t="n"/>
    </row>
    <row r="988" ht="15.75" customHeight="1" s="57">
      <c r="A988" s="2" t="n"/>
      <c r="B988" s="2" t="n"/>
      <c r="C988" s="2" t="n"/>
      <c r="D988" s="2" t="n"/>
      <c r="E988" s="2" t="n"/>
      <c r="F988" s="2" t="n"/>
    </row>
    <row r="989" ht="15.75" customHeight="1" s="57">
      <c r="A989" s="2" t="n"/>
      <c r="B989" s="2" t="n"/>
      <c r="C989" s="2" t="n"/>
      <c r="D989" s="2" t="n"/>
      <c r="E989" s="2" t="n"/>
      <c r="F989" s="2" t="n"/>
    </row>
    <row r="990" ht="15.75" customHeight="1" s="57">
      <c r="A990" s="2" t="n"/>
      <c r="B990" s="2" t="n"/>
      <c r="C990" s="2" t="n"/>
      <c r="D990" s="2" t="n"/>
      <c r="E990" s="2" t="n"/>
      <c r="F990" s="2" t="n"/>
    </row>
    <row r="991" ht="15.75" customHeight="1" s="57">
      <c r="A991" s="2" t="n"/>
      <c r="B991" s="2" t="n"/>
      <c r="C991" s="2" t="n"/>
      <c r="D991" s="2" t="n"/>
      <c r="E991" s="2" t="n"/>
      <c r="F991" s="2" t="n"/>
    </row>
    <row r="992" ht="15.75" customHeight="1" s="57">
      <c r="A992" s="2" t="n"/>
      <c r="B992" s="2" t="n"/>
      <c r="C992" s="2" t="n"/>
      <c r="D992" s="2" t="n"/>
      <c r="E992" s="2" t="n"/>
      <c r="F992" s="2" t="n"/>
    </row>
    <row r="993" ht="15.75" customHeight="1" s="57">
      <c r="A993" s="2" t="n"/>
      <c r="B993" s="2" t="n"/>
      <c r="C993" s="2" t="n"/>
      <c r="D993" s="2" t="n"/>
      <c r="E993" s="2" t="n"/>
      <c r="F993" s="2" t="n"/>
    </row>
    <row r="994" ht="15.75" customHeight="1" s="57">
      <c r="A994" s="2" t="n"/>
      <c r="B994" s="2" t="n"/>
      <c r="C994" s="2" t="n"/>
      <c r="D994" s="2" t="n"/>
      <c r="E994" s="2" t="n"/>
      <c r="F994" s="2" t="n"/>
    </row>
    <row r="995" ht="15.75" customHeight="1" s="57">
      <c r="A995" s="2" t="n"/>
      <c r="B995" s="2" t="n"/>
      <c r="C995" s="2" t="n"/>
      <c r="D995" s="2" t="n"/>
      <c r="E995" s="2" t="n"/>
      <c r="F995" s="2" t="n"/>
    </row>
    <row r="996" ht="15.75" customHeight="1" s="57">
      <c r="A996" s="2" t="n"/>
      <c r="B996" s="2" t="n"/>
      <c r="C996" s="2" t="n"/>
      <c r="D996" s="2" t="n"/>
      <c r="E996" s="2" t="n"/>
      <c r="F996" s="2" t="n"/>
    </row>
    <row r="997" ht="15.75" customHeight="1" s="57">
      <c r="A997" s="2" t="n"/>
      <c r="B997" s="2" t="n"/>
      <c r="C997" s="2" t="n"/>
      <c r="D997" s="2" t="n"/>
      <c r="E997" s="2" t="n"/>
      <c r="F997" s="2" t="n"/>
    </row>
    <row r="998" ht="15.75" customHeight="1" s="57">
      <c r="A998" s="2" t="n"/>
      <c r="B998" s="2" t="n"/>
      <c r="C998" s="2" t="n"/>
      <c r="D998" s="2" t="n"/>
      <c r="E998" s="2" t="n"/>
      <c r="F998" s="2" t="n"/>
    </row>
    <row r="999" ht="15.75" customHeight="1" s="57">
      <c r="A999" s="2" t="n"/>
      <c r="B999" s="2" t="n"/>
      <c r="C999" s="2" t="n"/>
      <c r="D999" s="2" t="n"/>
      <c r="E999" s="2" t="n"/>
      <c r="F999" s="2" t="n"/>
    </row>
    <row r="1000" ht="15.75" customHeight="1" s="57">
      <c r="A1000" s="2" t="n"/>
      <c r="B1000" s="2" t="n"/>
      <c r="C1000" s="2" t="n"/>
      <c r="D1000" s="2" t="n"/>
      <c r="E1000" s="2" t="n"/>
      <c r="F1000" s="2" t="n"/>
    </row>
  </sheetData>
  <mergeCells count="25">
    <mergeCell ref="B11:D11"/>
    <mergeCell ref="B14:D14"/>
    <mergeCell ref="B17:D17"/>
    <mergeCell ref="B13:D13"/>
    <mergeCell ref="B44:D44"/>
    <mergeCell ref="B10:D10"/>
    <mergeCell ref="B28:D28"/>
    <mergeCell ref="B19:D19"/>
    <mergeCell ref="B6:D6"/>
    <mergeCell ref="B24:D24"/>
    <mergeCell ref="B20:D20"/>
    <mergeCell ref="A1:D1"/>
    <mergeCell ref="B5:D5"/>
    <mergeCell ref="B45:D45"/>
    <mergeCell ref="B4:D4"/>
    <mergeCell ref="B26:D26"/>
    <mergeCell ref="B7:D7"/>
    <mergeCell ref="B25:D25"/>
    <mergeCell ref="B47:D47"/>
    <mergeCell ref="B46:D46"/>
    <mergeCell ref="B18:D18"/>
    <mergeCell ref="B27:D27"/>
    <mergeCell ref="B21:D21"/>
    <mergeCell ref="B43:D43"/>
    <mergeCell ref="B12:D1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0"/>
  <sheetViews>
    <sheetView showGridLines="1" workbookViewId="0">
      <selection activeCell="A1" sqref="A1"/>
    </sheetView>
  </sheetViews>
  <sheetFormatPr baseColWidth="8" defaultColWidth="14.43" defaultRowHeight="15" customHeight="1"/>
  <cols>
    <col width="34" customWidth="1" style="57" min="1" max="1"/>
    <col width="22" customWidth="1" style="57" min="2" max="2"/>
    <col width="8.710000000000001" customWidth="1" style="57" min="3" max="3"/>
    <col width="16" customWidth="1" style="57" min="4" max="13"/>
    <col width="10" customWidth="1" style="57" min="5" max="5"/>
    <col width="16" customWidth="1" style="57" min="6" max="6"/>
    <col width="16" customWidth="1" style="57" min="7" max="7"/>
    <col width="18" customWidth="1" style="57" min="8" max="8"/>
    <col width="18" customWidth="1" style="57" min="9" max="9"/>
    <col width="14" customWidth="1" style="57" min="10" max="10"/>
    <col width="14" customWidth="1" style="57" min="11" max="11"/>
    <col hidden="1" width="13" customWidth="1" style="57" min="15" max="16"/>
  </cols>
  <sheetData>
    <row r="1" ht="30" customHeight="1" s="57">
      <c r="A1" s="61" t="inlineStr">
        <is>
          <t>HSTS v1.0 Trading Dashboard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" customHeight="1" s="57">
      <c r="A2" s="62" t="inlineStr">
        <is>
          <t>Last updated on : 2026-10-26 17:31:08</t>
        </is>
      </c>
      <c r="B2" s="84" t="n"/>
      <c r="C2" s="84" t="n"/>
      <c r="D2" s="84" t="n"/>
      <c r="E2" s="84" t="n"/>
      <c r="F2" s="84" t="n"/>
      <c r="G2" s="84" t="n"/>
      <c r="H2" s="84" t="n"/>
      <c r="I2" s="84" t="n"/>
      <c r="J2" s="84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4" customHeight="1" s="57">
      <c r="A3" s="63" t="inlineStr">
        <is>
          <t>Metric</t>
        </is>
      </c>
      <c r="B3" s="63" t="inlineStr">
        <is>
          <t>Value</t>
        </is>
      </c>
      <c r="C3" s="84" t="n"/>
      <c r="D3" s="85" t="inlineStr">
        <is>
          <t>Stock</t>
        </is>
      </c>
      <c r="E3" s="85" t="inlineStr">
        <is>
          <t>Qty</t>
        </is>
      </c>
      <c r="F3" s="85" t="inlineStr">
        <is>
          <t>Purchase Price</t>
        </is>
      </c>
      <c r="G3" s="85" t="inlineStr">
        <is>
          <t>Current Price</t>
        </is>
      </c>
      <c r="H3" s="85" t="inlineStr">
        <is>
          <t>Current Value</t>
        </is>
      </c>
      <c r="I3" s="85" t="inlineStr">
        <is>
          <t>P&amp;L Amount</t>
        </is>
      </c>
      <c r="J3" s="85" t="inlineStr">
        <is>
          <t>P&amp;L %</t>
        </is>
      </c>
      <c r="K3" s="85" t="inlineStr">
        <is>
          <t>Holding %</t>
        </is>
      </c>
      <c r="L3" s="9" t="inlineStr">
        <is>
          <t>Target Reach</t>
        </is>
      </c>
      <c r="M3" s="9" t="inlineStr">
        <is>
          <t>Holding %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4" t="inlineStr">
        <is>
          <t>Global Portfolio Metrics</t>
        </is>
      </c>
      <c r="C4" s="84" t="n"/>
      <c r="D4" s="86" t="inlineStr">
        <is>
          <t>CLEAN</t>
        </is>
      </c>
      <c r="E4" s="87" t="n">
        <v>4</v>
      </c>
      <c r="F4" s="88" t="n">
        <v>806.25</v>
      </c>
      <c r="G4" s="88" t="n">
        <v>737.25</v>
      </c>
      <c r="H4" s="88">
        <f>E4*G4</f>
        <v/>
      </c>
      <c r="I4" s="93">
        <f>H4-(E4*F4)</f>
        <v/>
      </c>
      <c r="J4" s="94">
        <f>IF(F4&gt;0, I4/(E4*F4), 0)</f>
        <v/>
      </c>
      <c r="K4" s="91">
        <f>H4/H14</f>
        <v/>
      </c>
      <c r="L4" s="34" t="n">
        <v>0.2138040460134866</v>
      </c>
      <c r="M4" s="34">
        <f>I4/$B$11</f>
        <v/>
      </c>
      <c r="N4" s="2" t="n"/>
      <c r="O4" s="2" t="inlineStr">
        <is>
          <t>CLEAN (4 Qty, ₹3,225)</t>
        </is>
      </c>
      <c r="P4" s="2" t="n">
        <v>3225</v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6" t="inlineStr">
        <is>
          <t>CLEAN (4 Qty, ₹3,225)</t>
        </is>
      </c>
      <c r="AB4" s="6" t="n">
        <v>3225</v>
      </c>
    </row>
    <row r="5">
      <c r="A5" s="72" t="inlineStr">
        <is>
          <t>Total Net Capital Deposited</t>
        </is>
      </c>
      <c r="B5" s="66">
        <f>SUMIF(Capital!B:B, "DEPOSIT", Capital!C:C)</f>
        <v/>
      </c>
      <c r="C5" s="84" t="n"/>
      <c r="D5" s="86" t="inlineStr">
        <is>
          <t>OIL</t>
        </is>
      </c>
      <c r="E5" s="87" t="n">
        <v>4</v>
      </c>
      <c r="F5" s="88" t="n">
        <v>473</v>
      </c>
      <c r="G5" s="88" t="n">
        <v>454.8999938964844</v>
      </c>
      <c r="H5" s="88">
        <f>E5*G5</f>
        <v/>
      </c>
      <c r="I5" s="93">
        <f>H5-(E5*F5)</f>
        <v/>
      </c>
      <c r="J5" s="94">
        <f>IF(F5&gt;0, I5/(E5*F5), 0)</f>
        <v/>
      </c>
      <c r="K5" s="91">
        <f>H5/H14</f>
        <v/>
      </c>
      <c r="L5" s="34" t="n">
        <v>0.03827751196172249</v>
      </c>
      <c r="M5" s="34">
        <f>I5/$B$11</f>
        <v/>
      </c>
      <c r="N5" s="2" t="n"/>
      <c r="O5" s="2" t="inlineStr">
        <is>
          <t>OIL (4 Qty, ₹1,892)</t>
        </is>
      </c>
      <c r="P5" s="2" t="n">
        <v>1892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6" t="inlineStr">
        <is>
          <t>OIL (4 Qty, ₹1,892)</t>
        </is>
      </c>
      <c r="AB5" s="6" t="n">
        <v>1892</v>
      </c>
    </row>
    <row r="6">
      <c r="A6" s="72" t="inlineStr">
        <is>
          <t>Lifetime Realized PnL</t>
        </is>
      </c>
      <c r="B6" s="66">
        <f>SUM(Ledger!M:M)</f>
        <v/>
      </c>
      <c r="C6" s="84" t="n"/>
      <c r="D6" s="86" t="inlineStr">
        <is>
          <t>JAIBALAJI</t>
        </is>
      </c>
      <c r="E6" s="87" t="n">
        <v>8</v>
      </c>
      <c r="F6" s="88" t="n">
        <v>68.87</v>
      </c>
      <c r="G6" s="88" t="n">
        <v>62.90000152587891</v>
      </c>
      <c r="H6" s="88">
        <f>E6*G6</f>
        <v/>
      </c>
      <c r="I6" s="93">
        <f>H6-(E6*F6)</f>
        <v/>
      </c>
      <c r="J6" s="94">
        <f>IF(F6&gt;0, I6/(E6*F6), 0)</f>
        <v/>
      </c>
      <c r="K6" s="91">
        <f>H6/H14</f>
        <v/>
      </c>
      <c r="L6" s="34" t="n">
        <v>-0.4240000244140629</v>
      </c>
      <c r="M6" s="34">
        <f>I6/$B$11</f>
        <v/>
      </c>
      <c r="N6" s="2" t="n"/>
      <c r="O6" s="2" t="inlineStr">
        <is>
          <t>JAIBALAJI (8 Qty, ₹551)</t>
        </is>
      </c>
      <c r="P6" s="2" t="n">
        <v>550.96</v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6" t="inlineStr">
        <is>
          <t>JAIBALAJI (8 Qty, ₹551)</t>
        </is>
      </c>
      <c r="AB6" s="6" t="n">
        <v>550.96</v>
      </c>
    </row>
    <row r="7">
      <c r="A7" s="72" t="inlineStr">
        <is>
          <t>Lifetime Realized P/L Percentage</t>
        </is>
      </c>
      <c r="B7" s="67">
        <f>B6/B5</f>
        <v/>
      </c>
      <c r="C7" s="84" t="n"/>
      <c r="D7" s="86" t="inlineStr">
        <is>
          <t>IOLCP</t>
        </is>
      </c>
      <c r="E7" s="87" t="n">
        <v>10</v>
      </c>
      <c r="F7" s="88" t="n">
        <v>166.02</v>
      </c>
      <c r="G7" s="88" t="n">
        <v>167.9799957275391</v>
      </c>
      <c r="H7" s="88">
        <f>E7*G7</f>
        <v/>
      </c>
      <c r="I7" s="89">
        <f>H7-(E7*F7)</f>
        <v/>
      </c>
      <c r="J7" s="90">
        <f>IF(F7&gt;0, I7/(E7*F7), 0)</f>
        <v/>
      </c>
      <c r="K7" s="91">
        <f>H7/H14</f>
        <v/>
      </c>
      <c r="L7" s="34" t="n">
        <v>0.1096836186919752</v>
      </c>
      <c r="M7" s="34">
        <f>I7/$B$11</f>
        <v/>
      </c>
      <c r="N7" s="2" t="n"/>
      <c r="O7" s="2" t="inlineStr">
        <is>
          <t>IOLCP (10 Qty, ₹1,660)</t>
        </is>
      </c>
      <c r="P7" s="2" t="n">
        <v>1660.2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6" t="inlineStr">
        <is>
          <t>IOLCP (10 Qty, ₹1,660)</t>
        </is>
      </c>
      <c r="AB7" s="6" t="n">
        <v>1660.2</v>
      </c>
    </row>
    <row r="8">
      <c r="A8" s="72" t="inlineStr">
        <is>
          <t>Current Total Portfolio Value</t>
        </is>
      </c>
      <c r="B8" s="66">
        <f>B13+B12</f>
        <v/>
      </c>
      <c r="C8" s="84" t="n"/>
      <c r="D8" s="86" t="inlineStr">
        <is>
          <t>HAPPSTMNDS</t>
        </is>
      </c>
      <c r="E8" s="87" t="n">
        <v>3</v>
      </c>
      <c r="F8" s="88" t="n">
        <v>426.8</v>
      </c>
      <c r="G8" s="88" t="n">
        <v>300.1499938964844</v>
      </c>
      <c r="H8" s="88">
        <f>E8*G8</f>
        <v/>
      </c>
      <c r="I8" s="93">
        <f>H8-(E8*F8)</f>
        <v/>
      </c>
      <c r="J8" s="94">
        <f>IF(F8&gt;0, I8/(E8*F8), 0)</f>
        <v/>
      </c>
      <c r="K8" s="91">
        <f>H8/H14</f>
        <v/>
      </c>
      <c r="L8" s="34" t="n">
        <v>0.2424861720350921</v>
      </c>
      <c r="M8" s="34">
        <f>I8/$B$11</f>
        <v/>
      </c>
      <c r="N8" s="2" t="n"/>
      <c r="O8" s="2" t="inlineStr">
        <is>
          <t>BHARATSE (6 Qty, ₹1,472)</t>
        </is>
      </c>
      <c r="P8" s="2" t="n">
        <v>1471.5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6" t="inlineStr">
        <is>
          <t>HAPPSTMNDS (3 Qty, ₹1,280)</t>
        </is>
      </c>
      <c r="AB8" s="6" t="n">
        <v>1280.4</v>
      </c>
    </row>
    <row r="9">
      <c r="A9" s="72" t="inlineStr">
        <is>
          <t>Total Number of Trades</t>
        </is>
      </c>
      <c r="B9" s="68">
        <f>COUNTIF(Ledger!N:N, "WIN") + COUNTIF(Ledger!N:N, "LOSS") + COUNTIF(Ledger!N:N, "OPEN")</f>
        <v/>
      </c>
      <c r="C9" s="84" t="n"/>
      <c r="D9" s="86" t="inlineStr">
        <is>
          <t>ZEEMEDIA</t>
        </is>
      </c>
      <c r="E9" s="87" t="n">
        <v>150</v>
      </c>
      <c r="F9" s="88" t="n">
        <v>9.699999999999999</v>
      </c>
      <c r="G9" s="88" t="n">
        <v>6.679999828338623</v>
      </c>
      <c r="H9" s="88">
        <f>E9*G9</f>
        <v/>
      </c>
      <c r="I9" s="93">
        <f>H9-(E9*F9)</f>
        <v/>
      </c>
      <c r="J9" s="94">
        <f>IF(F9&gt;0, I9/(E9*F9), 0)</f>
        <v/>
      </c>
      <c r="K9" s="91">
        <f>H9/H14</f>
        <v/>
      </c>
      <c r="L9" s="34" t="n">
        <v>-0.06037733689793987</v>
      </c>
      <c r="M9" s="34">
        <f>I9/$B$11</f>
        <v/>
      </c>
      <c r="N9" s="2" t="n"/>
      <c r="O9" s="2" t="inlineStr">
        <is>
          <t>HAPPSTMNDS (3 Qty, ₹1,280)</t>
        </is>
      </c>
      <c r="P9" s="2" t="n">
        <v>1280.4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6" t="inlineStr">
        <is>
          <t>ZEEMEDIA (150 Qty, ₹1,455)</t>
        </is>
      </c>
      <c r="AB9" s="6" t="n">
        <v>1455</v>
      </c>
    </row>
    <row r="10">
      <c r="A10" s="72" t="inlineStr">
        <is>
          <t>Winning Percentage of Trades</t>
        </is>
      </c>
      <c r="B10" s="67">
        <f>IF((COUNTIF(Ledger!N:N, "WIN")+COUNTIF(Ledger!N:N, "LOSS"))&gt;0, COUNTIF(Ledger!N:N, "WIN")/(COUNTIF(Ledger!N:N, "WIN")+COUNTIF(Ledger!N:N, "LOSS")), 0)</f>
        <v/>
      </c>
      <c r="C10" s="84" t="n"/>
      <c r="D10" s="86" t="inlineStr">
        <is>
          <t>GAYAPROJ-BE</t>
        </is>
      </c>
      <c r="E10" s="87" t="n">
        <v>100</v>
      </c>
      <c r="F10" s="88" t="n">
        <v>21.8</v>
      </c>
      <c r="G10" s="88" t="n">
        <v>21.8</v>
      </c>
      <c r="H10" s="88">
        <f>E10*G10</f>
        <v/>
      </c>
      <c r="I10" s="89">
        <f>H10-(E10*F10)</f>
        <v/>
      </c>
      <c r="J10" s="90">
        <f>IF(F10&gt;0, I10/(E10*F10), 0)</f>
        <v/>
      </c>
      <c r="K10" s="91">
        <f>H10/H14</f>
        <v/>
      </c>
      <c r="L10" s="34" t="n">
        <v>0</v>
      </c>
      <c r="M10" s="34">
        <f>I10/$B$11</f>
        <v/>
      </c>
      <c r="N10" s="2" t="n"/>
      <c r="O10" s="2" t="inlineStr">
        <is>
          <t>ZEEMEDIA (150 Qty, ₹1,455)</t>
        </is>
      </c>
      <c r="P10" s="2" t="n">
        <v>1455</v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6" t="inlineStr">
        <is>
          <t>GAYAPROJ-BE (100 Qty, ₹2,180)</t>
        </is>
      </c>
      <c r="AB10" s="6" t="n">
        <v>2180</v>
      </c>
    </row>
    <row r="11">
      <c r="A11" s="72" t="inlineStr">
        <is>
          <t>Capital Deployed in Open Trades</t>
        </is>
      </c>
      <c r="B11" s="66">
        <f>SUMPRODUCT((Ledger!N2:N5000="OPEN")*(Ledger!E2:E5000)*(Ledger!D2:D5000))</f>
        <v/>
      </c>
      <c r="C11" s="84" t="n"/>
      <c r="D11" s="86" t="inlineStr">
        <is>
          <t>THELEELA</t>
        </is>
      </c>
      <c r="E11" s="87" t="n">
        <v>4</v>
      </c>
      <c r="F11" s="88" t="n">
        <v>539.3</v>
      </c>
      <c r="G11" s="88" t="n">
        <v>582.9500122070312</v>
      </c>
      <c r="H11" s="88">
        <f>E11*G11</f>
        <v/>
      </c>
      <c r="I11" s="89">
        <f>H11-(E11*F11)</f>
        <v/>
      </c>
      <c r="J11" s="90">
        <f>IF(F11&gt;0, I11/(E11*F11), 0)</f>
        <v/>
      </c>
      <c r="K11" s="91">
        <f>H11/H14</f>
        <v/>
      </c>
      <c r="L11" s="34" t="n">
        <v>0.2214315164791546</v>
      </c>
      <c r="M11" s="34">
        <f>I11/$B$11</f>
        <v/>
      </c>
      <c r="N11" s="2" t="n"/>
      <c r="O11" s="2" t="inlineStr">
        <is>
          <t>GAYAPROJ-BE (100 Qty, ₹2,180)</t>
        </is>
      </c>
      <c r="P11" s="2" t="n">
        <v>2180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6" t="inlineStr">
        <is>
          <t>THELEELA (4 Qty, ₹2,157)</t>
        </is>
      </c>
      <c r="AB11" s="6" t="n">
        <v>2157.2</v>
      </c>
    </row>
    <row r="12">
      <c r="A12" s="72" t="inlineStr">
        <is>
          <t>Current Value of Active Trades</t>
        </is>
      </c>
      <c r="B12" s="66" t="n">
        <v>17397.35001087189</v>
      </c>
      <c r="C12" s="84" t="n"/>
      <c r="D12" s="86" t="inlineStr">
        <is>
          <t>KFINTECH</t>
        </is>
      </c>
      <c r="E12" s="87" t="n">
        <v>2</v>
      </c>
      <c r="F12" s="88" t="n">
        <v>963</v>
      </c>
      <c r="G12" s="88" t="n">
        <v>829</v>
      </c>
      <c r="H12" s="88">
        <f>E12*G12</f>
        <v/>
      </c>
      <c r="I12" s="93">
        <f>H12-(E12*F12)</f>
        <v/>
      </c>
      <c r="J12" s="94">
        <f>IF(F12&gt;0, I12/(E12*F12), 0)</f>
        <v/>
      </c>
      <c r="K12" s="91">
        <f>H12/H14</f>
        <v/>
      </c>
      <c r="L12" s="34" t="n">
        <v>0.137495956001294</v>
      </c>
      <c r="M12" s="34">
        <f>I12/$B$11</f>
        <v/>
      </c>
      <c r="N12" s="2" t="n"/>
      <c r="O12" s="2" t="inlineStr">
        <is>
          <t>THELEELA (4 Qty, ₹2,157)</t>
        </is>
      </c>
      <c r="P12" s="2" t="n">
        <v>2157.2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6" t="inlineStr">
        <is>
          <t>KFINTECH (2 Qty, ₹1,926)</t>
        </is>
      </c>
      <c r="AB12" s="6" t="n">
        <v>1926</v>
      </c>
    </row>
    <row r="13">
      <c r="A13" s="72" t="inlineStr">
        <is>
          <t>Capital Available for Trading</t>
        </is>
      </c>
      <c r="B13" s="66">
        <f>B5 - SUMIF(Capital!B:B, "WITHDRAWAL", Capital!C:C) + B6 - B11</f>
        <v/>
      </c>
      <c r="C13" s="84" t="n"/>
      <c r="D13" s="86" t="inlineStr">
        <is>
          <t>BOROLTD</t>
        </is>
      </c>
      <c r="E13" s="87" t="n">
        <v>10</v>
      </c>
      <c r="F13" s="88" t="n">
        <v>258</v>
      </c>
      <c r="G13" s="88" t="n">
        <v>237.3500061035156</v>
      </c>
      <c r="H13" s="88">
        <f>E13*G13</f>
        <v/>
      </c>
      <c r="I13" s="93">
        <f>H13-(E13*F13)</f>
        <v/>
      </c>
      <c r="J13" s="94">
        <f>IF(F13&gt;0, I13/(E13*F13), 0)</f>
        <v/>
      </c>
      <c r="K13" s="91">
        <f>H13/H14</f>
        <v/>
      </c>
      <c r="L13" s="34" t="n">
        <v>-0.1028265766949866</v>
      </c>
      <c r="M13" s="34">
        <f>I13/$B$11</f>
        <v/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0" t="inlineStr">
        <is>
          <t>BOROLTD (10 Qty, ₹2,580)</t>
        </is>
      </c>
      <c r="AB13" s="0" t="n">
        <v>2580</v>
      </c>
    </row>
    <row r="14">
      <c r="A14" s="72" t="inlineStr">
        <is>
          <t>Total Wins</t>
        </is>
      </c>
      <c r="B14" s="68">
        <f>COUNTIF(Ledger!N:N, "WIN")</f>
        <v/>
      </c>
      <c r="C14" s="84" t="n"/>
      <c r="D14" s="96" t="inlineStr">
        <is>
          <t>Total Portfolio</t>
        </is>
      </c>
      <c r="E14" s="97" t="inlineStr"/>
      <c r="F14" s="98" t="inlineStr"/>
      <c r="G14" s="98" t="inlineStr"/>
      <c r="H14" s="99">
        <f>SUM(H4:H13)</f>
        <v/>
      </c>
      <c r="I14" s="99">
        <f>SUM(I4:I13)</f>
        <v/>
      </c>
      <c r="J14" s="100">
        <f>IF((H14-I14)&gt;0, I14/(H14-I14), 0)</f>
        <v/>
      </c>
      <c r="K14" s="100">
        <f>SUM(K4:K13)</f>
        <v/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72" t="inlineStr">
        <is>
          <t>Total Losses</t>
        </is>
      </c>
      <c r="B15" s="68">
        <f>COUNTIF(Ledger!N:N, "LOSS")</f>
        <v/>
      </c>
      <c r="C15" s="84" t="n"/>
      <c r="D15" s="101" t="n"/>
      <c r="E15" s="84" t="n"/>
      <c r="F15" s="84" t="n"/>
      <c r="G15" s="84" t="n"/>
      <c r="H15" s="102" t="n"/>
      <c r="I15" s="102" t="n"/>
      <c r="J15" s="103" t="n"/>
      <c r="K15" s="45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72" t="inlineStr">
        <is>
          <t>Total Taxes Paid to Zerodha</t>
        </is>
      </c>
      <c r="B16" s="66">
        <f>SUMIF(Capital!D:D, "*Brokerage &amp; taxes*", Capital!C:C)</f>
        <v/>
      </c>
      <c r="C16" s="84" t="n"/>
      <c r="D16" s="84" t="n"/>
      <c r="E16" s="84" t="n"/>
      <c r="F16" s="84" t="n"/>
      <c r="G16" s="84" t="n"/>
      <c r="H16" s="84" t="n"/>
      <c r="I16" s="84" t="n"/>
      <c r="J16" s="84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70" t="inlineStr">
        <is>
          <t>Swing Trading Statistics</t>
        </is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72" t="inlineStr">
        <is>
          <t>Swing Win Rate</t>
        </is>
      </c>
      <c r="B18" s="67">
        <f>IF((COUNTIFS(Ledger!P:P, "SWING", Ledger!N:N, "WIN")+COUNTIFS(Ledger!P:P, "SWING", Ledger!N:N, "LOSS"))&gt;0, COUNTIFS(Ledger!P:P, "SWING", Ledger!N:N, "WIN")/(COUNTIFS(Ledger!P:P, "SWING", Ledger!N:N, "WIN")+COUNTIFS(Ledger!P:P, "SWING", Ledger!N:N, "LOSS")), 0)</f>
        <v/>
      </c>
      <c r="C18" s="84" t="n"/>
      <c r="D18" s="84" t="n"/>
      <c r="E18" s="84" t="n"/>
      <c r="F18" s="84" t="n"/>
      <c r="G18" s="84" t="n"/>
      <c r="H18" s="84" t="n"/>
      <c r="I18" s="84" t="n"/>
      <c r="J18" s="84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72" t="inlineStr">
        <is>
          <t>Swing Realized PnL</t>
        </is>
      </c>
      <c r="B19" s="66">
        <f>SUMIFS(Ledger!M:M, Ledger!P:P, "SWING")</f>
        <v/>
      </c>
      <c r="C19" s="84" t="n"/>
      <c r="D19" s="84" t="n"/>
      <c r="E19" s="84" t="n"/>
      <c r="F19" s="84" t="n"/>
      <c r="G19" s="84" t="n"/>
      <c r="H19" s="84" t="n"/>
      <c r="I19" s="84" t="n"/>
      <c r="J19" s="84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72" t="inlineStr">
        <is>
          <t>Swing Completed Trades</t>
        </is>
      </c>
      <c r="B20" s="68">
        <f>COUNTIFS(Ledger!P:P, "SWING", Ledger!N:N, "WIN") + COUNTIFS(Ledger!P:P, "SWING", Ledger!N:N, "LOSS")</f>
        <v/>
      </c>
      <c r="C20" s="84" t="n"/>
      <c r="D20" s="84" t="n"/>
      <c r="E20" s="84" t="n"/>
      <c r="F20" s="84" t="n"/>
      <c r="G20" s="84" t="n"/>
      <c r="H20" s="84" t="n"/>
      <c r="I20" s="84" t="n"/>
      <c r="J20" s="84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57">
      <c r="A21" s="72" t="inlineStr">
        <is>
          <t>Swing Active Positions</t>
        </is>
      </c>
      <c r="B21" s="68">
        <f>COUNTIFS(Ledger!P:P, "SWING", Ledger!N:N, "OPEN")</f>
        <v/>
      </c>
      <c r="C21" s="84" t="n"/>
      <c r="D21" s="84" t="n"/>
      <c r="E21" s="84" t="n"/>
      <c r="F21" s="84" t="n"/>
      <c r="G21" s="84" t="n"/>
      <c r="H21" s="84" t="n"/>
      <c r="I21" s="84" t="n"/>
      <c r="J21" s="84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57">
      <c r="A22" s="70" t="inlineStr">
        <is>
          <t>Intraday Trading Statistics</t>
        </is>
      </c>
      <c r="C22" s="84" t="n"/>
      <c r="D22" s="84" t="n"/>
      <c r="E22" s="84" t="n"/>
      <c r="F22" s="84" t="n"/>
      <c r="G22" s="84" t="n"/>
      <c r="H22" s="84" t="n"/>
      <c r="I22" s="84" t="n"/>
      <c r="J22" s="84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57">
      <c r="A23" s="72" t="inlineStr">
        <is>
          <t>Intraday Win Rate</t>
        </is>
      </c>
      <c r="B23" s="67">
        <f>IF((COUNTIFS(Ledger!P:P, "INTRADAY", Ledger!N:N, "WIN")+COUNTIFS(Ledger!P:P, "INTRADAY", Ledger!N:N, "LOSS"))&gt;0, COUNTIFS(Ledger!P:P, "INTRADAY", Ledger!N:N, "WIN")/(COUNTIFS(Ledger!P:P, "INTRADAY", Ledger!N:N, "WIN")+COUNTIFS(Ledger!P:P, "INTRADAY", Ledger!N:N, "LOSS")), 0)</f>
        <v/>
      </c>
      <c r="C23" s="84" t="n"/>
      <c r="D23" s="84" t="n"/>
      <c r="E23" s="84" t="n"/>
      <c r="F23" s="84" t="n"/>
      <c r="G23" s="84" t="n"/>
      <c r="H23" s="84" t="n"/>
      <c r="I23" s="84" t="n"/>
      <c r="J23" s="84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57">
      <c r="A24" s="72" t="inlineStr">
        <is>
          <t>Intraday Realized PnL</t>
        </is>
      </c>
      <c r="B24" s="66">
        <f>SUMIFS(Ledger!M:M, Ledger!P:P, "INTRADAY")</f>
        <v/>
      </c>
      <c r="C24" s="84" t="n"/>
      <c r="D24" s="84" t="n"/>
      <c r="E24" s="84" t="n"/>
      <c r="F24" s="84" t="n"/>
      <c r="G24" s="84" t="n"/>
      <c r="H24" s="84" t="n"/>
      <c r="I24" s="84" t="n"/>
      <c r="J24" s="84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57">
      <c r="A25" s="72" t="inlineStr">
        <is>
          <t>Intraday Completed Trades</t>
        </is>
      </c>
      <c r="B25" s="68">
        <f>COUNTIFS(Ledger!P:P, "INTRADAY", Ledger!N:N, "WIN") + COUNTIFS(Ledger!P:P, "INTRADAY", Ledger!N:N, "LOSS")</f>
        <v/>
      </c>
      <c r="C25" s="84" t="n"/>
      <c r="D25" s="84" t="n"/>
      <c r="E25" s="84" t="n"/>
      <c r="F25" s="84" t="n"/>
      <c r="G25" s="84" t="n"/>
      <c r="H25" s="84" t="n"/>
      <c r="I25" s="84" t="n"/>
      <c r="J25" s="84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57">
      <c r="A26" s="72" t="inlineStr">
        <is>
          <t>Intraday Active Positions</t>
        </is>
      </c>
      <c r="B26" s="68">
        <f>COUNTIFS(Ledger!P:P, "INTRADAY", Ledger!N:N, "OPEN")</f>
        <v/>
      </c>
      <c r="C26" s="84" t="n"/>
      <c r="D26" s="84" t="n"/>
      <c r="E26" s="84" t="n"/>
      <c r="F26" s="84" t="n"/>
      <c r="G26" s="84" t="n"/>
      <c r="H26" s="84" t="n"/>
      <c r="I26" s="84" t="n"/>
      <c r="J26" s="84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57">
      <c r="A27" s="70" t="inlineStr">
        <is>
          <t>Activity &amp; Performance Metrics</t>
        </is>
      </c>
      <c r="C27" s="84" t="n"/>
      <c r="D27" s="84" t="n"/>
      <c r="E27" s="84" t="n"/>
      <c r="F27" s="84" t="n"/>
      <c r="G27" s="84" t="n"/>
      <c r="H27" s="84" t="n"/>
      <c r="I27" s="84" t="n"/>
      <c r="J27" s="84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57">
      <c r="A28" s="72" t="inlineStr">
        <is>
          <t>Average Days to Exit a Trade</t>
        </is>
      </c>
      <c r="B28" s="71" t="n">
        <v>23.52777777777778</v>
      </c>
      <c r="C28" s="84" t="n"/>
      <c r="D28" s="84" t="n"/>
      <c r="E28" s="84" t="n"/>
      <c r="F28" s="84" t="n"/>
      <c r="G28" s="84" t="n"/>
      <c r="H28" s="84" t="n"/>
      <c r="I28" s="84" t="n"/>
      <c r="J28" s="84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57">
      <c r="A29" s="72" t="inlineStr">
        <is>
          <t>Average Trades per Day</t>
        </is>
      </c>
      <c r="B29" s="71" t="n">
        <v>2.4</v>
      </c>
      <c r="C29" s="84" t="n"/>
      <c r="D29" s="84" t="n"/>
      <c r="E29" s="84" t="n"/>
      <c r="F29" s="84" t="n"/>
      <c r="G29" s="84" t="n"/>
      <c r="H29" s="84" t="n"/>
      <c r="I29" s="84" t="n"/>
      <c r="J29" s="84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57">
      <c r="A30" s="72" t="inlineStr">
        <is>
          <t>Average Unique Holdings per Day</t>
        </is>
      </c>
      <c r="B30" s="71" t="n">
        <v>9.042857142857143</v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57">
      <c r="A31" s="72" t="inlineStr">
        <is>
          <t>Average Profit % per trade</t>
        </is>
      </c>
      <c r="B31" s="67" t="n">
        <v>0.06422336099808393</v>
      </c>
      <c r="C31" s="84" t="n"/>
      <c r="D31" s="84" t="n"/>
      <c r="E31" s="84" t="n"/>
      <c r="F31" s="84" t="n"/>
      <c r="G31" s="84" t="n"/>
      <c r="H31" s="84" t="n"/>
      <c r="I31" s="84" t="n"/>
      <c r="J31" s="84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57">
      <c r="A32" s="72" t="inlineStr">
        <is>
          <t>Average Loss % per trade</t>
        </is>
      </c>
      <c r="B32" s="67" t="n">
        <v>-0.03977667713730747</v>
      </c>
      <c r="C32" s="84" t="n"/>
      <c r="D32" s="84" t="n"/>
      <c r="E32" s="84" t="n"/>
      <c r="F32" s="84" t="n"/>
      <c r="G32" s="84" t="n"/>
      <c r="H32" s="84" t="n"/>
      <c r="I32" s="84" t="n"/>
      <c r="J32" s="84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57">
      <c r="A33" s="72" t="inlineStr">
        <is>
          <t>Average Value per Trade</t>
        </is>
      </c>
      <c r="B33" s="66" t="n">
        <v>1503.326944444444</v>
      </c>
      <c r="C33" s="84" t="n"/>
      <c r="D33" s="84" t="n"/>
      <c r="E33" s="84" t="n"/>
      <c r="F33" s="84" t="n"/>
      <c r="G33" s="84" t="n"/>
      <c r="H33" s="84" t="n"/>
      <c r="I33" s="84" t="n"/>
      <c r="J33" s="84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57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57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57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57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57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57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57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57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57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57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57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57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57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57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57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57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57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5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5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5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5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5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5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5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5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5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5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5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5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5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5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5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5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5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5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5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5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5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5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5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5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5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5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5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5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5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5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5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5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5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5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5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5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5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5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5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5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5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5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5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5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5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5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5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5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5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5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5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5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5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5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5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5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5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5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5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5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5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5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5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5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5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5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5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5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5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5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5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5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5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5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5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5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5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5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5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5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5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5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5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5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5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5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5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5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5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5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5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5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5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5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5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5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5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5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5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5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5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5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5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5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5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5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5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5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5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5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5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5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5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5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5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5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5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5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5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5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5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5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5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5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5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5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5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5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5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5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5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5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5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5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5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5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5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5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5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5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5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5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5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5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5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5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5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5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5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5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5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5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5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5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5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5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5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5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5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5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5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5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5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5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O221" s="2" t="n"/>
      <c r="P221" s="2" t="n"/>
    </row>
    <row r="222" ht="15.75" customHeight="1" s="5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O222" s="2" t="n"/>
      <c r="P222" s="2" t="n"/>
    </row>
    <row r="223" ht="15.75" customHeight="1" s="5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O223" s="2" t="n"/>
      <c r="P223" s="2" t="n"/>
    </row>
    <row r="224" ht="15.75" customHeight="1" s="5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O224" s="2" t="n"/>
      <c r="P224" s="2" t="n"/>
    </row>
    <row r="225" ht="15.75" customHeight="1" s="5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O225" s="2" t="n"/>
      <c r="P225" s="2" t="n"/>
    </row>
    <row r="226" ht="15.75" customHeight="1" s="5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O226" s="2" t="n"/>
      <c r="P226" s="2" t="n"/>
    </row>
    <row r="227" ht="15.75" customHeight="1" s="5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O227" s="2" t="n"/>
      <c r="P227" s="2" t="n"/>
    </row>
    <row r="228" ht="15.75" customHeight="1" s="5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O228" s="2" t="n"/>
      <c r="P228" s="2" t="n"/>
    </row>
    <row r="229" ht="15.75" customHeight="1" s="5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O229" s="2" t="n"/>
      <c r="P229" s="2" t="n"/>
    </row>
    <row r="230" ht="15.75" customHeight="1" s="5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O230" s="2" t="n"/>
      <c r="P230" s="2" t="n"/>
    </row>
    <row r="231" ht="15.75" customHeight="1" s="5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O231" s="2" t="n"/>
      <c r="P231" s="2" t="n"/>
    </row>
    <row r="232" ht="15.75" customHeight="1" s="5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O232" s="2" t="n"/>
      <c r="P232" s="2" t="n"/>
    </row>
    <row r="233" ht="15.75" customHeight="1" s="5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O233" s="2" t="n"/>
      <c r="P233" s="2" t="n"/>
    </row>
    <row r="234" ht="15.75" customHeight="1" s="5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O234" s="2" t="n"/>
      <c r="P234" s="2" t="n"/>
    </row>
    <row r="235" ht="15.75" customHeight="1" s="5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O235" s="2" t="n"/>
      <c r="P235" s="2" t="n"/>
    </row>
    <row r="236" ht="15.75" customHeight="1" s="5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O236" s="2" t="n"/>
      <c r="P236" s="2" t="n"/>
    </row>
    <row r="237" ht="15.75" customHeight="1" s="5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O237" s="2" t="n"/>
      <c r="P237" s="2" t="n"/>
    </row>
    <row r="238" ht="15.75" customHeight="1" s="5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O238" s="2" t="n"/>
      <c r="P238" s="2" t="n"/>
    </row>
    <row r="239" ht="15.75" customHeight="1" s="5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O239" s="2" t="n"/>
      <c r="P239" s="2" t="n"/>
    </row>
    <row r="240" ht="15.75" customHeight="1" s="5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O240" s="2" t="n"/>
      <c r="P240" s="2" t="n"/>
    </row>
    <row r="241" ht="15.75" customHeight="1" s="5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O241" s="2" t="n"/>
      <c r="P241" s="2" t="n"/>
    </row>
    <row r="242" ht="15.75" customHeight="1" s="5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O242" s="2" t="n"/>
      <c r="P242" s="2" t="n"/>
    </row>
    <row r="243" ht="15.75" customHeight="1" s="5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O243" s="2" t="n"/>
      <c r="P243" s="2" t="n"/>
    </row>
    <row r="244" ht="15.75" customHeight="1" s="5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O244" s="2" t="n"/>
      <c r="P244" s="2" t="n"/>
    </row>
    <row r="245" ht="15.75" customHeight="1" s="5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O245" s="2" t="n"/>
      <c r="P245" s="2" t="n"/>
    </row>
    <row r="246" ht="15.75" customHeight="1" s="5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O246" s="2" t="n"/>
      <c r="P246" s="2" t="n"/>
    </row>
    <row r="247" ht="15.75" customHeight="1" s="5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O247" s="2" t="n"/>
      <c r="P247" s="2" t="n"/>
    </row>
    <row r="248" ht="15.75" customHeight="1" s="5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O248" s="2" t="n"/>
      <c r="P248" s="2" t="n"/>
    </row>
    <row r="249" ht="15.75" customHeight="1" s="5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O249" s="2" t="n"/>
      <c r="P249" s="2" t="n"/>
    </row>
    <row r="250" ht="15.75" customHeight="1" s="5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O250" s="2" t="n"/>
      <c r="P250" s="2" t="n"/>
    </row>
    <row r="251" ht="15.75" customHeight="1" s="5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O251" s="2" t="n"/>
      <c r="P251" s="2" t="n"/>
    </row>
    <row r="252" ht="15.75" customHeight="1" s="5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O252" s="2" t="n"/>
      <c r="P252" s="2" t="n"/>
    </row>
    <row r="253" ht="15.75" customHeight="1" s="5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O253" s="2" t="n"/>
      <c r="P253" s="2" t="n"/>
    </row>
    <row r="254" ht="15.75" customHeight="1" s="5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O254" s="2" t="n"/>
      <c r="P254" s="2" t="n"/>
    </row>
    <row r="255" ht="15.75" customHeight="1" s="5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O255" s="2" t="n"/>
      <c r="P255" s="2" t="n"/>
    </row>
    <row r="256" ht="15.75" customHeight="1" s="5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O256" s="2" t="n"/>
      <c r="P256" s="2" t="n"/>
    </row>
    <row r="257" ht="15.75" customHeight="1" s="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O257" s="2" t="n"/>
      <c r="P257" s="2" t="n"/>
    </row>
    <row r="258" ht="15.75" customHeight="1" s="5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O258" s="2" t="n"/>
      <c r="P258" s="2" t="n"/>
    </row>
    <row r="259" ht="15.75" customHeight="1" s="5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O259" s="2" t="n"/>
      <c r="P259" s="2" t="n"/>
    </row>
    <row r="260" ht="15.75" customHeight="1" s="5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O260" s="2" t="n"/>
      <c r="P260" s="2" t="n"/>
    </row>
    <row r="261" ht="15.75" customHeight="1" s="5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O261" s="2" t="n"/>
      <c r="P261" s="2" t="n"/>
    </row>
    <row r="262" ht="15.75" customHeight="1" s="5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O262" s="2" t="n"/>
      <c r="P262" s="2" t="n"/>
    </row>
    <row r="263" ht="15.75" customHeight="1" s="5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O263" s="2" t="n"/>
      <c r="P263" s="2" t="n"/>
    </row>
    <row r="264" ht="15.75" customHeight="1" s="5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O264" s="2" t="n"/>
      <c r="P264" s="2" t="n"/>
    </row>
    <row r="265" ht="15.75" customHeight="1" s="5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O265" s="2" t="n"/>
      <c r="P265" s="2" t="n"/>
    </row>
    <row r="266" ht="15.75" customHeight="1" s="5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O266" s="2" t="n"/>
      <c r="P266" s="2" t="n"/>
    </row>
    <row r="267" ht="15.75" customHeight="1" s="5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O267" s="2" t="n"/>
      <c r="P267" s="2" t="n"/>
    </row>
    <row r="268" ht="15.75" customHeight="1" s="5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O268" s="2" t="n"/>
      <c r="P268" s="2" t="n"/>
    </row>
    <row r="269" ht="15.75" customHeight="1" s="5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O269" s="2" t="n"/>
      <c r="P269" s="2" t="n"/>
    </row>
    <row r="270" ht="15.75" customHeight="1" s="5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O270" s="2" t="n"/>
      <c r="P270" s="2" t="n"/>
    </row>
    <row r="271" ht="15.75" customHeight="1" s="5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O271" s="2" t="n"/>
      <c r="P271" s="2" t="n"/>
    </row>
    <row r="272" ht="15.75" customHeight="1" s="5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O272" s="2" t="n"/>
      <c r="P272" s="2" t="n"/>
    </row>
    <row r="273" ht="15.75" customHeight="1" s="5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O273" s="2" t="n"/>
      <c r="P273" s="2" t="n"/>
    </row>
    <row r="274" ht="15.75" customHeight="1" s="5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O274" s="2" t="n"/>
      <c r="P274" s="2" t="n"/>
    </row>
    <row r="275" ht="15.75" customHeight="1" s="5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O275" s="2" t="n"/>
      <c r="P275" s="2" t="n"/>
    </row>
    <row r="276" ht="15.75" customHeight="1" s="5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O276" s="2" t="n"/>
      <c r="P276" s="2" t="n"/>
    </row>
    <row r="277" ht="15.75" customHeight="1" s="5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O277" s="2" t="n"/>
      <c r="P277" s="2" t="n"/>
    </row>
    <row r="278" ht="15.75" customHeight="1" s="5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O278" s="2" t="n"/>
      <c r="P278" s="2" t="n"/>
    </row>
    <row r="279" ht="15.75" customHeight="1" s="5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O279" s="2" t="n"/>
      <c r="P279" s="2" t="n"/>
    </row>
    <row r="280" ht="15.75" customHeight="1" s="5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O280" s="2" t="n"/>
      <c r="P280" s="2" t="n"/>
    </row>
    <row r="281" ht="15.75" customHeight="1" s="5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O281" s="2" t="n"/>
      <c r="P281" s="2" t="n"/>
    </row>
    <row r="282" ht="15.75" customHeight="1" s="5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O282" s="2" t="n"/>
      <c r="P282" s="2" t="n"/>
    </row>
    <row r="283" ht="15.75" customHeight="1" s="5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O283" s="2" t="n"/>
      <c r="P283" s="2" t="n"/>
    </row>
    <row r="284" ht="15.75" customHeight="1" s="5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O284" s="2" t="n"/>
      <c r="P284" s="2" t="n"/>
    </row>
    <row r="285" ht="15.75" customHeight="1" s="5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O285" s="2" t="n"/>
      <c r="P285" s="2" t="n"/>
    </row>
    <row r="286" ht="15.75" customHeight="1" s="5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O286" s="2" t="n"/>
      <c r="P286" s="2" t="n"/>
    </row>
    <row r="287" ht="15.75" customHeight="1" s="5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O287" s="2" t="n"/>
      <c r="P287" s="2" t="n"/>
    </row>
    <row r="288" ht="15.75" customHeight="1" s="5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O288" s="2" t="n"/>
      <c r="P288" s="2" t="n"/>
    </row>
    <row r="289" ht="15.75" customHeight="1" s="5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O289" s="2" t="n"/>
      <c r="P289" s="2" t="n"/>
    </row>
    <row r="290" ht="15.75" customHeight="1" s="5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O290" s="2" t="n"/>
      <c r="P290" s="2" t="n"/>
    </row>
    <row r="291" ht="15.75" customHeight="1" s="5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O291" s="2" t="n"/>
      <c r="P291" s="2" t="n"/>
    </row>
    <row r="292" ht="15.75" customHeight="1" s="5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O292" s="2" t="n"/>
      <c r="P292" s="2" t="n"/>
    </row>
    <row r="293" ht="15.75" customHeight="1" s="5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O293" s="2" t="n"/>
      <c r="P293" s="2" t="n"/>
    </row>
    <row r="294" ht="15.75" customHeight="1" s="5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O294" s="2" t="n"/>
      <c r="P294" s="2" t="n"/>
    </row>
    <row r="295" ht="15.75" customHeight="1" s="5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O295" s="2" t="n"/>
      <c r="P295" s="2" t="n"/>
    </row>
    <row r="296" ht="15.75" customHeight="1" s="5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O296" s="2" t="n"/>
      <c r="P296" s="2" t="n"/>
    </row>
    <row r="297" ht="15.75" customHeight="1" s="5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O297" s="2" t="n"/>
      <c r="P297" s="2" t="n"/>
    </row>
    <row r="298" ht="15.75" customHeight="1" s="5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O298" s="2" t="n"/>
      <c r="P298" s="2" t="n"/>
    </row>
    <row r="299" ht="15.75" customHeight="1" s="5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O299" s="2" t="n"/>
      <c r="P299" s="2" t="n"/>
    </row>
    <row r="300" ht="15.75" customHeight="1" s="5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O300" s="2" t="n"/>
      <c r="P300" s="2" t="n"/>
    </row>
    <row r="301" ht="15.75" customHeight="1" s="5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O301" s="2" t="n"/>
      <c r="P301" s="2" t="n"/>
    </row>
    <row r="302" ht="15.75" customHeight="1" s="5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O302" s="2" t="n"/>
      <c r="P302" s="2" t="n"/>
    </row>
    <row r="303" ht="15.75" customHeight="1" s="5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O303" s="2" t="n"/>
      <c r="P303" s="2" t="n"/>
    </row>
    <row r="304" ht="15.75" customHeight="1" s="5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O304" s="2" t="n"/>
      <c r="P304" s="2" t="n"/>
    </row>
    <row r="305" ht="15.75" customHeight="1" s="5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O305" s="2" t="n"/>
      <c r="P305" s="2" t="n"/>
    </row>
    <row r="306" ht="15.75" customHeight="1" s="5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O306" s="2" t="n"/>
      <c r="P306" s="2" t="n"/>
    </row>
    <row r="307" ht="15.75" customHeight="1" s="5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O307" s="2" t="n"/>
      <c r="P307" s="2" t="n"/>
    </row>
    <row r="308" ht="15.75" customHeight="1" s="5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O308" s="2" t="n"/>
      <c r="P308" s="2" t="n"/>
    </row>
    <row r="309" ht="15.75" customHeight="1" s="5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O309" s="2" t="n"/>
      <c r="P309" s="2" t="n"/>
    </row>
    <row r="310" ht="15.75" customHeight="1" s="5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O310" s="2" t="n"/>
      <c r="P310" s="2" t="n"/>
    </row>
    <row r="311" ht="15.75" customHeight="1" s="5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O311" s="2" t="n"/>
      <c r="P311" s="2" t="n"/>
    </row>
    <row r="312" ht="15.75" customHeight="1" s="5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O312" s="2" t="n"/>
      <c r="P312" s="2" t="n"/>
    </row>
    <row r="313" ht="15.75" customHeight="1" s="5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O313" s="2" t="n"/>
      <c r="P313" s="2" t="n"/>
    </row>
    <row r="314" ht="15.75" customHeight="1" s="5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O314" s="2" t="n"/>
      <c r="P314" s="2" t="n"/>
    </row>
    <row r="315" ht="15.75" customHeight="1" s="5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O315" s="2" t="n"/>
      <c r="P315" s="2" t="n"/>
    </row>
    <row r="316" ht="15.75" customHeight="1" s="5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O316" s="2" t="n"/>
      <c r="P316" s="2" t="n"/>
    </row>
    <row r="317" ht="15.75" customHeight="1" s="5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O317" s="2" t="n"/>
      <c r="P317" s="2" t="n"/>
    </row>
    <row r="318" ht="15.75" customHeight="1" s="5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O318" s="2" t="n"/>
      <c r="P318" s="2" t="n"/>
    </row>
    <row r="319" ht="15.75" customHeight="1" s="5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O319" s="2" t="n"/>
      <c r="P319" s="2" t="n"/>
    </row>
    <row r="320" ht="15.75" customHeight="1" s="5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O320" s="2" t="n"/>
      <c r="P320" s="2" t="n"/>
    </row>
    <row r="321" ht="15.75" customHeight="1" s="5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O321" s="2" t="n"/>
      <c r="P321" s="2" t="n"/>
    </row>
    <row r="322" ht="15.75" customHeight="1" s="5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O322" s="2" t="n"/>
      <c r="P322" s="2" t="n"/>
    </row>
    <row r="323" ht="15.75" customHeight="1" s="5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O323" s="2" t="n"/>
      <c r="P323" s="2" t="n"/>
    </row>
    <row r="324" ht="15.75" customHeight="1" s="5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O324" s="2" t="n"/>
      <c r="P324" s="2" t="n"/>
    </row>
    <row r="325" ht="15.75" customHeight="1" s="5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O325" s="2" t="n"/>
      <c r="P325" s="2" t="n"/>
    </row>
    <row r="326" ht="15.75" customHeight="1" s="5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O326" s="2" t="n"/>
      <c r="P326" s="2" t="n"/>
    </row>
    <row r="327" ht="15.75" customHeight="1" s="5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O327" s="2" t="n"/>
      <c r="P327" s="2" t="n"/>
    </row>
    <row r="328" ht="15.75" customHeight="1" s="5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O328" s="2" t="n"/>
      <c r="P328" s="2" t="n"/>
    </row>
    <row r="329" ht="15.75" customHeight="1" s="5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O329" s="2" t="n"/>
      <c r="P329" s="2" t="n"/>
    </row>
    <row r="330" ht="15.75" customHeight="1" s="5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O330" s="2" t="n"/>
      <c r="P330" s="2" t="n"/>
    </row>
    <row r="331" ht="15.75" customHeight="1" s="5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O331" s="2" t="n"/>
      <c r="P331" s="2" t="n"/>
    </row>
    <row r="332" ht="15.75" customHeight="1" s="5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O332" s="2" t="n"/>
      <c r="P332" s="2" t="n"/>
    </row>
    <row r="333" ht="15.75" customHeight="1" s="5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O333" s="2" t="n"/>
      <c r="P333" s="2" t="n"/>
    </row>
    <row r="334" ht="15.75" customHeight="1" s="5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O334" s="2" t="n"/>
      <c r="P334" s="2" t="n"/>
    </row>
    <row r="335" ht="15.75" customHeight="1" s="5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O335" s="2" t="n"/>
      <c r="P335" s="2" t="n"/>
    </row>
    <row r="336" ht="15.75" customHeight="1" s="5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O336" s="2" t="n"/>
      <c r="P336" s="2" t="n"/>
    </row>
    <row r="337" ht="15.75" customHeight="1" s="5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O337" s="2" t="n"/>
      <c r="P337" s="2" t="n"/>
    </row>
    <row r="338" ht="15.75" customHeight="1" s="5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O338" s="2" t="n"/>
      <c r="P338" s="2" t="n"/>
    </row>
    <row r="339" ht="15.75" customHeight="1" s="5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O339" s="2" t="n"/>
      <c r="P339" s="2" t="n"/>
    </row>
    <row r="340" ht="15.75" customHeight="1" s="5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O340" s="2" t="n"/>
      <c r="P340" s="2" t="n"/>
    </row>
    <row r="341" ht="15.75" customHeight="1" s="5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O341" s="2" t="n"/>
      <c r="P341" s="2" t="n"/>
    </row>
    <row r="342" ht="15.75" customHeight="1" s="5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O342" s="2" t="n"/>
      <c r="P342" s="2" t="n"/>
    </row>
    <row r="343" ht="15.75" customHeight="1" s="5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O343" s="2" t="n"/>
      <c r="P343" s="2" t="n"/>
    </row>
    <row r="344" ht="15.75" customHeight="1" s="5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O344" s="2" t="n"/>
      <c r="P344" s="2" t="n"/>
    </row>
    <row r="345" ht="15.75" customHeight="1" s="5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O345" s="2" t="n"/>
      <c r="P345" s="2" t="n"/>
    </row>
    <row r="346" ht="15.75" customHeight="1" s="5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O346" s="2" t="n"/>
      <c r="P346" s="2" t="n"/>
    </row>
    <row r="347" ht="15.75" customHeight="1" s="5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O347" s="2" t="n"/>
      <c r="P347" s="2" t="n"/>
    </row>
    <row r="348" ht="15.75" customHeight="1" s="5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O348" s="2" t="n"/>
      <c r="P348" s="2" t="n"/>
    </row>
    <row r="349" ht="15.75" customHeight="1" s="5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O349" s="2" t="n"/>
      <c r="P349" s="2" t="n"/>
    </row>
    <row r="350" ht="15.75" customHeight="1" s="5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O350" s="2" t="n"/>
      <c r="P350" s="2" t="n"/>
    </row>
    <row r="351" ht="15.75" customHeight="1" s="5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O351" s="2" t="n"/>
      <c r="P351" s="2" t="n"/>
    </row>
    <row r="352" ht="15.75" customHeight="1" s="5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O352" s="2" t="n"/>
      <c r="P352" s="2" t="n"/>
    </row>
    <row r="353" ht="15.75" customHeight="1" s="5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O353" s="2" t="n"/>
      <c r="P353" s="2" t="n"/>
    </row>
    <row r="354" ht="15.75" customHeight="1" s="5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O354" s="2" t="n"/>
      <c r="P354" s="2" t="n"/>
    </row>
    <row r="355" ht="15.75" customHeight="1" s="5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O355" s="2" t="n"/>
      <c r="P355" s="2" t="n"/>
    </row>
    <row r="356" ht="15.75" customHeight="1" s="5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O356" s="2" t="n"/>
      <c r="P356" s="2" t="n"/>
    </row>
    <row r="357" ht="15.75" customHeight="1" s="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O357" s="2" t="n"/>
      <c r="P357" s="2" t="n"/>
    </row>
    <row r="358" ht="15.75" customHeight="1" s="5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O358" s="2" t="n"/>
      <c r="P358" s="2" t="n"/>
    </row>
    <row r="359" ht="15.75" customHeight="1" s="5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O359" s="2" t="n"/>
      <c r="P359" s="2" t="n"/>
    </row>
    <row r="360" ht="15.75" customHeight="1" s="5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O360" s="2" t="n"/>
      <c r="P360" s="2" t="n"/>
    </row>
    <row r="361" ht="15.75" customHeight="1" s="5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O361" s="2" t="n"/>
      <c r="P361" s="2" t="n"/>
    </row>
    <row r="362" ht="15.75" customHeight="1" s="5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O362" s="2" t="n"/>
      <c r="P362" s="2" t="n"/>
    </row>
    <row r="363" ht="15.75" customHeight="1" s="5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O363" s="2" t="n"/>
      <c r="P363" s="2" t="n"/>
    </row>
    <row r="364" ht="15.75" customHeight="1" s="5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O364" s="2" t="n"/>
      <c r="P364" s="2" t="n"/>
    </row>
    <row r="365" ht="15.75" customHeight="1" s="5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O365" s="2" t="n"/>
      <c r="P365" s="2" t="n"/>
    </row>
    <row r="366" ht="15.75" customHeight="1" s="5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O366" s="2" t="n"/>
      <c r="P366" s="2" t="n"/>
    </row>
    <row r="367" ht="15.75" customHeight="1" s="5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O367" s="2" t="n"/>
      <c r="P367" s="2" t="n"/>
    </row>
    <row r="368" ht="15.75" customHeight="1" s="5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O368" s="2" t="n"/>
      <c r="P368" s="2" t="n"/>
    </row>
    <row r="369" ht="15.75" customHeight="1" s="5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O369" s="2" t="n"/>
      <c r="P369" s="2" t="n"/>
    </row>
    <row r="370" ht="15.75" customHeight="1" s="5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O370" s="2" t="n"/>
      <c r="P370" s="2" t="n"/>
    </row>
    <row r="371" ht="15.75" customHeight="1" s="5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O371" s="2" t="n"/>
      <c r="P371" s="2" t="n"/>
    </row>
    <row r="372" ht="15.75" customHeight="1" s="5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O372" s="2" t="n"/>
      <c r="P372" s="2" t="n"/>
    </row>
    <row r="373" ht="15.75" customHeight="1" s="5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O373" s="2" t="n"/>
      <c r="P373" s="2" t="n"/>
    </row>
    <row r="374" ht="15.75" customHeight="1" s="5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O374" s="2" t="n"/>
      <c r="P374" s="2" t="n"/>
    </row>
    <row r="375" ht="15.75" customHeight="1" s="5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O375" s="2" t="n"/>
      <c r="P375" s="2" t="n"/>
    </row>
    <row r="376" ht="15.75" customHeight="1" s="5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O376" s="2" t="n"/>
      <c r="P376" s="2" t="n"/>
    </row>
    <row r="377" ht="15.75" customHeight="1" s="5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O377" s="2" t="n"/>
      <c r="P377" s="2" t="n"/>
    </row>
    <row r="378" ht="15.75" customHeight="1" s="5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O378" s="2" t="n"/>
      <c r="P378" s="2" t="n"/>
    </row>
    <row r="379" ht="15.75" customHeight="1" s="5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O379" s="2" t="n"/>
      <c r="P379" s="2" t="n"/>
    </row>
    <row r="380" ht="15.75" customHeight="1" s="5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O380" s="2" t="n"/>
      <c r="P380" s="2" t="n"/>
    </row>
    <row r="381" ht="15.75" customHeight="1" s="5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O381" s="2" t="n"/>
      <c r="P381" s="2" t="n"/>
    </row>
    <row r="382" ht="15.75" customHeight="1" s="5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O382" s="2" t="n"/>
      <c r="P382" s="2" t="n"/>
    </row>
    <row r="383" ht="15.75" customHeight="1" s="5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O383" s="2" t="n"/>
      <c r="P383" s="2" t="n"/>
    </row>
    <row r="384" ht="15.75" customHeight="1" s="5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O384" s="2" t="n"/>
      <c r="P384" s="2" t="n"/>
    </row>
    <row r="385" ht="15.75" customHeight="1" s="5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O385" s="2" t="n"/>
      <c r="P385" s="2" t="n"/>
    </row>
    <row r="386" ht="15.75" customHeight="1" s="5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O386" s="2" t="n"/>
      <c r="P386" s="2" t="n"/>
    </row>
    <row r="387" ht="15.75" customHeight="1" s="5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O387" s="2" t="n"/>
      <c r="P387" s="2" t="n"/>
    </row>
    <row r="388" ht="15.75" customHeight="1" s="5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O388" s="2" t="n"/>
      <c r="P388" s="2" t="n"/>
    </row>
    <row r="389" ht="15.75" customHeight="1" s="5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O389" s="2" t="n"/>
      <c r="P389" s="2" t="n"/>
    </row>
    <row r="390" ht="15.75" customHeight="1" s="5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O390" s="2" t="n"/>
      <c r="P390" s="2" t="n"/>
    </row>
    <row r="391" ht="15.75" customHeight="1" s="5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O391" s="2" t="n"/>
      <c r="P391" s="2" t="n"/>
    </row>
    <row r="392" ht="15.75" customHeight="1" s="5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O392" s="2" t="n"/>
      <c r="P392" s="2" t="n"/>
    </row>
    <row r="393" ht="15.75" customHeight="1" s="5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O393" s="2" t="n"/>
      <c r="P393" s="2" t="n"/>
    </row>
    <row r="394" ht="15.75" customHeight="1" s="5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O394" s="2" t="n"/>
      <c r="P394" s="2" t="n"/>
    </row>
    <row r="395" ht="15.75" customHeight="1" s="5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O395" s="2" t="n"/>
      <c r="P395" s="2" t="n"/>
    </row>
    <row r="396" ht="15.75" customHeight="1" s="5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O396" s="2" t="n"/>
      <c r="P396" s="2" t="n"/>
    </row>
    <row r="397" ht="15.75" customHeight="1" s="5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O397" s="2" t="n"/>
      <c r="P397" s="2" t="n"/>
    </row>
    <row r="398" ht="15.75" customHeight="1" s="5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O398" s="2" t="n"/>
      <c r="P398" s="2" t="n"/>
    </row>
    <row r="399" ht="15.75" customHeight="1" s="5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O399" s="2" t="n"/>
      <c r="P399" s="2" t="n"/>
    </row>
    <row r="400" ht="15.75" customHeight="1" s="5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O400" s="2" t="n"/>
      <c r="P400" s="2" t="n"/>
    </row>
    <row r="401" ht="15.75" customHeight="1" s="5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O401" s="2" t="n"/>
      <c r="P401" s="2" t="n"/>
    </row>
    <row r="402" ht="15.75" customHeight="1" s="5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O402" s="2" t="n"/>
      <c r="P402" s="2" t="n"/>
    </row>
    <row r="403" ht="15.75" customHeight="1" s="5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O403" s="2" t="n"/>
      <c r="P403" s="2" t="n"/>
    </row>
    <row r="404" ht="15.75" customHeight="1" s="5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O404" s="2" t="n"/>
      <c r="P404" s="2" t="n"/>
    </row>
    <row r="405" ht="15.75" customHeight="1" s="5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O405" s="2" t="n"/>
      <c r="P405" s="2" t="n"/>
    </row>
    <row r="406" ht="15.75" customHeight="1" s="5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O406" s="2" t="n"/>
      <c r="P406" s="2" t="n"/>
    </row>
    <row r="407" ht="15.75" customHeight="1" s="5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O407" s="2" t="n"/>
      <c r="P407" s="2" t="n"/>
    </row>
    <row r="408" ht="15.75" customHeight="1" s="5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O408" s="2" t="n"/>
      <c r="P408" s="2" t="n"/>
    </row>
    <row r="409" ht="15.75" customHeight="1" s="5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O409" s="2" t="n"/>
      <c r="P409" s="2" t="n"/>
    </row>
    <row r="410" ht="15.75" customHeight="1" s="5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O410" s="2" t="n"/>
      <c r="P410" s="2" t="n"/>
    </row>
    <row r="411" ht="15.75" customHeight="1" s="5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O411" s="2" t="n"/>
      <c r="P411" s="2" t="n"/>
    </row>
    <row r="412" ht="15.75" customHeight="1" s="5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O412" s="2" t="n"/>
      <c r="P412" s="2" t="n"/>
    </row>
    <row r="413" ht="15.75" customHeight="1" s="5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O413" s="2" t="n"/>
      <c r="P413" s="2" t="n"/>
    </row>
    <row r="414" ht="15.75" customHeight="1" s="5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O414" s="2" t="n"/>
      <c r="P414" s="2" t="n"/>
    </row>
    <row r="415" ht="15.75" customHeight="1" s="5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O415" s="2" t="n"/>
      <c r="P415" s="2" t="n"/>
    </row>
    <row r="416" ht="15.75" customHeight="1" s="5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O416" s="2" t="n"/>
      <c r="P416" s="2" t="n"/>
    </row>
    <row r="417" ht="15.75" customHeight="1" s="5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O417" s="2" t="n"/>
      <c r="P417" s="2" t="n"/>
    </row>
    <row r="418" ht="15.75" customHeight="1" s="5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O418" s="2" t="n"/>
      <c r="P418" s="2" t="n"/>
    </row>
    <row r="419" ht="15.75" customHeight="1" s="5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O419" s="2" t="n"/>
      <c r="P419" s="2" t="n"/>
    </row>
    <row r="420" ht="15.75" customHeight="1" s="5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O420" s="2" t="n"/>
      <c r="P420" s="2" t="n"/>
    </row>
    <row r="421" ht="15.75" customHeight="1" s="5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O421" s="2" t="n"/>
      <c r="P421" s="2" t="n"/>
    </row>
    <row r="422" ht="15.75" customHeight="1" s="5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O422" s="2" t="n"/>
      <c r="P422" s="2" t="n"/>
    </row>
    <row r="423" ht="15.75" customHeight="1" s="5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O423" s="2" t="n"/>
      <c r="P423" s="2" t="n"/>
    </row>
    <row r="424" ht="15.75" customHeight="1" s="5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O424" s="2" t="n"/>
      <c r="P424" s="2" t="n"/>
    </row>
    <row r="425" ht="15.75" customHeight="1" s="5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O425" s="2" t="n"/>
      <c r="P425" s="2" t="n"/>
    </row>
    <row r="426" ht="15.75" customHeight="1" s="5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O426" s="2" t="n"/>
      <c r="P426" s="2" t="n"/>
    </row>
    <row r="427" ht="15.75" customHeight="1" s="5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O427" s="2" t="n"/>
      <c r="P427" s="2" t="n"/>
    </row>
    <row r="428" ht="15.75" customHeight="1" s="5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O428" s="2" t="n"/>
      <c r="P428" s="2" t="n"/>
    </row>
    <row r="429" ht="15.75" customHeight="1" s="5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O429" s="2" t="n"/>
      <c r="P429" s="2" t="n"/>
    </row>
    <row r="430" ht="15.75" customHeight="1" s="5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O430" s="2" t="n"/>
      <c r="P430" s="2" t="n"/>
    </row>
    <row r="431" ht="15.75" customHeight="1" s="5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O431" s="2" t="n"/>
      <c r="P431" s="2" t="n"/>
    </row>
    <row r="432" ht="15.75" customHeight="1" s="5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O432" s="2" t="n"/>
      <c r="P432" s="2" t="n"/>
    </row>
    <row r="433" ht="15.75" customHeight="1" s="5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O433" s="2" t="n"/>
      <c r="P433" s="2" t="n"/>
    </row>
    <row r="434" ht="15.75" customHeight="1" s="5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O434" s="2" t="n"/>
      <c r="P434" s="2" t="n"/>
    </row>
    <row r="435" ht="15.75" customHeight="1" s="5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O435" s="2" t="n"/>
      <c r="P435" s="2" t="n"/>
    </row>
    <row r="436" ht="15.75" customHeight="1" s="5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O436" s="2" t="n"/>
      <c r="P436" s="2" t="n"/>
    </row>
    <row r="437" ht="15.75" customHeight="1" s="5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O437" s="2" t="n"/>
      <c r="P437" s="2" t="n"/>
    </row>
    <row r="438" ht="15.75" customHeight="1" s="5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O438" s="2" t="n"/>
      <c r="P438" s="2" t="n"/>
    </row>
    <row r="439" ht="15.75" customHeight="1" s="5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O439" s="2" t="n"/>
      <c r="P439" s="2" t="n"/>
    </row>
    <row r="440" ht="15.75" customHeight="1" s="5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O440" s="2" t="n"/>
      <c r="P440" s="2" t="n"/>
    </row>
    <row r="441" ht="15.75" customHeight="1" s="5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O441" s="2" t="n"/>
      <c r="P441" s="2" t="n"/>
    </row>
    <row r="442" ht="15.75" customHeight="1" s="5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O442" s="2" t="n"/>
      <c r="P442" s="2" t="n"/>
    </row>
    <row r="443" ht="15.75" customHeight="1" s="5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O443" s="2" t="n"/>
      <c r="P443" s="2" t="n"/>
    </row>
    <row r="444" ht="15.75" customHeight="1" s="5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O444" s="2" t="n"/>
      <c r="P444" s="2" t="n"/>
    </row>
    <row r="445" ht="15.75" customHeight="1" s="5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O445" s="2" t="n"/>
      <c r="P445" s="2" t="n"/>
    </row>
    <row r="446" ht="15.75" customHeight="1" s="5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O446" s="2" t="n"/>
      <c r="P446" s="2" t="n"/>
    </row>
    <row r="447" ht="15.75" customHeight="1" s="5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O447" s="2" t="n"/>
      <c r="P447" s="2" t="n"/>
    </row>
    <row r="448" ht="15.75" customHeight="1" s="5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O448" s="2" t="n"/>
      <c r="P448" s="2" t="n"/>
    </row>
    <row r="449" ht="15.75" customHeight="1" s="5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O449" s="2" t="n"/>
      <c r="P449" s="2" t="n"/>
    </row>
    <row r="450" ht="15.75" customHeight="1" s="5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O450" s="2" t="n"/>
      <c r="P450" s="2" t="n"/>
    </row>
    <row r="451" ht="15.75" customHeight="1" s="5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O451" s="2" t="n"/>
      <c r="P451" s="2" t="n"/>
    </row>
    <row r="452" ht="15.75" customHeight="1" s="5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O452" s="2" t="n"/>
      <c r="P452" s="2" t="n"/>
    </row>
    <row r="453" ht="15.75" customHeight="1" s="5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O453" s="2" t="n"/>
      <c r="P453" s="2" t="n"/>
    </row>
    <row r="454" ht="15.75" customHeight="1" s="5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O454" s="2" t="n"/>
      <c r="P454" s="2" t="n"/>
    </row>
    <row r="455" ht="15.75" customHeight="1" s="5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O455" s="2" t="n"/>
      <c r="P455" s="2" t="n"/>
    </row>
    <row r="456" ht="15.75" customHeight="1" s="5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O456" s="2" t="n"/>
      <c r="P456" s="2" t="n"/>
    </row>
    <row r="457" ht="15.75" customHeight="1" s="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O457" s="2" t="n"/>
      <c r="P457" s="2" t="n"/>
    </row>
    <row r="458" ht="15.75" customHeight="1" s="5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O458" s="2" t="n"/>
      <c r="P458" s="2" t="n"/>
    </row>
    <row r="459" ht="15.75" customHeight="1" s="5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O459" s="2" t="n"/>
      <c r="P459" s="2" t="n"/>
    </row>
    <row r="460" ht="15.75" customHeight="1" s="5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O460" s="2" t="n"/>
      <c r="P460" s="2" t="n"/>
    </row>
    <row r="461" ht="15.75" customHeight="1" s="5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O461" s="2" t="n"/>
      <c r="P461" s="2" t="n"/>
    </row>
    <row r="462" ht="15.75" customHeight="1" s="5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O462" s="2" t="n"/>
      <c r="P462" s="2" t="n"/>
    </row>
    <row r="463" ht="15.75" customHeight="1" s="5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O463" s="2" t="n"/>
      <c r="P463" s="2" t="n"/>
    </row>
    <row r="464" ht="15.75" customHeight="1" s="5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O464" s="2" t="n"/>
      <c r="P464" s="2" t="n"/>
    </row>
    <row r="465" ht="15.75" customHeight="1" s="5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O465" s="2" t="n"/>
      <c r="P465" s="2" t="n"/>
    </row>
    <row r="466" ht="15.75" customHeight="1" s="5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O466" s="2" t="n"/>
      <c r="P466" s="2" t="n"/>
    </row>
    <row r="467" ht="15.75" customHeight="1" s="5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O467" s="2" t="n"/>
      <c r="P467" s="2" t="n"/>
    </row>
    <row r="468" ht="15.75" customHeight="1" s="5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O468" s="2" t="n"/>
      <c r="P468" s="2" t="n"/>
    </row>
    <row r="469" ht="15.75" customHeight="1" s="5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O469" s="2" t="n"/>
      <c r="P469" s="2" t="n"/>
    </row>
    <row r="470" ht="15.75" customHeight="1" s="5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O470" s="2" t="n"/>
      <c r="P470" s="2" t="n"/>
    </row>
    <row r="471" ht="15.75" customHeight="1" s="5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O471" s="2" t="n"/>
      <c r="P471" s="2" t="n"/>
    </row>
    <row r="472" ht="15.75" customHeight="1" s="5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O472" s="2" t="n"/>
      <c r="P472" s="2" t="n"/>
    </row>
    <row r="473" ht="15.75" customHeight="1" s="5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O473" s="2" t="n"/>
      <c r="P473" s="2" t="n"/>
    </row>
    <row r="474" ht="15.75" customHeight="1" s="5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O474" s="2" t="n"/>
      <c r="P474" s="2" t="n"/>
    </row>
    <row r="475" ht="15.75" customHeight="1" s="5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O475" s="2" t="n"/>
      <c r="P475" s="2" t="n"/>
    </row>
    <row r="476" ht="15.75" customHeight="1" s="5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O476" s="2" t="n"/>
      <c r="P476" s="2" t="n"/>
    </row>
    <row r="477" ht="15.75" customHeight="1" s="5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O477" s="2" t="n"/>
      <c r="P477" s="2" t="n"/>
    </row>
    <row r="478" ht="15.75" customHeight="1" s="5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O478" s="2" t="n"/>
      <c r="P478" s="2" t="n"/>
    </row>
    <row r="479" ht="15.75" customHeight="1" s="5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O479" s="2" t="n"/>
      <c r="P479" s="2" t="n"/>
    </row>
    <row r="480" ht="15.75" customHeight="1" s="5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O480" s="2" t="n"/>
      <c r="P480" s="2" t="n"/>
    </row>
    <row r="481" ht="15.75" customHeight="1" s="5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O481" s="2" t="n"/>
      <c r="P481" s="2" t="n"/>
    </row>
    <row r="482" ht="15.75" customHeight="1" s="5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O482" s="2" t="n"/>
      <c r="P482" s="2" t="n"/>
    </row>
    <row r="483" ht="15.75" customHeight="1" s="5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O483" s="2" t="n"/>
      <c r="P483" s="2" t="n"/>
    </row>
    <row r="484" ht="15.75" customHeight="1" s="5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O484" s="2" t="n"/>
      <c r="P484" s="2" t="n"/>
    </row>
    <row r="485" ht="15.75" customHeight="1" s="5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O485" s="2" t="n"/>
      <c r="P485" s="2" t="n"/>
    </row>
    <row r="486" ht="15.75" customHeight="1" s="5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O486" s="2" t="n"/>
      <c r="P486" s="2" t="n"/>
    </row>
    <row r="487" ht="15.75" customHeight="1" s="5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O487" s="2" t="n"/>
      <c r="P487" s="2" t="n"/>
    </row>
    <row r="488" ht="15.75" customHeight="1" s="5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O488" s="2" t="n"/>
      <c r="P488" s="2" t="n"/>
    </row>
    <row r="489" ht="15.75" customHeight="1" s="5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O489" s="2" t="n"/>
      <c r="P489" s="2" t="n"/>
    </row>
    <row r="490" ht="15.75" customHeight="1" s="5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O490" s="2" t="n"/>
      <c r="P490" s="2" t="n"/>
    </row>
    <row r="491" ht="15.75" customHeight="1" s="5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O491" s="2" t="n"/>
      <c r="P491" s="2" t="n"/>
    </row>
    <row r="492" ht="15.75" customHeight="1" s="5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O492" s="2" t="n"/>
      <c r="P492" s="2" t="n"/>
    </row>
    <row r="493" ht="15.75" customHeight="1" s="5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O493" s="2" t="n"/>
      <c r="P493" s="2" t="n"/>
    </row>
    <row r="494" ht="15.75" customHeight="1" s="5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O494" s="2" t="n"/>
      <c r="P494" s="2" t="n"/>
    </row>
    <row r="495" ht="15.75" customHeight="1" s="5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O495" s="2" t="n"/>
      <c r="P495" s="2" t="n"/>
    </row>
    <row r="496" ht="15.75" customHeight="1" s="5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O496" s="2" t="n"/>
      <c r="P496" s="2" t="n"/>
    </row>
    <row r="497" ht="15.75" customHeight="1" s="5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O497" s="2" t="n"/>
      <c r="P497" s="2" t="n"/>
    </row>
    <row r="498" ht="15.75" customHeight="1" s="5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O498" s="2" t="n"/>
      <c r="P498" s="2" t="n"/>
    </row>
    <row r="499" ht="15.75" customHeight="1" s="5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O499" s="2" t="n"/>
      <c r="P499" s="2" t="n"/>
    </row>
    <row r="500" ht="15.75" customHeight="1" s="5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O500" s="2" t="n"/>
      <c r="P500" s="2" t="n"/>
    </row>
    <row r="501" ht="15.75" customHeight="1" s="5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O501" s="2" t="n"/>
      <c r="P501" s="2" t="n"/>
    </row>
    <row r="502" ht="15.75" customHeight="1" s="5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O502" s="2" t="n"/>
      <c r="P502" s="2" t="n"/>
    </row>
    <row r="503" ht="15.75" customHeight="1" s="5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O503" s="2" t="n"/>
      <c r="P503" s="2" t="n"/>
    </row>
    <row r="504" ht="15.75" customHeight="1" s="5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O504" s="2" t="n"/>
      <c r="P504" s="2" t="n"/>
    </row>
    <row r="505" ht="15.75" customHeight="1" s="5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O505" s="2" t="n"/>
      <c r="P505" s="2" t="n"/>
    </row>
    <row r="506" ht="15.75" customHeight="1" s="5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O506" s="2" t="n"/>
      <c r="P506" s="2" t="n"/>
    </row>
    <row r="507" ht="15.75" customHeight="1" s="5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O507" s="2" t="n"/>
      <c r="P507" s="2" t="n"/>
    </row>
    <row r="508" ht="15.75" customHeight="1" s="5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O508" s="2" t="n"/>
      <c r="P508" s="2" t="n"/>
    </row>
    <row r="509" ht="15.75" customHeight="1" s="5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O509" s="2" t="n"/>
      <c r="P509" s="2" t="n"/>
    </row>
    <row r="510" ht="15.75" customHeight="1" s="5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O510" s="2" t="n"/>
      <c r="P510" s="2" t="n"/>
    </row>
    <row r="511" ht="15.75" customHeight="1" s="5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O511" s="2" t="n"/>
      <c r="P511" s="2" t="n"/>
    </row>
    <row r="512" ht="15.75" customHeight="1" s="5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O512" s="2" t="n"/>
      <c r="P512" s="2" t="n"/>
    </row>
    <row r="513" ht="15.75" customHeight="1" s="5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O513" s="2" t="n"/>
      <c r="P513" s="2" t="n"/>
    </row>
    <row r="514" ht="15.75" customHeight="1" s="5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O514" s="2" t="n"/>
      <c r="P514" s="2" t="n"/>
    </row>
    <row r="515" ht="15.75" customHeight="1" s="5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O515" s="2" t="n"/>
      <c r="P515" s="2" t="n"/>
    </row>
    <row r="516" ht="15.75" customHeight="1" s="5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O516" s="2" t="n"/>
      <c r="P516" s="2" t="n"/>
    </row>
    <row r="517" ht="15.75" customHeight="1" s="5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O517" s="2" t="n"/>
      <c r="P517" s="2" t="n"/>
    </row>
    <row r="518" ht="15.75" customHeight="1" s="5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O518" s="2" t="n"/>
      <c r="P518" s="2" t="n"/>
    </row>
    <row r="519" ht="15.75" customHeight="1" s="5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O519" s="2" t="n"/>
      <c r="P519" s="2" t="n"/>
    </row>
    <row r="520" ht="15.75" customHeight="1" s="5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O520" s="2" t="n"/>
      <c r="P520" s="2" t="n"/>
    </row>
    <row r="521" ht="15.75" customHeight="1" s="5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O521" s="2" t="n"/>
      <c r="P521" s="2" t="n"/>
    </row>
    <row r="522" ht="15.75" customHeight="1" s="5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O522" s="2" t="n"/>
      <c r="P522" s="2" t="n"/>
    </row>
    <row r="523" ht="15.75" customHeight="1" s="5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O523" s="2" t="n"/>
      <c r="P523" s="2" t="n"/>
    </row>
    <row r="524" ht="15.75" customHeight="1" s="5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O524" s="2" t="n"/>
      <c r="P524" s="2" t="n"/>
    </row>
    <row r="525" ht="15.75" customHeight="1" s="5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O525" s="2" t="n"/>
      <c r="P525" s="2" t="n"/>
    </row>
    <row r="526" ht="15.75" customHeight="1" s="5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O526" s="2" t="n"/>
      <c r="P526" s="2" t="n"/>
    </row>
    <row r="527" ht="15.75" customHeight="1" s="5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O527" s="2" t="n"/>
      <c r="P527" s="2" t="n"/>
    </row>
    <row r="528" ht="15.75" customHeight="1" s="5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O528" s="2" t="n"/>
      <c r="P528" s="2" t="n"/>
    </row>
    <row r="529" ht="15.75" customHeight="1" s="5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O529" s="2" t="n"/>
      <c r="P529" s="2" t="n"/>
    </row>
    <row r="530" ht="15.75" customHeight="1" s="5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O530" s="2" t="n"/>
      <c r="P530" s="2" t="n"/>
    </row>
    <row r="531" ht="15.75" customHeight="1" s="5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O531" s="2" t="n"/>
      <c r="P531" s="2" t="n"/>
    </row>
    <row r="532" ht="15.75" customHeight="1" s="5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O532" s="2" t="n"/>
      <c r="P532" s="2" t="n"/>
    </row>
    <row r="533" ht="15.75" customHeight="1" s="5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O533" s="2" t="n"/>
      <c r="P533" s="2" t="n"/>
    </row>
    <row r="534" ht="15.75" customHeight="1" s="5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O534" s="2" t="n"/>
      <c r="P534" s="2" t="n"/>
    </row>
    <row r="535" ht="15.75" customHeight="1" s="5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O535" s="2" t="n"/>
      <c r="P535" s="2" t="n"/>
    </row>
    <row r="536" ht="15.75" customHeight="1" s="5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O536" s="2" t="n"/>
      <c r="P536" s="2" t="n"/>
    </row>
    <row r="537" ht="15.75" customHeight="1" s="5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O537" s="2" t="n"/>
      <c r="P537" s="2" t="n"/>
    </row>
    <row r="538" ht="15.75" customHeight="1" s="5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O538" s="2" t="n"/>
      <c r="P538" s="2" t="n"/>
    </row>
    <row r="539" ht="15.75" customHeight="1" s="5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O539" s="2" t="n"/>
      <c r="P539" s="2" t="n"/>
    </row>
    <row r="540" ht="15.75" customHeight="1" s="5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O540" s="2" t="n"/>
      <c r="P540" s="2" t="n"/>
    </row>
    <row r="541" ht="15.75" customHeight="1" s="5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O541" s="2" t="n"/>
      <c r="P541" s="2" t="n"/>
    </row>
    <row r="542" ht="15.75" customHeight="1" s="5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O542" s="2" t="n"/>
      <c r="P542" s="2" t="n"/>
    </row>
    <row r="543" ht="15.75" customHeight="1" s="5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O543" s="2" t="n"/>
      <c r="P543" s="2" t="n"/>
    </row>
    <row r="544" ht="15.75" customHeight="1" s="5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O544" s="2" t="n"/>
      <c r="P544" s="2" t="n"/>
    </row>
    <row r="545" ht="15.75" customHeight="1" s="5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O545" s="2" t="n"/>
      <c r="P545" s="2" t="n"/>
    </row>
    <row r="546" ht="15.75" customHeight="1" s="5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O546" s="2" t="n"/>
      <c r="P546" s="2" t="n"/>
    </row>
    <row r="547" ht="15.75" customHeight="1" s="5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O547" s="2" t="n"/>
      <c r="P547" s="2" t="n"/>
    </row>
    <row r="548" ht="15.75" customHeight="1" s="5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O548" s="2" t="n"/>
      <c r="P548" s="2" t="n"/>
    </row>
    <row r="549" ht="15.75" customHeight="1" s="5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O549" s="2" t="n"/>
      <c r="P549" s="2" t="n"/>
    </row>
    <row r="550" ht="15.75" customHeight="1" s="5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O550" s="2" t="n"/>
      <c r="P550" s="2" t="n"/>
    </row>
    <row r="551" ht="15.75" customHeight="1" s="5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O551" s="2" t="n"/>
      <c r="P551" s="2" t="n"/>
    </row>
    <row r="552" ht="15.75" customHeight="1" s="5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O552" s="2" t="n"/>
      <c r="P552" s="2" t="n"/>
    </row>
    <row r="553" ht="15.75" customHeight="1" s="5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O553" s="2" t="n"/>
      <c r="P553" s="2" t="n"/>
    </row>
    <row r="554" ht="15.75" customHeight="1" s="5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O554" s="2" t="n"/>
      <c r="P554" s="2" t="n"/>
    </row>
    <row r="555" ht="15.75" customHeight="1" s="5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O555" s="2" t="n"/>
      <c r="P555" s="2" t="n"/>
    </row>
    <row r="556" ht="15.75" customHeight="1" s="5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O556" s="2" t="n"/>
      <c r="P556" s="2" t="n"/>
    </row>
    <row r="557" ht="15.75" customHeight="1" s="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O557" s="2" t="n"/>
      <c r="P557" s="2" t="n"/>
    </row>
    <row r="558" ht="15.75" customHeight="1" s="5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O558" s="2" t="n"/>
      <c r="P558" s="2" t="n"/>
    </row>
    <row r="559" ht="15.75" customHeight="1" s="5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O559" s="2" t="n"/>
      <c r="P559" s="2" t="n"/>
    </row>
    <row r="560" ht="15.75" customHeight="1" s="5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O560" s="2" t="n"/>
      <c r="P560" s="2" t="n"/>
    </row>
    <row r="561" ht="15.75" customHeight="1" s="5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O561" s="2" t="n"/>
      <c r="P561" s="2" t="n"/>
    </row>
    <row r="562" ht="15.75" customHeight="1" s="5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O562" s="2" t="n"/>
      <c r="P562" s="2" t="n"/>
    </row>
    <row r="563" ht="15.75" customHeight="1" s="5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O563" s="2" t="n"/>
      <c r="P563" s="2" t="n"/>
    </row>
    <row r="564" ht="15.75" customHeight="1" s="5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O564" s="2" t="n"/>
      <c r="P564" s="2" t="n"/>
    </row>
    <row r="565" ht="15.75" customHeight="1" s="5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O565" s="2" t="n"/>
      <c r="P565" s="2" t="n"/>
    </row>
    <row r="566" ht="15.75" customHeight="1" s="5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O566" s="2" t="n"/>
      <c r="P566" s="2" t="n"/>
    </row>
    <row r="567" ht="15.75" customHeight="1" s="5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O567" s="2" t="n"/>
      <c r="P567" s="2" t="n"/>
    </row>
    <row r="568" ht="15.75" customHeight="1" s="5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O568" s="2" t="n"/>
      <c r="P568" s="2" t="n"/>
    </row>
    <row r="569" ht="15.75" customHeight="1" s="5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O569" s="2" t="n"/>
      <c r="P569" s="2" t="n"/>
    </row>
    <row r="570" ht="15.75" customHeight="1" s="5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O570" s="2" t="n"/>
      <c r="P570" s="2" t="n"/>
    </row>
    <row r="571" ht="15.75" customHeight="1" s="5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O571" s="2" t="n"/>
      <c r="P571" s="2" t="n"/>
    </row>
    <row r="572" ht="15.75" customHeight="1" s="5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O572" s="2" t="n"/>
      <c r="P572" s="2" t="n"/>
    </row>
    <row r="573" ht="15.75" customHeight="1" s="5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O573" s="2" t="n"/>
      <c r="P573" s="2" t="n"/>
    </row>
    <row r="574" ht="15.75" customHeight="1" s="5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O574" s="2" t="n"/>
      <c r="P574" s="2" t="n"/>
    </row>
    <row r="575" ht="15.75" customHeight="1" s="5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O575" s="2" t="n"/>
      <c r="P575" s="2" t="n"/>
    </row>
    <row r="576" ht="15.75" customHeight="1" s="5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O576" s="2" t="n"/>
      <c r="P576" s="2" t="n"/>
    </row>
    <row r="577" ht="15.75" customHeight="1" s="5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O577" s="2" t="n"/>
      <c r="P577" s="2" t="n"/>
    </row>
    <row r="578" ht="15.75" customHeight="1" s="5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O578" s="2" t="n"/>
      <c r="P578" s="2" t="n"/>
    </row>
    <row r="579" ht="15.75" customHeight="1" s="5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O579" s="2" t="n"/>
      <c r="P579" s="2" t="n"/>
    </row>
    <row r="580" ht="15.75" customHeight="1" s="5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O580" s="2" t="n"/>
      <c r="P580" s="2" t="n"/>
    </row>
    <row r="581" ht="15.75" customHeight="1" s="5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O581" s="2" t="n"/>
      <c r="P581" s="2" t="n"/>
    </row>
    <row r="582" ht="15.75" customHeight="1" s="5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O582" s="2" t="n"/>
      <c r="P582" s="2" t="n"/>
    </row>
    <row r="583" ht="15.75" customHeight="1" s="5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O583" s="2" t="n"/>
      <c r="P583" s="2" t="n"/>
    </row>
    <row r="584" ht="15.75" customHeight="1" s="5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O584" s="2" t="n"/>
      <c r="P584" s="2" t="n"/>
    </row>
    <row r="585" ht="15.75" customHeight="1" s="5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O585" s="2" t="n"/>
      <c r="P585" s="2" t="n"/>
    </row>
    <row r="586" ht="15.75" customHeight="1" s="5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O586" s="2" t="n"/>
      <c r="P586" s="2" t="n"/>
    </row>
    <row r="587" ht="15.75" customHeight="1" s="5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O587" s="2" t="n"/>
      <c r="P587" s="2" t="n"/>
    </row>
    <row r="588" ht="15.75" customHeight="1" s="5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O588" s="2" t="n"/>
      <c r="P588" s="2" t="n"/>
    </row>
    <row r="589" ht="15.75" customHeight="1" s="5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O589" s="2" t="n"/>
      <c r="P589" s="2" t="n"/>
    </row>
    <row r="590" ht="15.75" customHeight="1" s="5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O590" s="2" t="n"/>
      <c r="P590" s="2" t="n"/>
    </row>
    <row r="591" ht="15.75" customHeight="1" s="5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O591" s="2" t="n"/>
      <c r="P591" s="2" t="n"/>
    </row>
    <row r="592" ht="15.75" customHeight="1" s="5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O592" s="2" t="n"/>
      <c r="P592" s="2" t="n"/>
    </row>
    <row r="593" ht="15.75" customHeight="1" s="5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O593" s="2" t="n"/>
      <c r="P593" s="2" t="n"/>
    </row>
    <row r="594" ht="15.75" customHeight="1" s="5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O594" s="2" t="n"/>
      <c r="P594" s="2" t="n"/>
    </row>
    <row r="595" ht="15.75" customHeight="1" s="5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O595" s="2" t="n"/>
      <c r="P595" s="2" t="n"/>
    </row>
    <row r="596" ht="15.75" customHeight="1" s="5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O596" s="2" t="n"/>
      <c r="P596" s="2" t="n"/>
    </row>
    <row r="597" ht="15.75" customHeight="1" s="5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O597" s="2" t="n"/>
      <c r="P597" s="2" t="n"/>
    </row>
    <row r="598" ht="15.75" customHeight="1" s="5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O598" s="2" t="n"/>
      <c r="P598" s="2" t="n"/>
    </row>
    <row r="599" ht="15.75" customHeight="1" s="5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O599" s="2" t="n"/>
      <c r="P599" s="2" t="n"/>
    </row>
    <row r="600" ht="15.75" customHeight="1" s="5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O600" s="2" t="n"/>
      <c r="P600" s="2" t="n"/>
    </row>
    <row r="601" ht="15.75" customHeight="1" s="5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O601" s="2" t="n"/>
      <c r="P601" s="2" t="n"/>
    </row>
    <row r="602" ht="15.75" customHeight="1" s="5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O602" s="2" t="n"/>
      <c r="P602" s="2" t="n"/>
    </row>
    <row r="603" ht="15.75" customHeight="1" s="5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O603" s="2" t="n"/>
      <c r="P603" s="2" t="n"/>
    </row>
    <row r="604" ht="15.75" customHeight="1" s="5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O604" s="2" t="n"/>
      <c r="P604" s="2" t="n"/>
    </row>
    <row r="605" ht="15.75" customHeight="1" s="5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O605" s="2" t="n"/>
      <c r="P605" s="2" t="n"/>
    </row>
    <row r="606" ht="15.75" customHeight="1" s="5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O606" s="2" t="n"/>
      <c r="P606" s="2" t="n"/>
    </row>
    <row r="607" ht="15.75" customHeight="1" s="5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O607" s="2" t="n"/>
      <c r="P607" s="2" t="n"/>
    </row>
    <row r="608" ht="15.75" customHeight="1" s="5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O608" s="2" t="n"/>
      <c r="P608" s="2" t="n"/>
    </row>
    <row r="609" ht="15.75" customHeight="1" s="5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O609" s="2" t="n"/>
      <c r="P609" s="2" t="n"/>
    </row>
    <row r="610" ht="15.75" customHeight="1" s="5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O610" s="2" t="n"/>
      <c r="P610" s="2" t="n"/>
    </row>
    <row r="611" ht="15.75" customHeight="1" s="5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O611" s="2" t="n"/>
      <c r="P611" s="2" t="n"/>
    </row>
    <row r="612" ht="15.75" customHeight="1" s="5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O612" s="2" t="n"/>
      <c r="P612" s="2" t="n"/>
    </row>
    <row r="613" ht="15.75" customHeight="1" s="5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O613" s="2" t="n"/>
      <c r="P613" s="2" t="n"/>
    </row>
    <row r="614" ht="15.75" customHeight="1" s="5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O614" s="2" t="n"/>
      <c r="P614" s="2" t="n"/>
    </row>
    <row r="615" ht="15.75" customHeight="1" s="5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O615" s="2" t="n"/>
      <c r="P615" s="2" t="n"/>
    </row>
    <row r="616" ht="15.75" customHeight="1" s="5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O616" s="2" t="n"/>
      <c r="P616" s="2" t="n"/>
    </row>
    <row r="617" ht="15.75" customHeight="1" s="5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O617" s="2" t="n"/>
      <c r="P617" s="2" t="n"/>
    </row>
    <row r="618" ht="15.75" customHeight="1" s="5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O618" s="2" t="n"/>
      <c r="P618" s="2" t="n"/>
    </row>
    <row r="619" ht="15.75" customHeight="1" s="5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O619" s="2" t="n"/>
      <c r="P619" s="2" t="n"/>
    </row>
    <row r="620" ht="15.75" customHeight="1" s="5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O620" s="2" t="n"/>
      <c r="P620" s="2" t="n"/>
    </row>
    <row r="621" ht="15.75" customHeight="1" s="5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O621" s="2" t="n"/>
      <c r="P621" s="2" t="n"/>
    </row>
    <row r="622" ht="15.75" customHeight="1" s="5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O622" s="2" t="n"/>
      <c r="P622" s="2" t="n"/>
    </row>
    <row r="623" ht="15.75" customHeight="1" s="5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O623" s="2" t="n"/>
      <c r="P623" s="2" t="n"/>
    </row>
    <row r="624" ht="15.75" customHeight="1" s="5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O624" s="2" t="n"/>
      <c r="P624" s="2" t="n"/>
    </row>
    <row r="625" ht="15.75" customHeight="1" s="5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O625" s="2" t="n"/>
      <c r="P625" s="2" t="n"/>
    </row>
    <row r="626" ht="15.75" customHeight="1" s="5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O626" s="2" t="n"/>
      <c r="P626" s="2" t="n"/>
    </row>
    <row r="627" ht="15.75" customHeight="1" s="5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O627" s="2" t="n"/>
      <c r="P627" s="2" t="n"/>
    </row>
    <row r="628" ht="15.75" customHeight="1" s="5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O628" s="2" t="n"/>
      <c r="P628" s="2" t="n"/>
    </row>
    <row r="629" ht="15.75" customHeight="1" s="5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O629" s="2" t="n"/>
      <c r="P629" s="2" t="n"/>
    </row>
    <row r="630" ht="15.75" customHeight="1" s="5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O630" s="2" t="n"/>
      <c r="P630" s="2" t="n"/>
    </row>
    <row r="631" ht="15.75" customHeight="1" s="5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O631" s="2" t="n"/>
      <c r="P631" s="2" t="n"/>
    </row>
    <row r="632" ht="15.75" customHeight="1" s="5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O632" s="2" t="n"/>
      <c r="P632" s="2" t="n"/>
    </row>
    <row r="633" ht="15.75" customHeight="1" s="5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O633" s="2" t="n"/>
      <c r="P633" s="2" t="n"/>
    </row>
    <row r="634" ht="15.75" customHeight="1" s="5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O634" s="2" t="n"/>
      <c r="P634" s="2" t="n"/>
    </row>
    <row r="635" ht="15.75" customHeight="1" s="5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O635" s="2" t="n"/>
      <c r="P635" s="2" t="n"/>
    </row>
    <row r="636" ht="15.75" customHeight="1" s="5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O636" s="2" t="n"/>
      <c r="P636" s="2" t="n"/>
    </row>
    <row r="637" ht="15.75" customHeight="1" s="5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O637" s="2" t="n"/>
      <c r="P637" s="2" t="n"/>
    </row>
    <row r="638" ht="15.75" customHeight="1" s="5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O638" s="2" t="n"/>
      <c r="P638" s="2" t="n"/>
    </row>
    <row r="639" ht="15.75" customHeight="1" s="5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O639" s="2" t="n"/>
      <c r="P639" s="2" t="n"/>
    </row>
    <row r="640" ht="15.75" customHeight="1" s="5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O640" s="2" t="n"/>
      <c r="P640" s="2" t="n"/>
    </row>
    <row r="641" ht="15.75" customHeight="1" s="5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O641" s="2" t="n"/>
      <c r="P641" s="2" t="n"/>
    </row>
    <row r="642" ht="15.75" customHeight="1" s="5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O642" s="2" t="n"/>
      <c r="P642" s="2" t="n"/>
    </row>
    <row r="643" ht="15.75" customHeight="1" s="5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O643" s="2" t="n"/>
      <c r="P643" s="2" t="n"/>
    </row>
    <row r="644" ht="15.75" customHeight="1" s="5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O644" s="2" t="n"/>
      <c r="P644" s="2" t="n"/>
    </row>
    <row r="645" ht="15.75" customHeight="1" s="5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O645" s="2" t="n"/>
      <c r="P645" s="2" t="n"/>
    </row>
    <row r="646" ht="15.75" customHeight="1" s="5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O646" s="2" t="n"/>
      <c r="P646" s="2" t="n"/>
    </row>
    <row r="647" ht="15.75" customHeight="1" s="5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O647" s="2" t="n"/>
      <c r="P647" s="2" t="n"/>
    </row>
    <row r="648" ht="15.75" customHeight="1" s="5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O648" s="2" t="n"/>
      <c r="P648" s="2" t="n"/>
    </row>
    <row r="649" ht="15.75" customHeight="1" s="5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O649" s="2" t="n"/>
      <c r="P649" s="2" t="n"/>
    </row>
    <row r="650" ht="15.75" customHeight="1" s="5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O650" s="2" t="n"/>
      <c r="P650" s="2" t="n"/>
    </row>
    <row r="651" ht="15.75" customHeight="1" s="5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O651" s="2" t="n"/>
      <c r="P651" s="2" t="n"/>
    </row>
    <row r="652" ht="15.75" customHeight="1" s="5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O652" s="2" t="n"/>
      <c r="P652" s="2" t="n"/>
    </row>
    <row r="653" ht="15.75" customHeight="1" s="5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O653" s="2" t="n"/>
      <c r="P653" s="2" t="n"/>
    </row>
    <row r="654" ht="15.75" customHeight="1" s="5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O654" s="2" t="n"/>
      <c r="P654" s="2" t="n"/>
    </row>
    <row r="655" ht="15.75" customHeight="1" s="5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O655" s="2" t="n"/>
      <c r="P655" s="2" t="n"/>
    </row>
    <row r="656" ht="15.75" customHeight="1" s="5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O656" s="2" t="n"/>
      <c r="P656" s="2" t="n"/>
    </row>
    <row r="657" ht="15.75" customHeight="1" s="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O657" s="2" t="n"/>
      <c r="P657" s="2" t="n"/>
    </row>
    <row r="658" ht="15.75" customHeight="1" s="5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O658" s="2" t="n"/>
      <c r="P658" s="2" t="n"/>
    </row>
    <row r="659" ht="15.75" customHeight="1" s="5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O659" s="2" t="n"/>
      <c r="P659" s="2" t="n"/>
    </row>
    <row r="660" ht="15.75" customHeight="1" s="5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O660" s="2" t="n"/>
      <c r="P660" s="2" t="n"/>
    </row>
    <row r="661" ht="15.75" customHeight="1" s="5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O661" s="2" t="n"/>
      <c r="P661" s="2" t="n"/>
    </row>
    <row r="662" ht="15.75" customHeight="1" s="5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O662" s="2" t="n"/>
      <c r="P662" s="2" t="n"/>
    </row>
    <row r="663" ht="15.75" customHeight="1" s="5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O663" s="2" t="n"/>
      <c r="P663" s="2" t="n"/>
    </row>
    <row r="664" ht="15.75" customHeight="1" s="5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O664" s="2" t="n"/>
      <c r="P664" s="2" t="n"/>
    </row>
    <row r="665" ht="15.75" customHeight="1" s="5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O665" s="2" t="n"/>
      <c r="P665" s="2" t="n"/>
    </row>
    <row r="666" ht="15.75" customHeight="1" s="5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O666" s="2" t="n"/>
      <c r="P666" s="2" t="n"/>
    </row>
    <row r="667" ht="15.75" customHeight="1" s="5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O667" s="2" t="n"/>
      <c r="P667" s="2" t="n"/>
    </row>
    <row r="668" ht="15.75" customHeight="1" s="5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O668" s="2" t="n"/>
      <c r="P668" s="2" t="n"/>
    </row>
    <row r="669" ht="15.75" customHeight="1" s="5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O669" s="2" t="n"/>
      <c r="P669" s="2" t="n"/>
    </row>
    <row r="670" ht="15.75" customHeight="1" s="5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O670" s="2" t="n"/>
      <c r="P670" s="2" t="n"/>
    </row>
    <row r="671" ht="15.75" customHeight="1" s="5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O671" s="2" t="n"/>
      <c r="P671" s="2" t="n"/>
    </row>
    <row r="672" ht="15.75" customHeight="1" s="5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O672" s="2" t="n"/>
      <c r="P672" s="2" t="n"/>
    </row>
    <row r="673" ht="15.75" customHeight="1" s="5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O673" s="2" t="n"/>
      <c r="P673" s="2" t="n"/>
    </row>
    <row r="674" ht="15.75" customHeight="1" s="5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O674" s="2" t="n"/>
      <c r="P674" s="2" t="n"/>
    </row>
    <row r="675" ht="15.75" customHeight="1" s="5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O675" s="2" t="n"/>
      <c r="P675" s="2" t="n"/>
    </row>
    <row r="676" ht="15.75" customHeight="1" s="5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O676" s="2" t="n"/>
      <c r="P676" s="2" t="n"/>
    </row>
    <row r="677" ht="15.75" customHeight="1" s="5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O677" s="2" t="n"/>
      <c r="P677" s="2" t="n"/>
    </row>
    <row r="678" ht="15.75" customHeight="1" s="5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O678" s="2" t="n"/>
      <c r="P678" s="2" t="n"/>
    </row>
    <row r="679" ht="15.75" customHeight="1" s="5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O679" s="2" t="n"/>
      <c r="P679" s="2" t="n"/>
    </row>
    <row r="680" ht="15.75" customHeight="1" s="5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O680" s="2" t="n"/>
      <c r="P680" s="2" t="n"/>
    </row>
    <row r="681" ht="15.75" customHeight="1" s="5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O681" s="2" t="n"/>
      <c r="P681" s="2" t="n"/>
    </row>
    <row r="682" ht="15.75" customHeight="1" s="5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O682" s="2" t="n"/>
      <c r="P682" s="2" t="n"/>
    </row>
    <row r="683" ht="15.75" customHeight="1" s="5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O683" s="2" t="n"/>
      <c r="P683" s="2" t="n"/>
    </row>
    <row r="684" ht="15.75" customHeight="1" s="5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O684" s="2" t="n"/>
      <c r="P684" s="2" t="n"/>
    </row>
    <row r="685" ht="15.75" customHeight="1" s="5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O685" s="2" t="n"/>
      <c r="P685" s="2" t="n"/>
    </row>
    <row r="686" ht="15.75" customHeight="1" s="5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O686" s="2" t="n"/>
      <c r="P686" s="2" t="n"/>
    </row>
    <row r="687" ht="15.75" customHeight="1" s="5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O687" s="2" t="n"/>
      <c r="P687" s="2" t="n"/>
    </row>
    <row r="688" ht="15.75" customHeight="1" s="5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O688" s="2" t="n"/>
      <c r="P688" s="2" t="n"/>
    </row>
    <row r="689" ht="15.75" customHeight="1" s="5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O689" s="2" t="n"/>
      <c r="P689" s="2" t="n"/>
    </row>
    <row r="690" ht="15.75" customHeight="1" s="5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O690" s="2" t="n"/>
      <c r="P690" s="2" t="n"/>
    </row>
    <row r="691" ht="15.75" customHeight="1" s="5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O691" s="2" t="n"/>
      <c r="P691" s="2" t="n"/>
    </row>
    <row r="692" ht="15.75" customHeight="1" s="5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O692" s="2" t="n"/>
      <c r="P692" s="2" t="n"/>
    </row>
    <row r="693" ht="15.75" customHeight="1" s="5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O693" s="2" t="n"/>
      <c r="P693" s="2" t="n"/>
    </row>
    <row r="694" ht="15.75" customHeight="1" s="5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O694" s="2" t="n"/>
      <c r="P694" s="2" t="n"/>
    </row>
    <row r="695" ht="15.75" customHeight="1" s="5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O695" s="2" t="n"/>
      <c r="P695" s="2" t="n"/>
    </row>
    <row r="696" ht="15.75" customHeight="1" s="5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O696" s="2" t="n"/>
      <c r="P696" s="2" t="n"/>
    </row>
    <row r="697" ht="15.75" customHeight="1" s="5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O697" s="2" t="n"/>
      <c r="P697" s="2" t="n"/>
    </row>
    <row r="698" ht="15.75" customHeight="1" s="5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O698" s="2" t="n"/>
      <c r="P698" s="2" t="n"/>
    </row>
    <row r="699" ht="15.75" customHeight="1" s="5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O699" s="2" t="n"/>
      <c r="P699" s="2" t="n"/>
    </row>
    <row r="700" ht="15.75" customHeight="1" s="5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O700" s="2" t="n"/>
      <c r="P700" s="2" t="n"/>
    </row>
    <row r="701" ht="15.75" customHeight="1" s="5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O701" s="2" t="n"/>
      <c r="P701" s="2" t="n"/>
    </row>
    <row r="702" ht="15.75" customHeight="1" s="5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O702" s="2" t="n"/>
      <c r="P702" s="2" t="n"/>
    </row>
    <row r="703" ht="15.75" customHeight="1" s="5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O703" s="2" t="n"/>
      <c r="P703" s="2" t="n"/>
    </row>
    <row r="704" ht="15.75" customHeight="1" s="5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O704" s="2" t="n"/>
      <c r="P704" s="2" t="n"/>
    </row>
    <row r="705" ht="15.75" customHeight="1" s="5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O705" s="2" t="n"/>
      <c r="P705" s="2" t="n"/>
    </row>
    <row r="706" ht="15.75" customHeight="1" s="5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O706" s="2" t="n"/>
      <c r="P706" s="2" t="n"/>
    </row>
    <row r="707" ht="15.75" customHeight="1" s="5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O707" s="2" t="n"/>
      <c r="P707" s="2" t="n"/>
    </row>
    <row r="708" ht="15.75" customHeight="1" s="5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O708" s="2" t="n"/>
      <c r="P708" s="2" t="n"/>
    </row>
    <row r="709" ht="15.75" customHeight="1" s="5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O709" s="2" t="n"/>
      <c r="P709" s="2" t="n"/>
    </row>
    <row r="710" ht="15.75" customHeight="1" s="5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O710" s="2" t="n"/>
      <c r="P710" s="2" t="n"/>
    </row>
    <row r="711" ht="15.75" customHeight="1" s="5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O711" s="2" t="n"/>
      <c r="P711" s="2" t="n"/>
    </row>
    <row r="712" ht="15.75" customHeight="1" s="5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O712" s="2" t="n"/>
      <c r="P712" s="2" t="n"/>
    </row>
    <row r="713" ht="15.75" customHeight="1" s="5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O713" s="2" t="n"/>
      <c r="P713" s="2" t="n"/>
    </row>
    <row r="714" ht="15.75" customHeight="1" s="5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O714" s="2" t="n"/>
      <c r="P714" s="2" t="n"/>
    </row>
    <row r="715" ht="15.75" customHeight="1" s="5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O715" s="2" t="n"/>
      <c r="P715" s="2" t="n"/>
    </row>
    <row r="716" ht="15.75" customHeight="1" s="5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O716" s="2" t="n"/>
      <c r="P716" s="2" t="n"/>
    </row>
    <row r="717" ht="15.75" customHeight="1" s="5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O717" s="2" t="n"/>
      <c r="P717" s="2" t="n"/>
    </row>
    <row r="718" ht="15.75" customHeight="1" s="5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O718" s="2" t="n"/>
      <c r="P718" s="2" t="n"/>
    </row>
    <row r="719" ht="15.75" customHeight="1" s="5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O719" s="2" t="n"/>
      <c r="P719" s="2" t="n"/>
    </row>
    <row r="720" ht="15.75" customHeight="1" s="5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O720" s="2" t="n"/>
      <c r="P720" s="2" t="n"/>
    </row>
    <row r="721" ht="15.75" customHeight="1" s="5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O721" s="2" t="n"/>
      <c r="P721" s="2" t="n"/>
    </row>
    <row r="722" ht="15.75" customHeight="1" s="5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O722" s="2" t="n"/>
      <c r="P722" s="2" t="n"/>
    </row>
    <row r="723" ht="15.75" customHeight="1" s="5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O723" s="2" t="n"/>
      <c r="P723" s="2" t="n"/>
    </row>
    <row r="724" ht="15.75" customHeight="1" s="5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O724" s="2" t="n"/>
      <c r="P724" s="2" t="n"/>
    </row>
    <row r="725" ht="15.75" customHeight="1" s="5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O725" s="2" t="n"/>
      <c r="P725" s="2" t="n"/>
    </row>
    <row r="726" ht="15.75" customHeight="1" s="5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O726" s="2" t="n"/>
      <c r="P726" s="2" t="n"/>
    </row>
    <row r="727" ht="15.75" customHeight="1" s="5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O727" s="2" t="n"/>
      <c r="P727" s="2" t="n"/>
    </row>
    <row r="728" ht="15.75" customHeight="1" s="5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O728" s="2" t="n"/>
      <c r="P728" s="2" t="n"/>
    </row>
    <row r="729" ht="15.75" customHeight="1" s="5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O729" s="2" t="n"/>
      <c r="P729" s="2" t="n"/>
    </row>
    <row r="730" ht="15.75" customHeight="1" s="5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O730" s="2" t="n"/>
      <c r="P730" s="2" t="n"/>
    </row>
    <row r="731" ht="15.75" customHeight="1" s="5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O731" s="2" t="n"/>
      <c r="P731" s="2" t="n"/>
    </row>
    <row r="732" ht="15.75" customHeight="1" s="5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O732" s="2" t="n"/>
      <c r="P732" s="2" t="n"/>
    </row>
    <row r="733" ht="15.75" customHeight="1" s="5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O733" s="2" t="n"/>
      <c r="P733" s="2" t="n"/>
    </row>
    <row r="734" ht="15.75" customHeight="1" s="5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O734" s="2" t="n"/>
      <c r="P734" s="2" t="n"/>
    </row>
    <row r="735" ht="15.75" customHeight="1" s="5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O735" s="2" t="n"/>
      <c r="P735" s="2" t="n"/>
    </row>
    <row r="736" ht="15.75" customHeight="1" s="5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O736" s="2" t="n"/>
      <c r="P736" s="2" t="n"/>
    </row>
    <row r="737" ht="15.75" customHeight="1" s="5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O737" s="2" t="n"/>
      <c r="P737" s="2" t="n"/>
    </row>
    <row r="738" ht="15.75" customHeight="1" s="5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O738" s="2" t="n"/>
      <c r="P738" s="2" t="n"/>
    </row>
    <row r="739" ht="15.75" customHeight="1" s="5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O739" s="2" t="n"/>
      <c r="P739" s="2" t="n"/>
    </row>
    <row r="740" ht="15.75" customHeight="1" s="5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O740" s="2" t="n"/>
      <c r="P740" s="2" t="n"/>
    </row>
    <row r="741" ht="15.75" customHeight="1" s="5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O741" s="2" t="n"/>
      <c r="P741" s="2" t="n"/>
    </row>
    <row r="742" ht="15.75" customHeight="1" s="5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O742" s="2" t="n"/>
      <c r="P742" s="2" t="n"/>
    </row>
    <row r="743" ht="15.75" customHeight="1" s="5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O743" s="2" t="n"/>
      <c r="P743" s="2" t="n"/>
    </row>
    <row r="744" ht="15.75" customHeight="1" s="5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O744" s="2" t="n"/>
      <c r="P744" s="2" t="n"/>
    </row>
    <row r="745" ht="15.75" customHeight="1" s="5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O745" s="2" t="n"/>
      <c r="P745" s="2" t="n"/>
    </row>
    <row r="746" ht="15.75" customHeight="1" s="5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O746" s="2" t="n"/>
      <c r="P746" s="2" t="n"/>
    </row>
    <row r="747" ht="15.75" customHeight="1" s="5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O747" s="2" t="n"/>
      <c r="P747" s="2" t="n"/>
    </row>
    <row r="748" ht="15.75" customHeight="1" s="5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O748" s="2" t="n"/>
      <c r="P748" s="2" t="n"/>
    </row>
    <row r="749" ht="15.75" customHeight="1" s="5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O749" s="2" t="n"/>
      <c r="P749" s="2" t="n"/>
    </row>
    <row r="750" ht="15.75" customHeight="1" s="5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O750" s="2" t="n"/>
      <c r="P750" s="2" t="n"/>
    </row>
    <row r="751" ht="15.75" customHeight="1" s="5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O751" s="2" t="n"/>
      <c r="P751" s="2" t="n"/>
    </row>
    <row r="752" ht="15.75" customHeight="1" s="5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O752" s="2" t="n"/>
      <c r="P752" s="2" t="n"/>
    </row>
    <row r="753" ht="15.75" customHeight="1" s="5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O753" s="2" t="n"/>
      <c r="P753" s="2" t="n"/>
    </row>
    <row r="754" ht="15.75" customHeight="1" s="5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O754" s="2" t="n"/>
      <c r="P754" s="2" t="n"/>
    </row>
    <row r="755" ht="15.75" customHeight="1" s="5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O755" s="2" t="n"/>
      <c r="P755" s="2" t="n"/>
    </row>
    <row r="756" ht="15.75" customHeight="1" s="5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O756" s="2" t="n"/>
      <c r="P756" s="2" t="n"/>
    </row>
    <row r="757" ht="15.75" customHeight="1" s="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O757" s="2" t="n"/>
      <c r="P757" s="2" t="n"/>
    </row>
    <row r="758" ht="15.75" customHeight="1" s="5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O758" s="2" t="n"/>
      <c r="P758" s="2" t="n"/>
    </row>
    <row r="759" ht="15.75" customHeight="1" s="5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O759" s="2" t="n"/>
      <c r="P759" s="2" t="n"/>
    </row>
    <row r="760" ht="15.75" customHeight="1" s="5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O760" s="2" t="n"/>
      <c r="P760" s="2" t="n"/>
    </row>
    <row r="761" ht="15.75" customHeight="1" s="5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O761" s="2" t="n"/>
      <c r="P761" s="2" t="n"/>
    </row>
    <row r="762" ht="15.75" customHeight="1" s="5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O762" s="2" t="n"/>
      <c r="P762" s="2" t="n"/>
    </row>
    <row r="763" ht="15.75" customHeight="1" s="5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O763" s="2" t="n"/>
      <c r="P763" s="2" t="n"/>
    </row>
    <row r="764" ht="15.75" customHeight="1" s="5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O764" s="2" t="n"/>
      <c r="P764" s="2" t="n"/>
    </row>
    <row r="765" ht="15.75" customHeight="1" s="5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O765" s="2" t="n"/>
      <c r="P765" s="2" t="n"/>
    </row>
    <row r="766" ht="15.75" customHeight="1" s="5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O766" s="2" t="n"/>
      <c r="P766" s="2" t="n"/>
    </row>
    <row r="767" ht="15.75" customHeight="1" s="5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O767" s="2" t="n"/>
      <c r="P767" s="2" t="n"/>
    </row>
    <row r="768" ht="15.75" customHeight="1" s="5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O768" s="2" t="n"/>
      <c r="P768" s="2" t="n"/>
    </row>
    <row r="769" ht="15.75" customHeight="1" s="5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O769" s="2" t="n"/>
      <c r="P769" s="2" t="n"/>
    </row>
    <row r="770" ht="15.75" customHeight="1" s="5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O770" s="2" t="n"/>
      <c r="P770" s="2" t="n"/>
    </row>
    <row r="771" ht="15.75" customHeight="1" s="5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O771" s="2" t="n"/>
      <c r="P771" s="2" t="n"/>
    </row>
    <row r="772" ht="15.75" customHeight="1" s="5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O772" s="2" t="n"/>
      <c r="P772" s="2" t="n"/>
    </row>
    <row r="773" ht="15.75" customHeight="1" s="5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O773" s="2" t="n"/>
      <c r="P773" s="2" t="n"/>
    </row>
    <row r="774" ht="15.75" customHeight="1" s="5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O774" s="2" t="n"/>
      <c r="P774" s="2" t="n"/>
    </row>
    <row r="775" ht="15.75" customHeight="1" s="5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O775" s="2" t="n"/>
      <c r="P775" s="2" t="n"/>
    </row>
    <row r="776" ht="15.75" customHeight="1" s="5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O776" s="2" t="n"/>
      <c r="P776" s="2" t="n"/>
    </row>
    <row r="777" ht="15.75" customHeight="1" s="5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O777" s="2" t="n"/>
      <c r="P777" s="2" t="n"/>
    </row>
    <row r="778" ht="15.75" customHeight="1" s="5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O778" s="2" t="n"/>
      <c r="P778" s="2" t="n"/>
    </row>
    <row r="779" ht="15.75" customHeight="1" s="5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O779" s="2" t="n"/>
      <c r="P779" s="2" t="n"/>
    </row>
    <row r="780" ht="15.75" customHeight="1" s="5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O780" s="2" t="n"/>
      <c r="P780" s="2" t="n"/>
    </row>
    <row r="781" ht="15.75" customHeight="1" s="5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O781" s="2" t="n"/>
      <c r="P781" s="2" t="n"/>
    </row>
    <row r="782" ht="15.75" customHeight="1" s="5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O782" s="2" t="n"/>
      <c r="P782" s="2" t="n"/>
    </row>
    <row r="783" ht="15.75" customHeight="1" s="5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O783" s="2" t="n"/>
      <c r="P783" s="2" t="n"/>
    </row>
    <row r="784" ht="15.75" customHeight="1" s="5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O784" s="2" t="n"/>
      <c r="P784" s="2" t="n"/>
    </row>
    <row r="785" ht="15.75" customHeight="1" s="5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O785" s="2" t="n"/>
      <c r="P785" s="2" t="n"/>
    </row>
    <row r="786" ht="15.75" customHeight="1" s="5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O786" s="2" t="n"/>
      <c r="P786" s="2" t="n"/>
    </row>
    <row r="787" ht="15.75" customHeight="1" s="5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O787" s="2" t="n"/>
      <c r="P787" s="2" t="n"/>
    </row>
    <row r="788" ht="15.75" customHeight="1" s="5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O788" s="2" t="n"/>
      <c r="P788" s="2" t="n"/>
    </row>
    <row r="789" ht="15.75" customHeight="1" s="5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O789" s="2" t="n"/>
      <c r="P789" s="2" t="n"/>
    </row>
    <row r="790" ht="15.75" customHeight="1" s="5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O790" s="2" t="n"/>
      <c r="P790" s="2" t="n"/>
    </row>
    <row r="791" ht="15.75" customHeight="1" s="5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O791" s="2" t="n"/>
      <c r="P791" s="2" t="n"/>
    </row>
    <row r="792" ht="15.75" customHeight="1" s="5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O792" s="2" t="n"/>
      <c r="P792" s="2" t="n"/>
    </row>
    <row r="793" ht="15.75" customHeight="1" s="5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O793" s="2" t="n"/>
      <c r="P793" s="2" t="n"/>
    </row>
    <row r="794" ht="15.75" customHeight="1" s="5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O794" s="2" t="n"/>
      <c r="P794" s="2" t="n"/>
    </row>
    <row r="795" ht="15.75" customHeight="1" s="5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O795" s="2" t="n"/>
      <c r="P795" s="2" t="n"/>
    </row>
    <row r="796" ht="15.75" customHeight="1" s="5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O796" s="2" t="n"/>
      <c r="P796" s="2" t="n"/>
    </row>
    <row r="797" ht="15.75" customHeight="1" s="5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O797" s="2" t="n"/>
      <c r="P797" s="2" t="n"/>
    </row>
    <row r="798" ht="15.75" customHeight="1" s="5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O798" s="2" t="n"/>
      <c r="P798" s="2" t="n"/>
    </row>
    <row r="799" ht="15.75" customHeight="1" s="5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O799" s="2" t="n"/>
      <c r="P799" s="2" t="n"/>
    </row>
    <row r="800" ht="15.75" customHeight="1" s="5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O800" s="2" t="n"/>
      <c r="P800" s="2" t="n"/>
    </row>
    <row r="801" ht="15.75" customHeight="1" s="5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O801" s="2" t="n"/>
      <c r="P801" s="2" t="n"/>
    </row>
    <row r="802" ht="15.75" customHeight="1" s="5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O802" s="2" t="n"/>
      <c r="P802" s="2" t="n"/>
    </row>
    <row r="803" ht="15.75" customHeight="1" s="5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O803" s="2" t="n"/>
      <c r="P803" s="2" t="n"/>
    </row>
    <row r="804" ht="15.75" customHeight="1" s="5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O804" s="2" t="n"/>
      <c r="P804" s="2" t="n"/>
    </row>
    <row r="805" ht="15.75" customHeight="1" s="5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O805" s="2" t="n"/>
      <c r="P805" s="2" t="n"/>
    </row>
    <row r="806" ht="15.75" customHeight="1" s="5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O806" s="2" t="n"/>
      <c r="P806" s="2" t="n"/>
    </row>
    <row r="807" ht="15.75" customHeight="1" s="5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O807" s="2" t="n"/>
      <c r="P807" s="2" t="n"/>
    </row>
    <row r="808" ht="15.75" customHeight="1" s="5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O808" s="2" t="n"/>
      <c r="P808" s="2" t="n"/>
    </row>
    <row r="809" ht="15.75" customHeight="1" s="5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O809" s="2" t="n"/>
      <c r="P809" s="2" t="n"/>
    </row>
    <row r="810" ht="15.75" customHeight="1" s="5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O810" s="2" t="n"/>
      <c r="P810" s="2" t="n"/>
    </row>
    <row r="811" ht="15.75" customHeight="1" s="5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O811" s="2" t="n"/>
      <c r="P811" s="2" t="n"/>
    </row>
    <row r="812" ht="15.75" customHeight="1" s="5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O812" s="2" t="n"/>
      <c r="P812" s="2" t="n"/>
    </row>
    <row r="813" ht="15.75" customHeight="1" s="5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O813" s="2" t="n"/>
      <c r="P813" s="2" t="n"/>
    </row>
    <row r="814" ht="15.75" customHeight="1" s="5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O814" s="2" t="n"/>
      <c r="P814" s="2" t="n"/>
    </row>
    <row r="815" ht="15.75" customHeight="1" s="5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O815" s="2" t="n"/>
      <c r="P815" s="2" t="n"/>
    </row>
    <row r="816" ht="15.75" customHeight="1" s="5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O816" s="2" t="n"/>
      <c r="P816" s="2" t="n"/>
    </row>
    <row r="817" ht="15.75" customHeight="1" s="5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O817" s="2" t="n"/>
      <c r="P817" s="2" t="n"/>
    </row>
    <row r="818" ht="15.75" customHeight="1" s="5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O818" s="2" t="n"/>
      <c r="P818" s="2" t="n"/>
    </row>
    <row r="819" ht="15.75" customHeight="1" s="5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O819" s="2" t="n"/>
      <c r="P819" s="2" t="n"/>
    </row>
    <row r="820" ht="15.75" customHeight="1" s="5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O820" s="2" t="n"/>
      <c r="P820" s="2" t="n"/>
    </row>
    <row r="821" ht="15.75" customHeight="1" s="5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O821" s="2" t="n"/>
      <c r="P821" s="2" t="n"/>
    </row>
    <row r="822" ht="15.75" customHeight="1" s="5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O822" s="2" t="n"/>
      <c r="P822" s="2" t="n"/>
    </row>
    <row r="823" ht="15.75" customHeight="1" s="5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O823" s="2" t="n"/>
      <c r="P823" s="2" t="n"/>
    </row>
    <row r="824" ht="15.75" customHeight="1" s="5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O824" s="2" t="n"/>
      <c r="P824" s="2" t="n"/>
    </row>
    <row r="825" ht="15.75" customHeight="1" s="5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O825" s="2" t="n"/>
      <c r="P825" s="2" t="n"/>
    </row>
    <row r="826" ht="15.75" customHeight="1" s="5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O826" s="2" t="n"/>
      <c r="P826" s="2" t="n"/>
    </row>
    <row r="827" ht="15.75" customHeight="1" s="5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O827" s="2" t="n"/>
      <c r="P827" s="2" t="n"/>
    </row>
    <row r="828" ht="15.75" customHeight="1" s="5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O828" s="2" t="n"/>
      <c r="P828" s="2" t="n"/>
    </row>
    <row r="829" ht="15.75" customHeight="1" s="5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O829" s="2" t="n"/>
      <c r="P829" s="2" t="n"/>
    </row>
    <row r="830" ht="15.75" customHeight="1" s="5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O830" s="2" t="n"/>
      <c r="P830" s="2" t="n"/>
    </row>
    <row r="831" ht="15.75" customHeight="1" s="5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O831" s="2" t="n"/>
      <c r="P831" s="2" t="n"/>
    </row>
    <row r="832" ht="15.75" customHeight="1" s="5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O832" s="2" t="n"/>
      <c r="P832" s="2" t="n"/>
    </row>
    <row r="833" ht="15.75" customHeight="1" s="5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O833" s="2" t="n"/>
      <c r="P833" s="2" t="n"/>
    </row>
    <row r="834" ht="15.75" customHeight="1" s="5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O834" s="2" t="n"/>
      <c r="P834" s="2" t="n"/>
    </row>
    <row r="835" ht="15.75" customHeight="1" s="5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O835" s="2" t="n"/>
      <c r="P835" s="2" t="n"/>
    </row>
    <row r="836" ht="15.75" customHeight="1" s="5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O836" s="2" t="n"/>
      <c r="P836" s="2" t="n"/>
    </row>
    <row r="837" ht="15.75" customHeight="1" s="5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O837" s="2" t="n"/>
      <c r="P837" s="2" t="n"/>
    </row>
    <row r="838" ht="15.75" customHeight="1" s="5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O838" s="2" t="n"/>
      <c r="P838" s="2" t="n"/>
    </row>
    <row r="839" ht="15.75" customHeight="1" s="5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O839" s="2" t="n"/>
      <c r="P839" s="2" t="n"/>
    </row>
    <row r="840" ht="15.75" customHeight="1" s="5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O840" s="2" t="n"/>
      <c r="P840" s="2" t="n"/>
    </row>
    <row r="841" ht="15.75" customHeight="1" s="5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O841" s="2" t="n"/>
      <c r="P841" s="2" t="n"/>
    </row>
    <row r="842" ht="15.75" customHeight="1" s="5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O842" s="2" t="n"/>
      <c r="P842" s="2" t="n"/>
    </row>
    <row r="843" ht="15.75" customHeight="1" s="5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O843" s="2" t="n"/>
      <c r="P843" s="2" t="n"/>
    </row>
    <row r="844" ht="15.75" customHeight="1" s="5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O844" s="2" t="n"/>
      <c r="P844" s="2" t="n"/>
    </row>
    <row r="845" ht="15.75" customHeight="1" s="5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O845" s="2" t="n"/>
      <c r="P845" s="2" t="n"/>
    </row>
    <row r="846" ht="15.75" customHeight="1" s="5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O846" s="2" t="n"/>
      <c r="P846" s="2" t="n"/>
    </row>
    <row r="847" ht="15.75" customHeight="1" s="5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O847" s="2" t="n"/>
      <c r="P847" s="2" t="n"/>
    </row>
    <row r="848" ht="15.75" customHeight="1" s="5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O848" s="2" t="n"/>
      <c r="P848" s="2" t="n"/>
    </row>
    <row r="849" ht="15.75" customHeight="1" s="5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O849" s="2" t="n"/>
      <c r="P849" s="2" t="n"/>
    </row>
    <row r="850" ht="15.75" customHeight="1" s="5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O850" s="2" t="n"/>
      <c r="P850" s="2" t="n"/>
    </row>
    <row r="851" ht="15.75" customHeight="1" s="5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O851" s="2" t="n"/>
      <c r="P851" s="2" t="n"/>
    </row>
    <row r="852" ht="15.75" customHeight="1" s="5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O852" s="2" t="n"/>
      <c r="P852" s="2" t="n"/>
    </row>
    <row r="853" ht="15.75" customHeight="1" s="5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O853" s="2" t="n"/>
      <c r="P853" s="2" t="n"/>
    </row>
    <row r="854" ht="15.75" customHeight="1" s="5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O854" s="2" t="n"/>
      <c r="P854" s="2" t="n"/>
    </row>
    <row r="855" ht="15.75" customHeight="1" s="5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O855" s="2" t="n"/>
      <c r="P855" s="2" t="n"/>
    </row>
    <row r="856" ht="15.75" customHeight="1" s="5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O856" s="2" t="n"/>
      <c r="P856" s="2" t="n"/>
    </row>
    <row r="857" ht="15.75" customHeight="1" s="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O857" s="2" t="n"/>
      <c r="P857" s="2" t="n"/>
    </row>
    <row r="858" ht="15.75" customHeight="1" s="5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O858" s="2" t="n"/>
      <c r="P858" s="2" t="n"/>
    </row>
    <row r="859" ht="15.75" customHeight="1" s="5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O859" s="2" t="n"/>
      <c r="P859" s="2" t="n"/>
    </row>
    <row r="860" ht="15.75" customHeight="1" s="5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O860" s="2" t="n"/>
      <c r="P860" s="2" t="n"/>
    </row>
    <row r="861" ht="15.75" customHeight="1" s="5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O861" s="2" t="n"/>
      <c r="P861" s="2" t="n"/>
    </row>
    <row r="862" ht="15.75" customHeight="1" s="5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O862" s="2" t="n"/>
      <c r="P862" s="2" t="n"/>
    </row>
    <row r="863" ht="15.75" customHeight="1" s="5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O863" s="2" t="n"/>
      <c r="P863" s="2" t="n"/>
    </row>
    <row r="864" ht="15.75" customHeight="1" s="5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O864" s="2" t="n"/>
      <c r="P864" s="2" t="n"/>
    </row>
    <row r="865" ht="15.75" customHeight="1" s="5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O865" s="2" t="n"/>
      <c r="P865" s="2" t="n"/>
    </row>
    <row r="866" ht="15.75" customHeight="1" s="5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O866" s="2" t="n"/>
      <c r="P866" s="2" t="n"/>
    </row>
    <row r="867" ht="15.75" customHeight="1" s="5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O867" s="2" t="n"/>
      <c r="P867" s="2" t="n"/>
    </row>
    <row r="868" ht="15.75" customHeight="1" s="5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O868" s="2" t="n"/>
      <c r="P868" s="2" t="n"/>
    </row>
    <row r="869" ht="15.75" customHeight="1" s="5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O869" s="2" t="n"/>
      <c r="P869" s="2" t="n"/>
    </row>
    <row r="870" ht="15.75" customHeight="1" s="5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O870" s="2" t="n"/>
      <c r="P870" s="2" t="n"/>
    </row>
    <row r="871" ht="15.75" customHeight="1" s="5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O871" s="2" t="n"/>
      <c r="P871" s="2" t="n"/>
    </row>
    <row r="872" ht="15.75" customHeight="1" s="5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O872" s="2" t="n"/>
      <c r="P872" s="2" t="n"/>
    </row>
    <row r="873" ht="15.75" customHeight="1" s="5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O873" s="2" t="n"/>
      <c r="P873" s="2" t="n"/>
    </row>
    <row r="874" ht="15.75" customHeight="1" s="5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O874" s="2" t="n"/>
      <c r="P874" s="2" t="n"/>
    </row>
    <row r="875" ht="15.75" customHeight="1" s="5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O875" s="2" t="n"/>
      <c r="P875" s="2" t="n"/>
    </row>
    <row r="876" ht="15.75" customHeight="1" s="5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O876" s="2" t="n"/>
      <c r="P876" s="2" t="n"/>
    </row>
    <row r="877" ht="15.75" customHeight="1" s="5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O877" s="2" t="n"/>
      <c r="P877" s="2" t="n"/>
    </row>
    <row r="878" ht="15.75" customHeight="1" s="5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O878" s="2" t="n"/>
      <c r="P878" s="2" t="n"/>
    </row>
    <row r="879" ht="15.75" customHeight="1" s="5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O879" s="2" t="n"/>
      <c r="P879" s="2" t="n"/>
    </row>
    <row r="880" ht="15.75" customHeight="1" s="5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O880" s="2" t="n"/>
      <c r="P880" s="2" t="n"/>
    </row>
    <row r="881" ht="15.75" customHeight="1" s="5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O881" s="2" t="n"/>
      <c r="P881" s="2" t="n"/>
    </row>
    <row r="882" ht="15.75" customHeight="1" s="5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O882" s="2" t="n"/>
      <c r="P882" s="2" t="n"/>
    </row>
    <row r="883" ht="15.75" customHeight="1" s="5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O883" s="2" t="n"/>
      <c r="P883" s="2" t="n"/>
    </row>
    <row r="884" ht="15.75" customHeight="1" s="5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O884" s="2" t="n"/>
      <c r="P884" s="2" t="n"/>
    </row>
    <row r="885" ht="15.75" customHeight="1" s="5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O885" s="2" t="n"/>
      <c r="P885" s="2" t="n"/>
    </row>
    <row r="886" ht="15.75" customHeight="1" s="5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O886" s="2" t="n"/>
      <c r="P886" s="2" t="n"/>
    </row>
    <row r="887" ht="15.75" customHeight="1" s="5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O887" s="2" t="n"/>
      <c r="P887" s="2" t="n"/>
    </row>
    <row r="888" ht="15.75" customHeight="1" s="5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O888" s="2" t="n"/>
      <c r="P888" s="2" t="n"/>
    </row>
    <row r="889" ht="15.75" customHeight="1" s="5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O889" s="2" t="n"/>
      <c r="P889" s="2" t="n"/>
    </row>
    <row r="890" ht="15.75" customHeight="1" s="5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O890" s="2" t="n"/>
      <c r="P890" s="2" t="n"/>
    </row>
    <row r="891" ht="15.75" customHeight="1" s="5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O891" s="2" t="n"/>
      <c r="P891" s="2" t="n"/>
    </row>
    <row r="892" ht="15.75" customHeight="1" s="5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O892" s="2" t="n"/>
      <c r="P892" s="2" t="n"/>
    </row>
    <row r="893" ht="15.75" customHeight="1" s="5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O893" s="2" t="n"/>
      <c r="P893" s="2" t="n"/>
    </row>
    <row r="894" ht="15.75" customHeight="1" s="5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O894" s="2" t="n"/>
      <c r="P894" s="2" t="n"/>
    </row>
    <row r="895" ht="15.75" customHeight="1" s="5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O895" s="2" t="n"/>
      <c r="P895" s="2" t="n"/>
    </row>
    <row r="896" ht="15.75" customHeight="1" s="5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O896" s="2" t="n"/>
      <c r="P896" s="2" t="n"/>
    </row>
    <row r="897" ht="15.75" customHeight="1" s="5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O897" s="2" t="n"/>
      <c r="P897" s="2" t="n"/>
    </row>
    <row r="898" ht="15.75" customHeight="1" s="5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O898" s="2" t="n"/>
      <c r="P898" s="2" t="n"/>
    </row>
    <row r="899" ht="15.75" customHeight="1" s="5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O899" s="2" t="n"/>
      <c r="P899" s="2" t="n"/>
    </row>
    <row r="900" ht="15.75" customHeight="1" s="5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O900" s="2" t="n"/>
      <c r="P900" s="2" t="n"/>
    </row>
    <row r="901" ht="15.75" customHeight="1" s="5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O901" s="2" t="n"/>
      <c r="P901" s="2" t="n"/>
    </row>
    <row r="902" ht="15.75" customHeight="1" s="5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O902" s="2" t="n"/>
      <c r="P902" s="2" t="n"/>
    </row>
    <row r="903" ht="15.75" customHeight="1" s="5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O903" s="2" t="n"/>
      <c r="P903" s="2" t="n"/>
    </row>
    <row r="904" ht="15.75" customHeight="1" s="5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O904" s="2" t="n"/>
      <c r="P904" s="2" t="n"/>
    </row>
    <row r="905" ht="15.75" customHeight="1" s="5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O905" s="2" t="n"/>
      <c r="P905" s="2" t="n"/>
    </row>
    <row r="906" ht="15.75" customHeight="1" s="5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O906" s="2" t="n"/>
      <c r="P906" s="2" t="n"/>
    </row>
    <row r="907" ht="15.75" customHeight="1" s="5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O907" s="2" t="n"/>
      <c r="P907" s="2" t="n"/>
    </row>
    <row r="908" ht="15.75" customHeight="1" s="5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O908" s="2" t="n"/>
      <c r="P908" s="2" t="n"/>
    </row>
    <row r="909" ht="15.75" customHeight="1" s="5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O909" s="2" t="n"/>
      <c r="P909" s="2" t="n"/>
    </row>
    <row r="910" ht="15.75" customHeight="1" s="5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O910" s="2" t="n"/>
      <c r="P910" s="2" t="n"/>
    </row>
    <row r="911" ht="15.75" customHeight="1" s="5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O911" s="2" t="n"/>
      <c r="P911" s="2" t="n"/>
    </row>
    <row r="912" ht="15.75" customHeight="1" s="5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O912" s="2" t="n"/>
      <c r="P912" s="2" t="n"/>
    </row>
    <row r="913" ht="15.75" customHeight="1" s="5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O913" s="2" t="n"/>
      <c r="P913" s="2" t="n"/>
    </row>
    <row r="914" ht="15.75" customHeight="1" s="5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O914" s="2" t="n"/>
      <c r="P914" s="2" t="n"/>
    </row>
    <row r="915" ht="15.75" customHeight="1" s="5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O915" s="2" t="n"/>
      <c r="P915" s="2" t="n"/>
    </row>
    <row r="916" ht="15.75" customHeight="1" s="5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O916" s="2" t="n"/>
      <c r="P916" s="2" t="n"/>
    </row>
    <row r="917" ht="15.75" customHeight="1" s="5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O917" s="2" t="n"/>
      <c r="P917" s="2" t="n"/>
    </row>
    <row r="918" ht="15.75" customHeight="1" s="5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O918" s="2" t="n"/>
      <c r="P918" s="2" t="n"/>
    </row>
    <row r="919" ht="15.75" customHeight="1" s="5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O919" s="2" t="n"/>
      <c r="P919" s="2" t="n"/>
    </row>
    <row r="920" ht="15.75" customHeight="1" s="5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O920" s="2" t="n"/>
      <c r="P920" s="2" t="n"/>
    </row>
    <row r="921" ht="15.75" customHeight="1" s="5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O921" s="2" t="n"/>
      <c r="P921" s="2" t="n"/>
    </row>
    <row r="922" ht="15.75" customHeight="1" s="5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O922" s="2" t="n"/>
      <c r="P922" s="2" t="n"/>
    </row>
    <row r="923" ht="15.75" customHeight="1" s="5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O923" s="2" t="n"/>
      <c r="P923" s="2" t="n"/>
    </row>
    <row r="924" ht="15.75" customHeight="1" s="5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O924" s="2" t="n"/>
      <c r="P924" s="2" t="n"/>
    </row>
    <row r="925" ht="15.75" customHeight="1" s="5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O925" s="2" t="n"/>
      <c r="P925" s="2" t="n"/>
    </row>
    <row r="926" ht="15.75" customHeight="1" s="5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O926" s="2" t="n"/>
      <c r="P926" s="2" t="n"/>
    </row>
    <row r="927" ht="15.75" customHeight="1" s="5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O927" s="2" t="n"/>
      <c r="P927" s="2" t="n"/>
    </row>
    <row r="928" ht="15.75" customHeight="1" s="5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O928" s="2" t="n"/>
      <c r="P928" s="2" t="n"/>
    </row>
    <row r="929" ht="15.75" customHeight="1" s="5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O929" s="2" t="n"/>
      <c r="P929" s="2" t="n"/>
    </row>
    <row r="930" ht="15.75" customHeight="1" s="5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O930" s="2" t="n"/>
      <c r="P930" s="2" t="n"/>
    </row>
    <row r="931" ht="15.75" customHeight="1" s="5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O931" s="2" t="n"/>
      <c r="P931" s="2" t="n"/>
    </row>
    <row r="932" ht="15.75" customHeight="1" s="5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O932" s="2" t="n"/>
      <c r="P932" s="2" t="n"/>
    </row>
    <row r="933" ht="15.75" customHeight="1" s="5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O933" s="2" t="n"/>
      <c r="P933" s="2" t="n"/>
    </row>
    <row r="934" ht="15.75" customHeight="1" s="5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O934" s="2" t="n"/>
      <c r="P934" s="2" t="n"/>
    </row>
    <row r="935" ht="15.75" customHeight="1" s="5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O935" s="2" t="n"/>
      <c r="P935" s="2" t="n"/>
    </row>
    <row r="936" ht="15.75" customHeight="1" s="5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O936" s="2" t="n"/>
      <c r="P936" s="2" t="n"/>
    </row>
    <row r="937" ht="15.75" customHeight="1" s="5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O937" s="2" t="n"/>
      <c r="P937" s="2" t="n"/>
    </row>
    <row r="938" ht="15.75" customHeight="1" s="5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O938" s="2" t="n"/>
      <c r="P938" s="2" t="n"/>
    </row>
    <row r="939" ht="15.75" customHeight="1" s="5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O939" s="2" t="n"/>
      <c r="P939" s="2" t="n"/>
    </row>
    <row r="940" ht="15.75" customHeight="1" s="5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O940" s="2" t="n"/>
      <c r="P940" s="2" t="n"/>
    </row>
    <row r="941" ht="15.75" customHeight="1" s="5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O941" s="2" t="n"/>
      <c r="P941" s="2" t="n"/>
    </row>
    <row r="942" ht="15.75" customHeight="1" s="5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O942" s="2" t="n"/>
      <c r="P942" s="2" t="n"/>
    </row>
    <row r="943" ht="15.75" customHeight="1" s="5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O943" s="2" t="n"/>
      <c r="P943" s="2" t="n"/>
    </row>
    <row r="944" ht="15.75" customHeight="1" s="5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O944" s="2" t="n"/>
      <c r="P944" s="2" t="n"/>
    </row>
    <row r="945" ht="15.75" customHeight="1" s="5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O945" s="2" t="n"/>
      <c r="P945" s="2" t="n"/>
    </row>
    <row r="946" ht="15.75" customHeight="1" s="5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O946" s="2" t="n"/>
      <c r="P946" s="2" t="n"/>
    </row>
    <row r="947" ht="15.75" customHeight="1" s="5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O947" s="2" t="n"/>
      <c r="P947" s="2" t="n"/>
    </row>
    <row r="948" ht="15.75" customHeight="1" s="5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O948" s="2" t="n"/>
      <c r="P948" s="2" t="n"/>
    </row>
    <row r="949" ht="15.75" customHeight="1" s="5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O949" s="2" t="n"/>
      <c r="P949" s="2" t="n"/>
    </row>
    <row r="950" ht="15.75" customHeight="1" s="5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O950" s="2" t="n"/>
      <c r="P950" s="2" t="n"/>
    </row>
    <row r="951" ht="15.75" customHeight="1" s="5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O951" s="2" t="n"/>
      <c r="P951" s="2" t="n"/>
    </row>
    <row r="952" ht="15.75" customHeight="1" s="5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O952" s="2" t="n"/>
      <c r="P952" s="2" t="n"/>
    </row>
    <row r="953" ht="15.75" customHeight="1" s="5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O953" s="2" t="n"/>
      <c r="P953" s="2" t="n"/>
    </row>
    <row r="954" ht="15.75" customHeight="1" s="5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O954" s="2" t="n"/>
      <c r="P954" s="2" t="n"/>
    </row>
    <row r="955" ht="15.75" customHeight="1" s="5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O955" s="2" t="n"/>
      <c r="P955" s="2" t="n"/>
    </row>
    <row r="956" ht="15.75" customHeight="1" s="5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O956" s="2" t="n"/>
      <c r="P956" s="2" t="n"/>
    </row>
    <row r="957" ht="15.75" customHeight="1" s="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O957" s="2" t="n"/>
      <c r="P957" s="2" t="n"/>
    </row>
    <row r="958" ht="15.75" customHeight="1" s="5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O958" s="2" t="n"/>
      <c r="P958" s="2" t="n"/>
    </row>
    <row r="959" ht="15.75" customHeight="1" s="5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O959" s="2" t="n"/>
      <c r="P959" s="2" t="n"/>
    </row>
    <row r="960" ht="15.75" customHeight="1" s="5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O960" s="2" t="n"/>
      <c r="P960" s="2" t="n"/>
    </row>
    <row r="961" ht="15.75" customHeight="1" s="5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O961" s="2" t="n"/>
      <c r="P961" s="2" t="n"/>
    </row>
    <row r="962" ht="15.75" customHeight="1" s="5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O962" s="2" t="n"/>
      <c r="P962" s="2" t="n"/>
    </row>
    <row r="963" ht="15.75" customHeight="1" s="5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O963" s="2" t="n"/>
      <c r="P963" s="2" t="n"/>
    </row>
    <row r="964" ht="15.75" customHeight="1" s="5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O964" s="2" t="n"/>
      <c r="P964" s="2" t="n"/>
    </row>
    <row r="965" ht="15.75" customHeight="1" s="5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O965" s="2" t="n"/>
      <c r="P965" s="2" t="n"/>
    </row>
    <row r="966" ht="15.75" customHeight="1" s="5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O966" s="2" t="n"/>
      <c r="P966" s="2" t="n"/>
    </row>
    <row r="967" ht="15.75" customHeight="1" s="5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O967" s="2" t="n"/>
      <c r="P967" s="2" t="n"/>
    </row>
    <row r="968" ht="15.75" customHeight="1" s="5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O968" s="2" t="n"/>
      <c r="P968" s="2" t="n"/>
    </row>
    <row r="969" ht="15.75" customHeight="1" s="5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O969" s="2" t="n"/>
      <c r="P969" s="2" t="n"/>
    </row>
    <row r="970" ht="15.75" customHeight="1" s="5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O970" s="2" t="n"/>
      <c r="P970" s="2" t="n"/>
    </row>
    <row r="971" ht="15.75" customHeight="1" s="5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O971" s="2" t="n"/>
      <c r="P971" s="2" t="n"/>
    </row>
    <row r="972" ht="15.75" customHeight="1" s="5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O972" s="2" t="n"/>
      <c r="P972" s="2" t="n"/>
    </row>
    <row r="973" ht="15.75" customHeight="1" s="5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O973" s="2" t="n"/>
      <c r="P973" s="2" t="n"/>
    </row>
    <row r="974" ht="15.75" customHeight="1" s="5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O974" s="2" t="n"/>
      <c r="P974" s="2" t="n"/>
    </row>
    <row r="975" ht="15.75" customHeight="1" s="5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O975" s="2" t="n"/>
      <c r="P975" s="2" t="n"/>
    </row>
    <row r="976" ht="15.75" customHeight="1" s="5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O976" s="2" t="n"/>
      <c r="P976" s="2" t="n"/>
    </row>
    <row r="977" ht="15.75" customHeight="1" s="5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O977" s="2" t="n"/>
      <c r="P977" s="2" t="n"/>
    </row>
    <row r="978" ht="15.75" customHeight="1" s="5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O978" s="2" t="n"/>
      <c r="P978" s="2" t="n"/>
    </row>
    <row r="979" ht="15.75" customHeight="1" s="5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O979" s="2" t="n"/>
      <c r="P979" s="2" t="n"/>
    </row>
    <row r="980" ht="15.75" customHeight="1" s="5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O980" s="2" t="n"/>
      <c r="P980" s="2" t="n"/>
    </row>
    <row r="981" ht="15.75" customHeight="1" s="5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O981" s="2" t="n"/>
      <c r="P981" s="2" t="n"/>
    </row>
    <row r="982" ht="15.75" customHeight="1" s="5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O982" s="2" t="n"/>
      <c r="P982" s="2" t="n"/>
    </row>
    <row r="983" ht="15.75" customHeight="1" s="5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O983" s="2" t="n"/>
      <c r="P983" s="2" t="n"/>
    </row>
    <row r="984" ht="15.75" customHeight="1" s="5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O984" s="2" t="n"/>
      <c r="P984" s="2" t="n"/>
    </row>
    <row r="985" ht="15.75" customHeight="1" s="5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O985" s="2" t="n"/>
      <c r="P985" s="2" t="n"/>
    </row>
    <row r="986" ht="15.75" customHeight="1" s="5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O986" s="2" t="n"/>
      <c r="P986" s="2" t="n"/>
    </row>
    <row r="987" ht="15.75" customHeight="1" s="5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O987" s="2" t="n"/>
      <c r="P987" s="2" t="n"/>
    </row>
    <row r="988" ht="15.75" customHeight="1" s="5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O988" s="2" t="n"/>
      <c r="P988" s="2" t="n"/>
    </row>
    <row r="989" ht="15.75" customHeight="1" s="5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O989" s="2" t="n"/>
      <c r="P989" s="2" t="n"/>
    </row>
    <row r="990" ht="15.75" customHeight="1" s="5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O990" s="2" t="n"/>
      <c r="P990" s="2" t="n"/>
    </row>
    <row r="991" ht="15.75" customHeight="1" s="5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O991" s="2" t="n"/>
      <c r="P991" s="2" t="n"/>
    </row>
    <row r="992" ht="15.75" customHeight="1" s="5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O992" s="2" t="n"/>
      <c r="P992" s="2" t="n"/>
    </row>
    <row r="993" ht="15.75" customHeight="1" s="5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O993" s="2" t="n"/>
      <c r="P993" s="2" t="n"/>
    </row>
    <row r="994" ht="15.75" customHeight="1" s="5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O994" s="2" t="n"/>
      <c r="P994" s="2" t="n"/>
    </row>
    <row r="995" ht="15.75" customHeight="1" s="5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O995" s="2" t="n"/>
      <c r="P995" s="2" t="n"/>
    </row>
    <row r="996" ht="15.75" customHeight="1" s="5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O996" s="2" t="n"/>
      <c r="P996" s="2" t="n"/>
    </row>
    <row r="997" ht="15.75" customHeight="1" s="5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O997" s="2" t="n"/>
      <c r="P997" s="2" t="n"/>
    </row>
    <row r="998" ht="15.75" customHeight="1" s="5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O998" s="2" t="n"/>
      <c r="P998" s="2" t="n"/>
    </row>
    <row r="999" ht="15.75" customHeight="1" s="5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O999" s="2" t="n"/>
      <c r="P999" s="2" t="n"/>
    </row>
    <row r="1000" ht="15.75" customHeight="1" s="5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O1000" s="2" t="n"/>
      <c r="P1000" s="2" t="n"/>
    </row>
  </sheetData>
  <mergeCells count="4">
    <mergeCell ref="A4:B4"/>
    <mergeCell ref="A27:B27"/>
    <mergeCell ref="A22:B22"/>
    <mergeCell ref="A17:B17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1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7" min="1" max="1"/>
    <col width="25" customWidth="1" style="57" min="2" max="2"/>
    <col width="12.86" customWidth="1" style="57" min="3" max="3"/>
    <col width="10.86" customWidth="1" style="57" min="4" max="4"/>
    <col width="16" customWidth="1" style="57" min="5" max="9"/>
    <col width="22" customWidth="1" style="57" min="10" max="10"/>
    <col width="16" customWidth="1" style="57" min="11" max="14"/>
    <col width="30" customWidth="1" style="57" min="15" max="15"/>
    <col width="18" customWidth="1" style="57" min="16" max="16"/>
    <col width="16" customWidth="1" style="57" min="17" max="19"/>
  </cols>
  <sheetData>
    <row r="1" ht="27.75" customHeight="1" s="57">
      <c r="A1" s="4" t="inlineStr">
        <is>
          <t>Symbol</t>
        </is>
      </c>
      <c r="B1" s="4" t="inlineStr">
        <is>
          <t>Name</t>
        </is>
      </c>
      <c r="C1" s="4" t="inlineStr">
        <is>
          <t>Entry Date</t>
        </is>
      </c>
      <c r="D1" s="4" t="inlineStr">
        <is>
          <t>Qty</t>
        </is>
      </c>
      <c r="E1" s="4" t="inlineStr">
        <is>
          <t>Buy Price</t>
        </is>
      </c>
      <c r="F1" s="4" t="inlineStr">
        <is>
          <t>Suggested Entry</t>
        </is>
      </c>
      <c r="G1" s="4" t="inlineStr">
        <is>
          <t>Slippage/Deviation</t>
        </is>
      </c>
      <c r="H1" s="4" t="inlineStr">
        <is>
          <t>Target Price</t>
        </is>
      </c>
      <c r="I1" s="4" t="inlineStr">
        <is>
          <t>Stop Loss</t>
        </is>
      </c>
      <c r="J1" s="4" t="inlineStr">
        <is>
          <t>Risk-to-Reward Ratio</t>
        </is>
      </c>
      <c r="K1" s="4" t="inlineStr">
        <is>
          <t>Exit Date</t>
        </is>
      </c>
      <c r="L1" s="4" t="inlineStr">
        <is>
          <t>Exit Price</t>
        </is>
      </c>
      <c r="M1" s="4" t="inlineStr">
        <is>
          <t>Realized PnL</t>
        </is>
      </c>
      <c r="N1" s="4" t="inlineStr">
        <is>
          <t>Status</t>
        </is>
      </c>
      <c r="O1" s="4" t="inlineStr">
        <is>
          <t>Notes</t>
        </is>
      </c>
      <c r="P1" s="9" t="inlineStr">
        <is>
          <t>Trade Type</t>
        </is>
      </c>
      <c r="Q1" s="9" t="inlineStr">
        <is>
          <t>Current Price</t>
        </is>
      </c>
      <c r="R1" s="9" t="inlineStr">
        <is>
          <t>Unrealized PnL</t>
        </is>
      </c>
      <c r="S1" s="9" t="inlineStr">
        <is>
          <t>Profit/Loss %</t>
        </is>
      </c>
      <c r="T1" s="2" t="n"/>
      <c r="U1" s="2" t="n"/>
      <c r="V1" s="2" t="n"/>
      <c r="W1" s="2" t="n"/>
      <c r="X1" s="2" t="n"/>
      <c r="Y1" s="2" t="n"/>
      <c r="Z1" s="2" t="n"/>
    </row>
    <row r="2">
      <c r="A2" s="73" t="inlineStr">
        <is>
          <t>SUNPHARMA</t>
        </is>
      </c>
      <c r="B2" s="73" t="inlineStr">
        <is>
          <t>SUNPHARMA</t>
        </is>
      </c>
      <c r="C2" s="73" t="inlineStr">
        <is>
          <t>2026-07-21</t>
        </is>
      </c>
      <c r="D2" s="73" t="n">
        <v>1</v>
      </c>
      <c r="E2" s="74" t="n">
        <v>1951</v>
      </c>
      <c r="F2" s="74" t="n">
        <v>1963.199951171875</v>
      </c>
      <c r="G2" s="74" t="n">
        <v>-12.199951171875</v>
      </c>
      <c r="H2" s="74" t="n">
        <v>2091.543361767483</v>
      </c>
      <c r="I2" s="74" t="n">
        <v>1899.028245874071</v>
      </c>
      <c r="J2" s="73" t="inlineStr">
        <is>
          <t>1:2.7</t>
        </is>
      </c>
      <c r="K2" s="73" t="inlineStr">
        <is>
          <t>2026-07-21</t>
        </is>
      </c>
      <c r="L2" s="74" t="n">
        <v>1960</v>
      </c>
      <c r="M2" s="74">
        <f>IF(OR(N2="WIN", N2="LOSS"), (L2-E2)*D2, 0)</f>
        <v/>
      </c>
      <c r="N2" s="73" t="inlineStr">
        <is>
          <t>WIN</t>
        </is>
      </c>
      <c r="O2" s="73" t="inlineStr">
        <is>
          <t>Auto-synced from Zerodha account | Auto-synced sell from Zerodha account</t>
        </is>
      </c>
      <c r="P2" s="75" t="inlineStr">
        <is>
          <t>SWING</t>
        </is>
      </c>
      <c r="Q2" s="75" t="n"/>
      <c r="R2" s="75" t="n"/>
      <c r="S2" s="16">
        <f>IF(N2="OPEN", IFERROR(R2/(D2*E2), 0), IF(OR(N2="WIN", N2="LOSS"), IFERROR(M2/(D2*E2), 0), 0))</f>
        <v/>
      </c>
      <c r="T2" s="2" t="n"/>
      <c r="U2" s="2" t="n"/>
      <c r="V2" s="2" t="n"/>
      <c r="W2" s="2" t="n"/>
      <c r="X2" s="2" t="n"/>
      <c r="Y2" s="2" t="n"/>
      <c r="Z2" s="2" t="n"/>
    </row>
    <row r="3">
      <c r="A3" s="73" t="inlineStr">
        <is>
          <t>JSWSTEEL</t>
        </is>
      </c>
      <c r="B3" s="73" t="inlineStr">
        <is>
          <t>JSWSTEEL</t>
        </is>
      </c>
      <c r="C3" s="73" t="inlineStr">
        <is>
          <t>2026-07-21</t>
        </is>
      </c>
      <c r="D3" s="73" t="n">
        <v>1</v>
      </c>
      <c r="E3" s="74" t="n">
        <v>1266.4</v>
      </c>
      <c r="F3" s="74" t="n">
        <v>1268.099975585938</v>
      </c>
      <c r="G3" s="74" t="n">
        <v>-1.699975585937864</v>
      </c>
      <c r="H3" s="74" t="n">
        <v>1369.684246737149</v>
      </c>
      <c r="I3" s="74" t="n">
        <v>1217.307840010332</v>
      </c>
      <c r="J3" s="73" t="inlineStr">
        <is>
          <t>1:2.1</t>
        </is>
      </c>
      <c r="K3" s="73" t="inlineStr">
        <is>
          <t>2026-07-21</t>
        </is>
      </c>
      <c r="L3" s="74" t="n">
        <v>1267.1</v>
      </c>
      <c r="M3" s="74">
        <f>IF(OR(N3="WIN", N3="LOSS"), (L3-E3)*D3, 0)</f>
        <v/>
      </c>
      <c r="N3" s="73" t="inlineStr">
        <is>
          <t>WIN</t>
        </is>
      </c>
      <c r="O3" s="73" t="inlineStr">
        <is>
          <t>Auto-synced from Zerodha account | Auto-synced sell from Zerodha account</t>
        </is>
      </c>
      <c r="P3" s="75" t="inlineStr">
        <is>
          <t>SWING</t>
        </is>
      </c>
      <c r="Q3" s="75" t="n"/>
      <c r="R3" s="75" t="n"/>
      <c r="S3" s="16">
        <f>IF(N3="OPEN", IFERROR(R3/(D3*E3), 0), IF(OR(N3="WIN", N3="LOSS"), IFERROR(M3/(D3*E3), 0), 0))</f>
        <v/>
      </c>
      <c r="T3" s="2" t="n"/>
      <c r="U3" s="2" t="n"/>
      <c r="V3" s="2" t="n"/>
      <c r="W3" s="2" t="n"/>
      <c r="X3" s="2" t="n"/>
      <c r="Y3" s="2" t="n"/>
      <c r="Z3" s="2" t="n"/>
    </row>
    <row r="4">
      <c r="A4" s="76" t="inlineStr">
        <is>
          <t>TECHM</t>
        </is>
      </c>
      <c r="B4" s="76" t="inlineStr">
        <is>
          <t>TECHM</t>
        </is>
      </c>
      <c r="C4" s="76" t="inlineStr">
        <is>
          <t>2026-07-21</t>
        </is>
      </c>
      <c r="D4" s="76" t="n">
        <v>1</v>
      </c>
      <c r="E4" s="77" t="n">
        <v>1589.1</v>
      </c>
      <c r="F4" s="77" t="n">
        <v>1582.699951171875</v>
      </c>
      <c r="G4" s="77" t="n">
        <v>6.400048828124909</v>
      </c>
      <c r="H4" s="77" t="n">
        <v>1785.968673647753</v>
      </c>
      <c r="I4" s="77" t="n">
        <v>1481.065589933936</v>
      </c>
      <c r="J4" s="76" t="inlineStr">
        <is>
          <t>1:1.8</t>
        </is>
      </c>
      <c r="K4" s="76" t="inlineStr">
        <is>
          <t>2026-07-21</t>
        </is>
      </c>
      <c r="L4" s="77" t="n">
        <v>1575</v>
      </c>
      <c r="M4" s="77">
        <f>IF(OR(N4="WIN", N4="LOSS"), (L4-E4)*D4, 0)</f>
        <v/>
      </c>
      <c r="N4" s="76" t="inlineStr">
        <is>
          <t>LOSS</t>
        </is>
      </c>
      <c r="O4" s="76" t="inlineStr">
        <is>
          <t>Auto-synced from Zerodha account | Auto-synced sell from Zerodha account</t>
        </is>
      </c>
      <c r="P4" s="78" t="inlineStr">
        <is>
          <t>SWING</t>
        </is>
      </c>
      <c r="Q4" s="78" t="n"/>
      <c r="R4" s="78" t="n"/>
      <c r="S4" s="16">
        <f>IF(N4="OPEN", IFERROR(R4/(D4*E4), 0), IF(OR(N4="WIN", N4="LOSS"), IFERROR(M4/(D4*E4), 0), 0))</f>
        <v/>
      </c>
      <c r="T4" s="2" t="n"/>
      <c r="U4" s="2" t="n"/>
      <c r="V4" s="2" t="n"/>
      <c r="W4" s="2" t="n"/>
      <c r="X4" s="2" t="n"/>
      <c r="Y4" s="2" t="n"/>
      <c r="Z4" s="2" t="n"/>
    </row>
    <row r="5">
      <c r="A5" s="73" t="inlineStr">
        <is>
          <t>SONACOMS</t>
        </is>
      </c>
      <c r="B5" s="73" t="inlineStr">
        <is>
          <t>SONACOMS</t>
        </is>
      </c>
      <c r="C5" s="73" t="inlineStr">
        <is>
          <t>2026-07-22</t>
        </is>
      </c>
      <c r="D5" s="73" t="n">
        <v>2</v>
      </c>
      <c r="E5" s="74" t="n">
        <v>734.7</v>
      </c>
      <c r="F5" s="74" t="n">
        <v>730.4500122070312</v>
      </c>
      <c r="G5" s="74" t="n">
        <v>4.249987792968795</v>
      </c>
      <c r="H5" s="74" t="n">
        <v>800.5786220005581</v>
      </c>
      <c r="I5" s="74" t="n">
        <v>695.3857073102679</v>
      </c>
      <c r="J5" s="73" t="inlineStr">
        <is>
          <t>1:1.7</t>
        </is>
      </c>
      <c r="K5" s="75" t="inlineStr">
        <is>
          <t>2026-08-05</t>
        </is>
      </c>
      <c r="L5" s="74" t="n">
        <v>798.25</v>
      </c>
      <c r="M5" s="74">
        <f>IF(OR(N5="WIN", N5="LOSS"), (L5-E5)*D5, 0)</f>
        <v/>
      </c>
      <c r="N5" s="73" t="inlineStr">
        <is>
          <t>WIN</t>
        </is>
      </c>
      <c r="O5" s="73" t="inlineStr">
        <is>
          <t>Auto-synced from Zerodha account | [2026-07-28] State 4 (Cash Only): Hold position, maintain pre-set stop-loss, do not average down. | Auto-synced sell from Zerodha account</t>
        </is>
      </c>
      <c r="P5" s="75" t="inlineStr">
        <is>
          <t>SWING</t>
        </is>
      </c>
      <c r="Q5" s="75" t="n"/>
      <c r="R5" s="75" t="n"/>
      <c r="S5" s="16">
        <f>IF(N5="OPEN", IFERROR(R5/(D5*E5), 0), IF(OR(N5="WIN", N5="LOSS"), IFERROR(M5/(D5*E5), 0), 0))</f>
        <v/>
      </c>
      <c r="T5" s="2" t="n"/>
      <c r="U5" s="2" t="n"/>
      <c r="V5" s="2" t="n"/>
      <c r="W5" s="2" t="n"/>
      <c r="X5" s="2" t="n"/>
      <c r="Y5" s="2" t="n"/>
      <c r="Z5" s="2" t="n"/>
    </row>
    <row r="6">
      <c r="A6" s="79" t="inlineStr">
        <is>
          <t>JSWSTEEL</t>
        </is>
      </c>
      <c r="B6" s="79" t="inlineStr">
        <is>
          <t>JSW Steel Limited</t>
        </is>
      </c>
      <c r="C6" s="80" t="inlineStr">
        <is>
          <t>2026-07-22</t>
        </is>
      </c>
      <c r="D6" s="81" t="n">
        <v>1</v>
      </c>
      <c r="E6" s="82" t="n">
        <v>1265.1</v>
      </c>
      <c r="F6" s="82" t="n">
        <v>1265.1</v>
      </c>
      <c r="G6" s="82" t="n">
        <v>0</v>
      </c>
      <c r="H6" s="82" t="n">
        <v>1368.16</v>
      </c>
      <c r="I6" s="82" t="n">
        <v>1217.31</v>
      </c>
      <c r="J6" s="80" t="inlineStr">
        <is>
          <t>1:2.1</t>
        </is>
      </c>
      <c r="K6" s="81" t="inlineStr">
        <is>
          <t>2026-08-13</t>
        </is>
      </c>
      <c r="L6" s="82" t="n">
        <v>1269.1</v>
      </c>
      <c r="M6" s="82">
        <f>IF(OR(N6="WIN", N6="LOSS"), (L6-E6)*D6, 0)</f>
        <v/>
      </c>
      <c r="N6" s="80" t="inlineStr">
        <is>
          <t>WIN</t>
        </is>
      </c>
      <c r="O6" s="79" t="inlineStr">
        <is>
          <t>Auto-synced from Zerodha account | [2026-07-28] State 4 (Cash Only): Hold position, maintain pre-set stop-loss, do not average down. | Auto-synced sell from Zerodha account</t>
        </is>
      </c>
      <c r="P6" s="75" t="inlineStr">
        <is>
          <t>SWING</t>
        </is>
      </c>
      <c r="Q6" s="75" t="n"/>
      <c r="R6" s="75" t="n"/>
      <c r="S6" s="16">
        <f>IF(N6="OPEN", IFERROR(R6/(D6*E6), 0), IF(OR(N6="WIN", N6="LOSS"), IFERROR(M6/(D6*E6), 0), 0))</f>
        <v/>
      </c>
      <c r="T6" s="2" t="n"/>
      <c r="U6" s="2" t="n"/>
      <c r="V6" s="2" t="n"/>
      <c r="W6" s="2" t="n"/>
      <c r="X6" s="2" t="n"/>
      <c r="Y6" s="2" t="n"/>
      <c r="Z6" s="2" t="n"/>
    </row>
    <row r="7">
      <c r="A7" s="75" t="inlineStr">
        <is>
          <t>TECHM</t>
        </is>
      </c>
      <c r="B7" s="75" t="inlineStr">
        <is>
          <t>TECHM</t>
        </is>
      </c>
      <c r="C7" s="75" t="inlineStr">
        <is>
          <t>2026-07-27</t>
        </is>
      </c>
      <c r="D7" s="75" t="n">
        <v>1</v>
      </c>
      <c r="E7" s="74" t="n">
        <v>1579</v>
      </c>
      <c r="F7" s="74" t="n">
        <v>1593.900024414062</v>
      </c>
      <c r="G7" s="74" t="n">
        <v>-14.90002441406205</v>
      </c>
      <c r="H7" s="74" t="n">
        <v>1773.642944335938</v>
      </c>
      <c r="I7" s="74" t="n">
        <v>1504.028564453125</v>
      </c>
      <c r="J7" s="75" t="inlineStr">
        <is>
          <t>1:2.6</t>
        </is>
      </c>
      <c r="K7" s="75" t="inlineStr">
        <is>
          <t>2026-08-13</t>
        </is>
      </c>
      <c r="L7" s="74" t="n">
        <v>1634.7</v>
      </c>
      <c r="M7" s="74">
        <f>IF(OR(N7="WIN", N7="LOSS"), (L7-E7)*D7, 0)</f>
        <v/>
      </c>
      <c r="N7" s="75" t="inlineStr">
        <is>
          <t>WIN</t>
        </is>
      </c>
      <c r="O7" s="75" t="inlineStr">
        <is>
          <t>Auto-synced from Zerodha account | [2026-07-28] State 4 (Cash Only): Hold position, maintain pre-set stop-loss, do not average down. | Auto-synced sell from Zerodha account</t>
        </is>
      </c>
      <c r="P7" s="75" t="inlineStr">
        <is>
          <t>SWING</t>
        </is>
      </c>
      <c r="Q7" s="75" t="n"/>
      <c r="R7" s="75" t="n"/>
      <c r="S7" s="16">
        <f>IF(N7="OPEN", IFERROR(R7/(D7*E7), 0), IF(OR(N7="WIN", N7="LOSS"), IFERROR(M7/(D7*E7), 0), 0))</f>
        <v/>
      </c>
      <c r="T7" s="2" t="n"/>
      <c r="U7" s="2" t="n"/>
      <c r="V7" s="2" t="n"/>
      <c r="W7" s="2" t="n"/>
      <c r="X7" s="2" t="n"/>
      <c r="Y7" s="2" t="n"/>
      <c r="Z7" s="2" t="n"/>
    </row>
    <row r="8">
      <c r="A8" s="75" t="inlineStr">
        <is>
          <t>BERGEPAINT</t>
        </is>
      </c>
      <c r="B8" s="75" t="inlineStr">
        <is>
          <t>Berger Paints India Limited</t>
        </is>
      </c>
      <c r="C8" s="75" t="inlineStr">
        <is>
          <t>2026-07-31</t>
        </is>
      </c>
      <c r="D8" s="75" t="n">
        <v>2</v>
      </c>
      <c r="E8" s="74" t="n">
        <v>519.13</v>
      </c>
      <c r="F8" s="74" t="n">
        <v>521.35</v>
      </c>
      <c r="G8" s="74" t="n">
        <v>-2.220000000000027</v>
      </c>
      <c r="H8" s="74" t="n">
        <v>574.85</v>
      </c>
      <c r="I8" s="74" t="n">
        <v>494.6</v>
      </c>
      <c r="J8" s="75" t="inlineStr">
        <is>
          <t>1:2.0</t>
        </is>
      </c>
      <c r="K8" s="75" t="inlineStr">
        <is>
          <t>2026-08-12</t>
        </is>
      </c>
      <c r="L8" s="74" t="n">
        <v>561.2</v>
      </c>
      <c r="M8" s="74">
        <f>IF(OR(N8="WIN", N8="LOSS"), (L8-E8)*D8, 0)</f>
        <v/>
      </c>
      <c r="N8" s="75" t="inlineStr">
        <is>
          <t>WIN</t>
        </is>
      </c>
      <c r="O8" s="75" t="inlineStr">
        <is>
          <t>Auto-synced from Zerodha holdings | Auto-synced sell from Zerodha account</t>
        </is>
      </c>
      <c r="P8" s="75" t="inlineStr">
        <is>
          <t>SWING</t>
        </is>
      </c>
      <c r="Q8" s="75" t="n"/>
      <c r="R8" s="75" t="n"/>
      <c r="S8" s="16">
        <f>IF(N8="OPEN", IFERROR(R8/(D8*E8), 0), IF(OR(N8="WIN", N8="LOSS"), IFERROR(M8/(D8*E8), 0), 0))</f>
        <v/>
      </c>
      <c r="T8" s="2" t="n"/>
      <c r="U8" s="2" t="n"/>
      <c r="V8" s="2" t="n"/>
      <c r="W8" s="2" t="n"/>
      <c r="X8" s="2" t="n"/>
      <c r="Y8" s="2" t="n"/>
      <c r="Z8" s="2" t="n"/>
    </row>
    <row r="9">
      <c r="A9" s="78" t="inlineStr">
        <is>
          <t>ADVANCE</t>
        </is>
      </c>
      <c r="B9" s="78" t="inlineStr">
        <is>
          <t>Advanced Enzyme Technologies Limited</t>
        </is>
      </c>
      <c r="C9" s="78" t="inlineStr">
        <is>
          <t>2026-08-03</t>
        </is>
      </c>
      <c r="D9" s="78" t="n">
        <v>4</v>
      </c>
      <c r="E9" s="77" t="n">
        <v>127.8</v>
      </c>
      <c r="F9" s="77" t="n">
        <v>125.01</v>
      </c>
      <c r="G9" s="77" t="n">
        <v>2.789999999999992</v>
      </c>
      <c r="H9" s="77" t="n">
        <v>145.56</v>
      </c>
      <c r="I9" s="77" t="n">
        <v>114.74</v>
      </c>
      <c r="J9" s="78" t="inlineStr">
        <is>
          <t>1:2.0</t>
        </is>
      </c>
      <c r="K9" s="78" t="inlineStr">
        <is>
          <t>2026-08-12</t>
        </is>
      </c>
      <c r="L9" s="77" t="n">
        <v>118.2425</v>
      </c>
      <c r="M9" s="77">
        <f>IF(OR(N9="WIN", N9="LOSS"), (L9-E9)*D9, 0)</f>
        <v/>
      </c>
      <c r="N9" s="78" t="inlineStr">
        <is>
          <t>LOSS</t>
        </is>
      </c>
      <c r="O9" s="78" t="inlineStr">
        <is>
          <t>Buy actual fill price matching Zerodha (corrected from 125.01) | Auto-synced sell from Zerodha account</t>
        </is>
      </c>
      <c r="P9" s="78" t="inlineStr">
        <is>
          <t>SWING</t>
        </is>
      </c>
      <c r="Q9" s="78" t="n"/>
      <c r="R9" s="78" t="n"/>
      <c r="S9" s="16">
        <f>IF(N9="OPEN", IFERROR(R9/(D9*E9), 0), IF(OR(N9="WIN", N9="LOSS"), IFERROR(M9/(D9*E9), 0), 0))</f>
        <v/>
      </c>
      <c r="T9" s="2" t="n"/>
      <c r="U9" s="2" t="n"/>
      <c r="V9" s="2" t="n"/>
      <c r="W9" s="2" t="n"/>
      <c r="X9" s="2" t="n"/>
      <c r="Y9" s="2" t="n"/>
      <c r="Z9" s="2" t="n"/>
    </row>
    <row r="10">
      <c r="A10" s="78" t="inlineStr">
        <is>
          <t>NESTLEIND</t>
        </is>
      </c>
      <c r="B10" s="78" t="inlineStr">
        <is>
          <t>NESTLEIND</t>
        </is>
      </c>
      <c r="C10" s="78" t="inlineStr">
        <is>
          <t>2026-08-04</t>
        </is>
      </c>
      <c r="D10" s="78" t="n">
        <v>1</v>
      </c>
      <c r="E10" s="77" t="n">
        <v>1530</v>
      </c>
      <c r="F10" s="77" t="n">
        <v>1530</v>
      </c>
      <c r="G10" s="77" t="n">
        <v>0</v>
      </c>
      <c r="H10" s="77" t="n">
        <v>1549.8</v>
      </c>
      <c r="I10" s="77" t="n">
        <v>1520.1</v>
      </c>
      <c r="J10" s="78" t="inlineStr">
        <is>
          <t>1:2.0</t>
        </is>
      </c>
      <c r="K10" s="78" t="inlineStr">
        <is>
          <t>2026-08-04</t>
        </is>
      </c>
      <c r="L10" s="77" t="n">
        <v>1520.1</v>
      </c>
      <c r="M10" s="77">
        <f>IF(OR(N10="WIN", N10="LOSS"), (L10-E10)*D10, 0)</f>
        <v/>
      </c>
      <c r="N10" s="78" t="inlineStr">
        <is>
          <t>LOSS</t>
        </is>
      </c>
      <c r="O10" s="78" t="inlineStr">
        <is>
          <t>Intraday placement. GTT Trigger: 330204955 | Position closed via Stop-Loss GTT trigger. Actual Buy Filled at INR 1523.00</t>
        </is>
      </c>
      <c r="P10" s="78" t="inlineStr">
        <is>
          <t>INTRADAY</t>
        </is>
      </c>
      <c r="Q10" s="78" t="n"/>
      <c r="R10" s="78" t="n"/>
      <c r="S10" s="16">
        <f>IF(N10="OPEN", IFERROR(R10/(D10*E10), 0), IF(OR(N10="WIN", N10="LOSS"), IFERROR(M10/(D10*E10), 0), 0))</f>
        <v/>
      </c>
      <c r="T10" s="2" t="n"/>
      <c r="U10" s="2" t="n"/>
      <c r="V10" s="2" t="n"/>
      <c r="W10" s="2" t="n"/>
      <c r="X10" s="2" t="n"/>
      <c r="Y10" s="2" t="n"/>
      <c r="Z10" s="2" t="n"/>
    </row>
    <row r="11">
      <c r="A11" s="78" t="inlineStr">
        <is>
          <t>PIDILITIND</t>
        </is>
      </c>
      <c r="B11" s="78" t="inlineStr">
        <is>
          <t>PIDILITIND</t>
        </is>
      </c>
      <c r="C11" s="78" t="inlineStr">
        <is>
          <t>2026-08-04</t>
        </is>
      </c>
      <c r="D11" s="78" t="n">
        <v>1</v>
      </c>
      <c r="E11" s="77" t="n">
        <v>1642.5</v>
      </c>
      <c r="F11" s="77" t="n">
        <v>1642.5</v>
      </c>
      <c r="G11" s="77" t="n">
        <v>0</v>
      </c>
      <c r="H11" s="77" t="n">
        <v>1658.5</v>
      </c>
      <c r="I11" s="77" t="n">
        <v>1634.5</v>
      </c>
      <c r="J11" s="78" t="inlineStr">
        <is>
          <t>1:2.0</t>
        </is>
      </c>
      <c r="K11" s="78" t="inlineStr">
        <is>
          <t>2026-08-04</t>
        </is>
      </c>
      <c r="L11" s="77" t="n">
        <v>1634.5</v>
      </c>
      <c r="M11" s="77">
        <f>IF(OR(N11="WIN", N11="LOSS"), (L11-E11)*D11, 0)</f>
        <v/>
      </c>
      <c r="N11" s="78" t="inlineStr">
        <is>
          <t>LOSS</t>
        </is>
      </c>
      <c r="O11" s="78" t="inlineStr">
        <is>
          <t>Intraday placement. GTT Trigger: 330204926 | Position closed via Stop-Loss GTT trigger.</t>
        </is>
      </c>
      <c r="P11" s="78" t="inlineStr">
        <is>
          <t>INTRADAY</t>
        </is>
      </c>
      <c r="Q11" s="78" t="n"/>
      <c r="R11" s="78" t="n"/>
      <c r="S11" s="16">
        <f>IF(N11="OPEN", IFERROR(R11/(D11*E11), 0), IF(OR(N11="WIN", N11="LOSS"), IFERROR(M11/(D11*E11), 0), 0))</f>
        <v/>
      </c>
      <c r="T11" s="2" t="n"/>
      <c r="U11" s="2" t="n"/>
      <c r="V11" s="2" t="n"/>
      <c r="W11" s="2" t="n"/>
      <c r="X11" s="2" t="n"/>
      <c r="Y11" s="2" t="n"/>
      <c r="Z11" s="2" t="n"/>
    </row>
    <row r="12">
      <c r="A12" s="75" t="inlineStr">
        <is>
          <t>VISAKAIND</t>
        </is>
      </c>
      <c r="B12" s="75" t="inlineStr">
        <is>
          <t>VISAKAIND</t>
        </is>
      </c>
      <c r="C12" s="75" t="inlineStr">
        <is>
          <t>2026-08-05</t>
        </is>
      </c>
      <c r="D12" s="75" t="n">
        <v>8</v>
      </c>
      <c r="E12" s="74" t="n">
        <v>86.98999999999999</v>
      </c>
      <c r="F12" s="74" t="n">
        <v>86.98999999999999</v>
      </c>
      <c r="G12" s="74" t="n">
        <v>0</v>
      </c>
      <c r="H12" s="74" t="n">
        <v>101.83</v>
      </c>
      <c r="I12" s="74" t="n">
        <v>79.56999999999999</v>
      </c>
      <c r="J12" s="75" t="inlineStr">
        <is>
          <t>1:2.0</t>
        </is>
      </c>
      <c r="K12" s="75" t="inlineStr">
        <is>
          <t>2026-08-10</t>
        </is>
      </c>
      <c r="L12" s="74" t="n">
        <v>103.24</v>
      </c>
      <c r="M12" s="74">
        <f>IF(OR(N12="WIN", N12="LOSS"), (L12-E12)*D12, 0)</f>
        <v/>
      </c>
      <c r="N12" s="75" t="inlineStr">
        <is>
          <t>WIN</t>
        </is>
      </c>
      <c r="O12" s="75" t="inlineStr">
        <is>
          <t>Swing AMO placement. GTT Trigger: 330406766 | Auto-synced sell from Zerodha account</t>
        </is>
      </c>
      <c r="P12" s="75" t="inlineStr">
        <is>
          <t>SWING</t>
        </is>
      </c>
      <c r="Q12" s="75" t="n"/>
      <c r="R12" s="75" t="n"/>
      <c r="S12" s="16">
        <f>IF(N12="OPEN", IFERROR(R12/(D12*E12), 0), IF(OR(N12="WIN", N12="LOSS"), IFERROR(M12/(D12*E12), 0), 0))</f>
        <v/>
      </c>
      <c r="T12" s="2" t="n"/>
      <c r="U12" s="2" t="n"/>
      <c r="V12" s="2" t="n"/>
      <c r="W12" s="2" t="n"/>
      <c r="X12" s="2" t="n"/>
      <c r="Y12" s="2" t="n"/>
      <c r="Z12" s="2" t="n"/>
    </row>
    <row r="13">
      <c r="A13" s="78" t="inlineStr">
        <is>
          <t>EXCELSOFT</t>
        </is>
      </c>
      <c r="B13" s="78" t="inlineStr">
        <is>
          <t>EXCELSOFT</t>
        </is>
      </c>
      <c r="C13" s="78" t="inlineStr">
        <is>
          <t>2026-08-05</t>
        </is>
      </c>
      <c r="D13" s="78" t="n">
        <v>8</v>
      </c>
      <c r="E13" s="77" t="n">
        <v>82.5</v>
      </c>
      <c r="F13" s="77" t="n">
        <v>82.5</v>
      </c>
      <c r="G13" s="77" t="n">
        <v>0</v>
      </c>
      <c r="H13" s="77" t="n">
        <v>93.81</v>
      </c>
      <c r="I13" s="77" t="n">
        <v>77.58</v>
      </c>
      <c r="J13" s="78" t="inlineStr">
        <is>
          <t>1:2.0</t>
        </is>
      </c>
      <c r="K13" s="78" t="inlineStr">
        <is>
          <t>2026-08-10</t>
        </is>
      </c>
      <c r="L13" s="77" t="n">
        <v>77.58</v>
      </c>
      <c r="M13" s="77">
        <f>IF(OR(N13="WIN", N13="LOSS"), (L13-E13)*D13, 0)</f>
        <v/>
      </c>
      <c r="N13" s="78" t="inlineStr">
        <is>
          <t>LOSS</t>
        </is>
      </c>
      <c r="O13" s="78" t="inlineStr">
        <is>
          <t>Swing AMO placement. GTT Trigger: 330406774 | Auto-synced sell from Zerodha account</t>
        </is>
      </c>
      <c r="P13" s="78" t="inlineStr">
        <is>
          <t>SWING</t>
        </is>
      </c>
      <c r="Q13" s="78" t="n"/>
      <c r="R13" s="78" t="n"/>
      <c r="S13" s="16">
        <f>IF(N13="OPEN", IFERROR(R13/(D13*E13), 0), IF(OR(N13="WIN", N13="LOSS"), IFERROR(M13/(D13*E13), 0), 0))</f>
        <v/>
      </c>
      <c r="T13" s="2" t="n"/>
      <c r="U13" s="2" t="n"/>
      <c r="V13" s="2" t="n"/>
      <c r="W13" s="2" t="n"/>
      <c r="X13" s="2" t="n"/>
      <c r="Y13" s="2" t="n"/>
      <c r="Z13" s="2" t="n"/>
    </row>
    <row r="14">
      <c r="A14" s="78" t="inlineStr">
        <is>
          <t>SONATSOFTW</t>
        </is>
      </c>
      <c r="B14" s="78" t="inlineStr">
        <is>
          <t>SONATSOFTW</t>
        </is>
      </c>
      <c r="C14" s="78" t="inlineStr">
        <is>
          <t>2026-08-05</t>
        </is>
      </c>
      <c r="D14" s="78" t="n">
        <v>3</v>
      </c>
      <c r="E14" s="77" t="n">
        <v>341.15</v>
      </c>
      <c r="F14" s="77" t="n">
        <v>341.15</v>
      </c>
      <c r="G14" s="77" t="n">
        <v>0</v>
      </c>
      <c r="H14" s="77" t="n">
        <v>405.1</v>
      </c>
      <c r="I14" s="77" t="n">
        <v>316.2</v>
      </c>
      <c r="J14" s="78" t="inlineStr">
        <is>
          <t>1:2.6</t>
        </is>
      </c>
      <c r="K14" s="78" t="inlineStr">
        <is>
          <t>2026-08-10</t>
        </is>
      </c>
      <c r="L14" s="77" t="n">
        <v>316.2</v>
      </c>
      <c r="M14" s="77">
        <f>IF(OR(N14="WIN", N14="LOSS"), (L14-E14)*D14, 0)</f>
        <v/>
      </c>
      <c r="N14" s="78" t="inlineStr">
        <is>
          <t>LOSS</t>
        </is>
      </c>
      <c r="O14" s="78" t="inlineStr">
        <is>
          <t>Swing Trade placement. GTT Trigger: 330502180 | Auto-synced sell from Zerodha account</t>
        </is>
      </c>
      <c r="P14" s="78" t="inlineStr">
        <is>
          <t>SWING</t>
        </is>
      </c>
      <c r="Q14" s="78" t="n"/>
      <c r="R14" s="78" t="n"/>
      <c r="S14" s="16">
        <f>IF(N14="OPEN", IFERROR(R14/(D14*E14), 0), IF(OR(N14="WIN", N14="LOSS"), IFERROR(M14/(D14*E14), 0), 0))</f>
        <v/>
      </c>
      <c r="T14" s="2" t="n"/>
      <c r="U14" s="2" t="n"/>
      <c r="V14" s="2" t="n"/>
      <c r="W14" s="2" t="n"/>
      <c r="X14" s="2" t="n"/>
      <c r="Y14" s="2" t="n"/>
      <c r="Z14" s="2" t="n"/>
    </row>
    <row r="15">
      <c r="A15" s="78" t="inlineStr">
        <is>
          <t>IFGLEXPOR</t>
        </is>
      </c>
      <c r="B15" s="78" t="inlineStr">
        <is>
          <t>IFGLEXPOR</t>
        </is>
      </c>
      <c r="C15" s="78" t="inlineStr">
        <is>
          <t>2026-08-06</t>
        </is>
      </c>
      <c r="D15" s="78" t="n">
        <v>4</v>
      </c>
      <c r="E15" s="77" t="n">
        <v>219.6</v>
      </c>
      <c r="F15" s="77" t="n">
        <v>219.6</v>
      </c>
      <c r="G15" s="77" t="n">
        <v>0</v>
      </c>
      <c r="H15" s="77" t="n">
        <v>266.25</v>
      </c>
      <c r="I15" s="77" t="n">
        <v>219.6</v>
      </c>
      <c r="J15" s="78" t="inlineStr">
        <is>
          <t>1:2.0</t>
        </is>
      </c>
      <c r="K15" s="78" t="inlineStr">
        <is>
          <t>2026-08-18</t>
        </is>
      </c>
      <c r="L15" s="78" t="n">
        <v>218.97</v>
      </c>
      <c r="M15" s="77">
        <f>IF(OR(N15="WIN", N15="LOSS"), (L15-E15)*D15, 0)</f>
        <v/>
      </c>
      <c r="N15" s="78" t="inlineStr">
        <is>
          <t>LOSS</t>
        </is>
      </c>
      <c r="O15" s="78" t="inlineStr">
        <is>
          <t>Swing AMO placement. GTT Trigger: 330580516</t>
        </is>
      </c>
      <c r="P15" s="78" t="inlineStr">
        <is>
          <t>SWING</t>
        </is>
      </c>
      <c r="Q15" s="78" t="n"/>
      <c r="R15" s="78" t="n"/>
      <c r="S15" s="16">
        <f>IF(N15="OPEN", IFERROR(R15/(D15*E15), 0), IF(OR(N15="WIN", N15="LOSS"), IFERROR(M15/(D15*E15), 0), 0))</f>
        <v/>
      </c>
      <c r="T15" s="2" t="n"/>
      <c r="U15" s="2" t="n"/>
      <c r="V15" s="2" t="n"/>
      <c r="W15" s="2" t="n"/>
      <c r="X15" s="2" t="n"/>
      <c r="Y15" s="2" t="n"/>
      <c r="Z15" s="2" t="n"/>
    </row>
    <row r="16">
      <c r="A16" s="75" t="inlineStr">
        <is>
          <t>SAPPHIRE</t>
        </is>
      </c>
      <c r="B16" s="75" t="inlineStr">
        <is>
          <t>SAPPHIRE</t>
        </is>
      </c>
      <c r="C16" s="75" t="inlineStr">
        <is>
          <t>2026-08-06</t>
        </is>
      </c>
      <c r="D16" s="75" t="n">
        <v>4</v>
      </c>
      <c r="E16" s="74" t="n">
        <v>202.5</v>
      </c>
      <c r="F16" s="74" t="n">
        <v>202.5</v>
      </c>
      <c r="G16" s="74" t="n">
        <v>0</v>
      </c>
      <c r="H16" s="74" t="n">
        <v>238.85</v>
      </c>
      <c r="I16" s="74" t="n">
        <v>184.35</v>
      </c>
      <c r="J16" s="75" t="inlineStr">
        <is>
          <t>1:2.0</t>
        </is>
      </c>
      <c r="K16" s="75" t="inlineStr">
        <is>
          <t>2026-08-12</t>
        </is>
      </c>
      <c r="L16" s="74" t="n">
        <v>236.75</v>
      </c>
      <c r="M16" s="74">
        <f>IF(OR(N16="WIN", N16="LOSS"), (L16-E16)*D16, 0)</f>
        <v/>
      </c>
      <c r="N16" s="75" t="inlineStr">
        <is>
          <t>WIN</t>
        </is>
      </c>
      <c r="O16" s="75" t="inlineStr">
        <is>
          <t>Swing AMO placement. GTT Trigger: 330580530 | Auto-synced sell from Zerodha account</t>
        </is>
      </c>
      <c r="P16" s="75" t="inlineStr">
        <is>
          <t>SWING</t>
        </is>
      </c>
      <c r="Q16" s="75" t="n"/>
      <c r="R16" s="75" t="n"/>
      <c r="S16" s="16">
        <f>IF(N16="OPEN", IFERROR(R16/(D16*E16), 0), IF(OR(N16="WIN", N16="LOSS"), IFERROR(M16/(D16*E16), 0), 0))</f>
        <v/>
      </c>
      <c r="T16" s="2" t="n"/>
      <c r="U16" s="2" t="n"/>
      <c r="V16" s="2" t="n"/>
      <c r="W16" s="2" t="n"/>
      <c r="X16" s="2" t="n"/>
      <c r="Y16" s="2" t="n"/>
      <c r="Z16" s="2" t="n"/>
    </row>
    <row r="17">
      <c r="A17" s="78" t="inlineStr">
        <is>
          <t>AEROENTER</t>
        </is>
      </c>
      <c r="B17" s="78" t="inlineStr">
        <is>
          <t>AEROENTER</t>
        </is>
      </c>
      <c r="C17" s="78" t="inlineStr">
        <is>
          <t>2026-08-06</t>
        </is>
      </c>
      <c r="D17" s="78" t="n">
        <v>8</v>
      </c>
      <c r="E17" s="77" t="n">
        <v>132.01</v>
      </c>
      <c r="F17" s="77" t="n">
        <v>132.01</v>
      </c>
      <c r="G17" s="77" t="n">
        <v>0</v>
      </c>
      <c r="H17" s="77" t="n">
        <v>159.05</v>
      </c>
      <c r="I17" s="77" t="n">
        <v>118.7</v>
      </c>
      <c r="J17" s="78" t="inlineStr">
        <is>
          <t>1:2.0</t>
        </is>
      </c>
      <c r="K17" s="78" t="inlineStr">
        <is>
          <t>2026-08-18</t>
        </is>
      </c>
      <c r="L17" s="78" t="n">
        <v>125.73</v>
      </c>
      <c r="M17" s="77">
        <f>IF(OR(N17="WIN", N17="LOSS"), (L17-E17)*D17, 0)</f>
        <v/>
      </c>
      <c r="N17" s="78" t="inlineStr">
        <is>
          <t>LOSS</t>
        </is>
      </c>
      <c r="O17" s="78" t="inlineStr">
        <is>
          <t>Swing AMO placement. GTT Trigger: 330580552</t>
        </is>
      </c>
      <c r="P17" s="78" t="inlineStr">
        <is>
          <t>SWING</t>
        </is>
      </c>
      <c r="Q17" s="78" t="n"/>
      <c r="R17" s="78" t="n"/>
      <c r="S17" s="16">
        <f>IF(N17="OPEN", IFERROR(R17/(D17*E17), 0), IF(OR(N17="WIN", N17="LOSS"), IFERROR(M17/(D17*E17), 0), 0))</f>
        <v/>
      </c>
      <c r="T17" s="2" t="n"/>
      <c r="U17" s="2" t="n"/>
      <c r="V17" s="2" t="n"/>
      <c r="W17" s="2" t="n"/>
      <c r="X17" s="2" t="n"/>
      <c r="Y17" s="2" t="n"/>
      <c r="Z17" s="2" t="n"/>
    </row>
    <row r="18">
      <c r="A18" s="78" t="inlineStr">
        <is>
          <t>TATASTEEL</t>
        </is>
      </c>
      <c r="B18" s="78" t="inlineStr">
        <is>
          <t>TATASTEEL</t>
        </is>
      </c>
      <c r="C18" s="78" t="inlineStr">
        <is>
          <t>2026-08-06</t>
        </is>
      </c>
      <c r="D18" s="78" t="n">
        <v>1</v>
      </c>
      <c r="E18" s="77" t="n">
        <v>192.6</v>
      </c>
      <c r="F18" s="77" t="n">
        <v>192.6</v>
      </c>
      <c r="G18" s="77" t="n">
        <v>0</v>
      </c>
      <c r="H18" s="77" t="n">
        <v>195.65</v>
      </c>
      <c r="I18" s="77" t="n">
        <v>191.65</v>
      </c>
      <c r="J18" s="78" t="inlineStr">
        <is>
          <t>1:2.0</t>
        </is>
      </c>
      <c r="K18" s="78" t="inlineStr">
        <is>
          <t>2026-08-06</t>
        </is>
      </c>
      <c r="L18" s="78" t="n">
        <v>191.65</v>
      </c>
      <c r="M18" s="77">
        <f>IF(OR(N18="WIN", N18="LOSS"), (L18-E18)*D18, 0)</f>
        <v/>
      </c>
      <c r="N18" s="78" t="inlineStr">
        <is>
          <t>LOSS</t>
        </is>
      </c>
      <c r="O18" s="78" t="inlineStr">
        <is>
          <t>Intraday AMO placement. GTT Trigger: 330580570 | Closed via GTT Stop Loss.</t>
        </is>
      </c>
      <c r="P18" s="78" t="inlineStr">
        <is>
          <t>INTRADAY</t>
        </is>
      </c>
      <c r="Q18" s="78" t="n"/>
      <c r="R18" s="78" t="n"/>
      <c r="S18" s="16">
        <f>IF(N18="OPEN", IFERROR(R18/(D18*E18), 0), IF(OR(N18="WIN", N18="LOSS"), IFERROR(M18/(D18*E18), 0), 0))</f>
        <v/>
      </c>
      <c r="T18" s="2" t="n"/>
      <c r="U18" s="2" t="n"/>
      <c r="V18" s="2" t="n"/>
      <c r="W18" s="2" t="n"/>
      <c r="X18" s="2" t="n"/>
      <c r="Y18" s="2" t="n"/>
      <c r="Z18" s="2" t="n"/>
    </row>
    <row r="19">
      <c r="A19" s="78" t="inlineStr">
        <is>
          <t>HARSHA</t>
        </is>
      </c>
      <c r="B19" s="78" t="inlineStr">
        <is>
          <t>Harsha Engineers International Limited</t>
        </is>
      </c>
      <c r="C19" s="78" t="inlineStr">
        <is>
          <t>2026-08-11</t>
        </is>
      </c>
      <c r="D19" s="78" t="n">
        <v>3</v>
      </c>
      <c r="E19" s="77" t="n">
        <v>432.6</v>
      </c>
      <c r="F19" s="77" t="n">
        <v>432.6</v>
      </c>
      <c r="G19" s="77" t="n">
        <v>0</v>
      </c>
      <c r="H19" s="77" t="n">
        <v>480.15</v>
      </c>
      <c r="I19" s="77" t="n">
        <v>408.85</v>
      </c>
      <c r="J19" s="78" t="inlineStr">
        <is>
          <t>1:2.0</t>
        </is>
      </c>
      <c r="K19" s="78" t="inlineStr">
        <is>
          <t>2026-08-12</t>
        </is>
      </c>
      <c r="L19" s="78" t="n">
        <v>410.45</v>
      </c>
      <c r="M19" s="77">
        <f>IF(OR(N19="WIN", N19="LOSS"), (L19-E19)*D19, 0)</f>
        <v/>
      </c>
      <c r="N19" s="78" t="inlineStr">
        <is>
          <t>LOSS</t>
        </is>
      </c>
      <c r="O19" s="78" t="inlineStr">
        <is>
          <t>AMO Swing Trade. GTT Trigger: 331229921</t>
        </is>
      </c>
      <c r="P19" s="78" t="inlineStr">
        <is>
          <t>SWING</t>
        </is>
      </c>
      <c r="Q19" s="78" t="n"/>
      <c r="R19" s="78" t="n"/>
      <c r="S19" s="16">
        <f>IF(N19="OPEN", IFERROR(R19/(D19*E19), 0), IF(OR(N19="WIN", N19="LOSS"), IFERROR(M19/(D19*E19), 0), 0))</f>
        <v/>
      </c>
      <c r="T19" s="2" t="n"/>
      <c r="U19" s="2" t="n"/>
      <c r="V19" s="2" t="n"/>
      <c r="W19" s="2" t="n"/>
      <c r="X19" s="2" t="n"/>
      <c r="Y19" s="2" t="n"/>
      <c r="Z19" s="2" t="n"/>
    </row>
    <row r="20">
      <c r="A20" s="78" t="inlineStr">
        <is>
          <t>CONFIPET</t>
        </is>
      </c>
      <c r="B20" s="78" t="inlineStr">
        <is>
          <t>Confidence Petroleum India Limited</t>
        </is>
      </c>
      <c r="C20" s="78" t="inlineStr">
        <is>
          <t>2026-08-11</t>
        </is>
      </c>
      <c r="D20" s="78" t="n">
        <v>10</v>
      </c>
      <c r="E20" s="77" t="n">
        <v>82.73999999999999</v>
      </c>
      <c r="F20" s="77" t="n">
        <v>82.73999999999999</v>
      </c>
      <c r="G20" s="77" t="n">
        <v>0</v>
      </c>
      <c r="H20" s="77" t="n">
        <v>99.31</v>
      </c>
      <c r="I20" s="77" t="n">
        <v>74.45</v>
      </c>
      <c r="J20" s="78" t="inlineStr">
        <is>
          <t>1:2.0</t>
        </is>
      </c>
      <c r="K20" s="78" t="inlineStr">
        <is>
          <t>2026-08-12</t>
        </is>
      </c>
      <c r="L20" s="77" t="n">
        <v>74.45</v>
      </c>
      <c r="M20" s="77">
        <f>IF(OR(N20="WIN", N20="LOSS"), (L20-E20)*D20, 0)</f>
        <v/>
      </c>
      <c r="N20" s="78" t="inlineStr">
        <is>
          <t>LOSS</t>
        </is>
      </c>
      <c r="O20" s="78" t="inlineStr">
        <is>
          <t>AMO Swing Trade. GTT Trigger: 10002 | Auto-synced sell from Zerodha account</t>
        </is>
      </c>
      <c r="P20" s="78" t="inlineStr">
        <is>
          <t>SWING</t>
        </is>
      </c>
      <c r="Q20" s="78" t="n"/>
      <c r="R20" s="78" t="n"/>
      <c r="S20" s="16">
        <f>IF(N20="OPEN", IFERROR(R20/(D20*E20), 0), IF(OR(N20="WIN", N20="LOSS"), IFERROR(M20/(D20*E20), 0), 0))</f>
        <v/>
      </c>
      <c r="T20" s="2" t="n"/>
      <c r="U20" s="2" t="n"/>
      <c r="V20" s="2" t="n"/>
      <c r="W20" s="2" t="n"/>
      <c r="X20" s="2" t="n"/>
      <c r="Y20" s="2" t="n"/>
      <c r="Z20" s="2" t="n"/>
    </row>
    <row r="21" ht="15.75" customHeight="1" s="57">
      <c r="A21" s="78" t="inlineStr">
        <is>
          <t>BEL</t>
        </is>
      </c>
      <c r="B21" s="78" t="inlineStr">
        <is>
          <t>BEL</t>
        </is>
      </c>
      <c r="C21" s="78" t="inlineStr">
        <is>
          <t>2026-08-12</t>
        </is>
      </c>
      <c r="D21" s="78" t="n">
        <v>5</v>
      </c>
      <c r="E21" s="77" t="n">
        <v>405.85</v>
      </c>
      <c r="F21" s="77" t="n">
        <v>401.3500061035156</v>
      </c>
      <c r="G21" s="77" t="n">
        <v>4.499993896484398</v>
      </c>
      <c r="H21" s="77" t="n">
        <v>429.2642865862165</v>
      </c>
      <c r="I21" s="77" t="n">
        <v>387.3928658621652</v>
      </c>
      <c r="J21" s="78" t="inlineStr">
        <is>
          <t>1:1.3</t>
        </is>
      </c>
      <c r="K21" s="78" t="inlineStr">
        <is>
          <t>2026-08-12</t>
        </is>
      </c>
      <c r="L21" s="77" t="n">
        <v>399.4</v>
      </c>
      <c r="M21" s="77">
        <f>IF(OR(N21="WIN", N21="LOSS"), (L21-E21)*D21, 0)</f>
        <v/>
      </c>
      <c r="N21" s="78" t="inlineStr">
        <is>
          <t>LOSS</t>
        </is>
      </c>
      <c r="O21" s="78" t="inlineStr">
        <is>
          <t>Auto-synced from Zerodha account | Auto-synced sell from Zerodha account</t>
        </is>
      </c>
      <c r="P21" s="78" t="inlineStr">
        <is>
          <t>SWING</t>
        </is>
      </c>
      <c r="Q21" s="78" t="n"/>
      <c r="R21" s="78" t="n"/>
      <c r="S21" s="16">
        <f>IF(N21="OPEN", IFERROR(R21/(D21*E21), 0), IF(OR(N21="WIN", N21="LOSS"), IFERROR(M21/(D21*E21), 0), 0))</f>
        <v/>
      </c>
      <c r="T21" s="2" t="n"/>
      <c r="U21" s="2" t="n"/>
      <c r="V21" s="2" t="n"/>
      <c r="W21" s="2" t="n"/>
      <c r="X21" s="2" t="n"/>
      <c r="Y21" s="2" t="n"/>
      <c r="Z21" s="2" t="n"/>
    </row>
    <row r="22" ht="15.75" customHeight="1" s="57">
      <c r="A22" s="2" t="inlineStr">
        <is>
          <t>CLEAN</t>
        </is>
      </c>
      <c r="B22" s="2" t="inlineStr">
        <is>
          <t>CLEAN</t>
        </is>
      </c>
      <c r="C22" s="2" t="inlineStr">
        <is>
          <t>2026-08-12</t>
        </is>
      </c>
      <c r="D22" s="2" t="n">
        <v>4</v>
      </c>
      <c r="E22" s="7" t="n">
        <v>806.25</v>
      </c>
      <c r="F22" s="7" t="n">
        <v>802</v>
      </c>
      <c r="G22" s="7" t="n">
        <v>4.25</v>
      </c>
      <c r="H22" s="7" t="n">
        <v>896.2857142857143</v>
      </c>
      <c r="I22" s="7" t="n">
        <v>754.8571428571429</v>
      </c>
      <c r="J22" s="2" t="inlineStr">
        <is>
          <t>1:1.8</t>
        </is>
      </c>
      <c r="K22" s="2" t="n"/>
      <c r="L22" s="2" t="n"/>
      <c r="M22" s="7">
        <f>IF(OR(N22="WIN", N22="LOSS"), (L22-E22)*D22, 0)</f>
        <v/>
      </c>
      <c r="N22" s="2" t="inlineStr">
        <is>
          <t>OPEN</t>
        </is>
      </c>
      <c r="O22" s="2" t="inlineStr">
        <is>
          <t>Auto-synced from Zerodha account</t>
        </is>
      </c>
      <c r="P22" s="2" t="inlineStr">
        <is>
          <t>SWING</t>
        </is>
      </c>
      <c r="Q22" s="7" t="n">
        <v>825.5</v>
      </c>
      <c r="R22" s="7" t="n">
        <v>77</v>
      </c>
      <c r="S22" s="16">
        <f>IF(N22="OPEN", IFERROR(R22/(D22*E22), 0), IF(OR(N22="WIN", N22="LOSS"), IFERROR(M22/(D22*E22), 0), 0))</f>
        <v/>
      </c>
      <c r="T22" s="2" t="n"/>
      <c r="U22" s="2" t="n"/>
      <c r="V22" s="2" t="n"/>
      <c r="W22" s="2" t="n"/>
      <c r="X22" s="2" t="n"/>
      <c r="Y22" s="2" t="n"/>
      <c r="Z22" s="2" t="n"/>
    </row>
    <row r="23" ht="15.75" customHeight="1" s="57">
      <c r="A23" s="78" t="inlineStr">
        <is>
          <t>MRPL</t>
        </is>
      </c>
      <c r="B23" s="78" t="inlineStr">
        <is>
          <t>MRPL</t>
        </is>
      </c>
      <c r="C23" s="78" t="inlineStr">
        <is>
          <t>2026-08-13</t>
        </is>
      </c>
      <c r="D23" s="78" t="n">
        <v>10</v>
      </c>
      <c r="E23" s="77" t="n">
        <v>174.7</v>
      </c>
      <c r="F23" s="77" t="n">
        <v>181.14</v>
      </c>
      <c r="G23" s="77" t="n">
        <v>-6.439999999999998</v>
      </c>
      <c r="H23" s="77" t="n">
        <v>213.09</v>
      </c>
      <c r="I23" s="77" t="n">
        <v>165.17</v>
      </c>
      <c r="J23" s="78" t="inlineStr">
        <is>
          <t>1:2.0</t>
        </is>
      </c>
      <c r="K23" s="78" t="inlineStr">
        <is>
          <t>2026-08-20</t>
        </is>
      </c>
      <c r="L23" s="78" t="n">
        <v>165.15</v>
      </c>
      <c r="M23" s="77">
        <f>IF(OR(N23="WIN", N23="LOSS"), (L23-E23)*D23, 0)</f>
        <v/>
      </c>
      <c r="N23" s="78" t="inlineStr">
        <is>
          <t>LOSS</t>
        </is>
      </c>
      <c r="O23" s="78" t="inlineStr">
        <is>
          <t>Auto-added SWING via AI recommendation. SL: 165.17, TP: 213.09 (Orders pending 5:30 AM due to Zerodha AMO maintenance).</t>
        </is>
      </c>
      <c r="P23" s="78" t="inlineStr">
        <is>
          <t>SWING</t>
        </is>
      </c>
      <c r="Q23" s="78" t="n"/>
      <c r="R23" s="78" t="n"/>
      <c r="S23" s="16">
        <f>IF(N23="OPEN", IFERROR(R23/(D23*E23), 0), IF(OR(N23="WIN", N23="LOSS"), IFERROR(M23/(D23*E23), 0), 0))</f>
        <v/>
      </c>
      <c r="T23" s="2" t="n"/>
      <c r="U23" s="2" t="n"/>
      <c r="V23" s="2" t="n"/>
      <c r="W23" s="2" t="n"/>
      <c r="X23" s="2" t="n"/>
      <c r="Y23" s="2" t="n"/>
      <c r="Z23" s="2" t="n"/>
    </row>
    <row r="24" ht="15.75" customHeight="1" s="57">
      <c r="A24" s="75" t="inlineStr">
        <is>
          <t>LENSKART</t>
        </is>
      </c>
      <c r="B24" s="75" t="inlineStr">
        <is>
          <t>LENSKART</t>
        </is>
      </c>
      <c r="C24" s="75" t="inlineStr">
        <is>
          <t>2026-08-13</t>
        </is>
      </c>
      <c r="D24" s="75" t="n">
        <v>4</v>
      </c>
      <c r="E24" s="74" t="n">
        <v>605</v>
      </c>
      <c r="F24" s="74" t="n">
        <v>589.2</v>
      </c>
      <c r="G24" s="74" t="n">
        <v>15.79999999999995</v>
      </c>
      <c r="H24" s="74" t="n">
        <v>646.8099999999999</v>
      </c>
      <c r="I24" s="74" t="n">
        <v>560.39</v>
      </c>
      <c r="J24" s="75" t="inlineStr">
        <is>
          <t>1:2.0</t>
        </is>
      </c>
      <c r="K24" s="75" t="inlineStr">
        <is>
          <t>2026-08-20</t>
        </is>
      </c>
      <c r="L24" s="75" t="n">
        <v>646.8</v>
      </c>
      <c r="M24" s="74">
        <f>IF(OR(N24="WIN", N24="LOSS"), (L24-E24)*D24, 0)</f>
        <v/>
      </c>
      <c r="N24" s="75" t="inlineStr">
        <is>
          <t>WIN</t>
        </is>
      </c>
      <c r="O24" s="75" t="inlineStr">
        <is>
          <t>Auto-added SWING via AI recommendation. SL: 560.39, TP: 646.81 (Orders pending 5:30 AM due to Zerodha AMO maintenance).</t>
        </is>
      </c>
      <c r="P24" s="75" t="inlineStr">
        <is>
          <t>SWING</t>
        </is>
      </c>
      <c r="Q24" s="75" t="n"/>
      <c r="R24" s="75" t="n"/>
      <c r="S24" s="16">
        <f>IF(N24="OPEN", IFERROR(R24/(D24*E24), 0), IF(OR(N24="WIN", N24="LOSS"), IFERROR(M24/(D24*E24), 0), 0))</f>
        <v/>
      </c>
      <c r="T24" s="2" t="n"/>
      <c r="U24" s="2" t="n"/>
      <c r="V24" s="2" t="n"/>
      <c r="W24" s="2" t="n"/>
      <c r="X24" s="2" t="n"/>
      <c r="Y24" s="2" t="n"/>
      <c r="Z24" s="2" t="n"/>
    </row>
    <row r="25" ht="15.75" customHeight="1" s="57">
      <c r="A25" s="2" t="inlineStr">
        <is>
          <t>OIL</t>
        </is>
      </c>
      <c r="B25" s="2" t="inlineStr">
        <is>
          <t>OIL</t>
        </is>
      </c>
      <c r="C25" s="2" t="inlineStr">
        <is>
          <t>2026-08-13</t>
        </is>
      </c>
      <c r="D25" s="2" t="n">
        <v>4</v>
      </c>
      <c r="E25" s="7" t="n">
        <v>473</v>
      </c>
      <c r="F25" s="7" t="n">
        <v>470.35</v>
      </c>
      <c r="G25" s="7" t="n">
        <v>2.649999999999977</v>
      </c>
      <c r="H25" s="7" t="n">
        <v>525.25</v>
      </c>
      <c r="I25" s="7" t="n">
        <v>442.9</v>
      </c>
      <c r="J25" s="2" t="inlineStr">
        <is>
          <t>1:2.0</t>
        </is>
      </c>
      <c r="K25" s="2" t="n"/>
      <c r="L25" s="2" t="n"/>
      <c r="M25" s="7">
        <f>IF(OR(N25="WIN", N25="LOSS"), (L25-E25)*D25, 0)</f>
        <v/>
      </c>
      <c r="N25" s="2" t="inlineStr">
        <is>
          <t>OPEN</t>
        </is>
      </c>
      <c r="O25" s="2" t="inlineStr">
        <is>
          <t>Auto-added SWING via AI recommendation. SL: 442.9, TP: 525.25 (Orders pending 5:30 AM due to Zerodha AMO maintenance).</t>
        </is>
      </c>
      <c r="P25" s="2" t="inlineStr">
        <is>
          <t>SWING</t>
        </is>
      </c>
      <c r="Q25" s="7" t="n">
        <v>475</v>
      </c>
      <c r="R25" s="7" t="n">
        <v>8</v>
      </c>
      <c r="S25" s="16">
        <f>IF(N25="OPEN", IFERROR(R25/(D25*E25), 0), IF(OR(N25="WIN", N25="LOSS"), IFERROR(M25/(D25*E25), 0), 0))</f>
        <v/>
      </c>
      <c r="T25" s="2" t="n"/>
      <c r="U25" s="2" t="n"/>
      <c r="V25" s="2" t="n"/>
      <c r="W25" s="2" t="n"/>
      <c r="X25" s="2" t="n"/>
      <c r="Y25" s="2" t="n"/>
      <c r="Z25" s="2" t="n"/>
    </row>
    <row r="26" ht="15.75" customHeight="1" s="57">
      <c r="A26" s="75" t="inlineStr">
        <is>
          <t>AARTIIND</t>
        </is>
      </c>
      <c r="B26" s="75" t="inlineStr">
        <is>
          <t>AARTIIND</t>
        </is>
      </c>
      <c r="C26" s="75" t="inlineStr">
        <is>
          <t>2026-08-13</t>
        </is>
      </c>
      <c r="D26" s="75" t="n">
        <v>4</v>
      </c>
      <c r="E26" s="74" t="n">
        <v>536</v>
      </c>
      <c r="F26" s="74" t="n">
        <v>532.3</v>
      </c>
      <c r="G26" s="74" t="n">
        <v>3.700000000000045</v>
      </c>
      <c r="H26" s="74" t="n">
        <v>562.65</v>
      </c>
      <c r="I26" s="74" t="n">
        <v>517.1</v>
      </c>
      <c r="J26" s="75" t="inlineStr">
        <is>
          <t>1:2.0</t>
        </is>
      </c>
      <c r="K26" s="75" t="inlineStr">
        <is>
          <t>2026-08-14</t>
        </is>
      </c>
      <c r="L26" s="74" t="n">
        <v>539.25</v>
      </c>
      <c r="M26" s="74">
        <f>IF(OR(N26="WIN", N26="LOSS"), (L26-E26)*D26, 0)</f>
        <v/>
      </c>
      <c r="N26" s="75" t="inlineStr">
        <is>
          <t>WIN</t>
        </is>
      </c>
      <c r="O26" s="75" t="inlineStr">
        <is>
          <t>Auto-added INTRADAY via AI recommendation. SL: 517.1, TP: 562.65 (Orders pending 5:30 AM due to Zerodha AMO maintenance). | Auto-synced from Zerodha account | Auto-synced sell from Zerodha account</t>
        </is>
      </c>
      <c r="P26" s="75" t="inlineStr">
        <is>
          <t>INTRADAY</t>
        </is>
      </c>
      <c r="Q26" s="75" t="n"/>
      <c r="R26" s="75" t="n"/>
      <c r="S26" s="16">
        <f>IF(N26="OPEN", IFERROR(R26/(D26*E26), 0), IF(OR(N26="WIN", N26="LOSS"), IFERROR(M26/(D26*E26), 0), 0))</f>
        <v/>
      </c>
      <c r="T26" s="2" t="n"/>
      <c r="U26" s="2" t="n"/>
      <c r="V26" s="2" t="n"/>
      <c r="W26" s="2" t="n"/>
      <c r="X26" s="2" t="n"/>
      <c r="Y26" s="2" t="n"/>
      <c r="Z26" s="2" t="n"/>
    </row>
    <row r="27" ht="15.75" customHeight="1" s="57">
      <c r="A27" s="78" t="inlineStr">
        <is>
          <t>SCHNEIDER</t>
        </is>
      </c>
      <c r="B27" s="78" t="inlineStr">
        <is>
          <t>SCHNEIDER</t>
        </is>
      </c>
      <c r="C27" s="78" t="inlineStr">
        <is>
          <t>2026-08-13</t>
        </is>
      </c>
      <c r="D27" s="78" t="n">
        <v>2</v>
      </c>
      <c r="E27" s="77" t="n">
        <v>1425</v>
      </c>
      <c r="F27" s="77" t="n">
        <v>1435</v>
      </c>
      <c r="G27" s="77" t="n">
        <v>-10</v>
      </c>
      <c r="H27" s="77" t="n">
        <v>1502.9</v>
      </c>
      <c r="I27" s="77" t="n">
        <v>1401.05</v>
      </c>
      <c r="J27" s="78" t="inlineStr">
        <is>
          <t>1:2.0</t>
        </is>
      </c>
      <c r="K27" s="78" t="inlineStr">
        <is>
          <t>2026-08-14</t>
        </is>
      </c>
      <c r="L27" s="77" t="n">
        <v>1401</v>
      </c>
      <c r="M27" s="77">
        <f>IF(OR(N27="WIN", N27="LOSS"), (L27-E27)*D27, 0)</f>
        <v/>
      </c>
      <c r="N27" s="78" t="inlineStr">
        <is>
          <t>LOSS</t>
        </is>
      </c>
      <c r="O27" s="78" t="inlineStr">
        <is>
          <t>Auto-added INTRADAY via AI recommendation. SL: 1401.05, TP: 1502.9 (Orders pending 5:30 AM due to Zerodha AMO maintenance). | Auto-synced from Zerodha account | Auto-synced sell from Zerodha account</t>
        </is>
      </c>
      <c r="P27" s="78" t="inlineStr">
        <is>
          <t>INTRADAY</t>
        </is>
      </c>
      <c r="Q27" s="78" t="n"/>
      <c r="R27" s="78" t="n"/>
      <c r="S27" s="16">
        <f>IF(N27="OPEN", IFERROR(R27/(D27*E27), 0), IF(OR(N27="WIN", N27="LOSS"), IFERROR(M27/(D27*E27), 0), 0))</f>
        <v/>
      </c>
      <c r="T27" s="2" t="n"/>
      <c r="U27" s="2" t="n"/>
      <c r="V27" s="2" t="n"/>
      <c r="W27" s="2" t="n"/>
      <c r="X27" s="2" t="n"/>
      <c r="Y27" s="2" t="n"/>
      <c r="Z27" s="2" t="n"/>
    </row>
    <row r="28" ht="15.75" customHeight="1" s="57">
      <c r="A28" s="2" t="inlineStr">
        <is>
          <t>JAIBALAJI</t>
        </is>
      </c>
      <c r="B28" s="2" t="inlineStr">
        <is>
          <t>Jai Balaji Industries Limited</t>
        </is>
      </c>
      <c r="C28" s="2" t="inlineStr">
        <is>
          <t>2026-08-14</t>
        </is>
      </c>
      <c r="D28" s="2" t="n">
        <v>8</v>
      </c>
      <c r="E28" s="7" t="n">
        <v>68.87</v>
      </c>
      <c r="F28" s="7" t="n">
        <v>68.87</v>
      </c>
      <c r="G28" s="7" t="n">
        <v>0</v>
      </c>
      <c r="H28" s="7" t="n">
        <v>81.37</v>
      </c>
      <c r="I28" s="7" t="n">
        <v>62.62</v>
      </c>
      <c r="J28" s="2" t="inlineStr">
        <is>
          <t>1:2.0</t>
        </is>
      </c>
      <c r="K28" s="2" t="n"/>
      <c r="L28" s="2" t="n"/>
      <c r="M28" s="7">
        <f>IF(OR(N28="WIN", N28="LOSS"), (L28-E28)*D28, 0)</f>
        <v/>
      </c>
      <c r="N28" s="2" t="inlineStr">
        <is>
          <t>OPEN</t>
        </is>
      </c>
      <c r="O28" s="2" t="inlineStr">
        <is>
          <t>Swing trade setup.</t>
        </is>
      </c>
      <c r="P28" s="2" t="inlineStr">
        <is>
          <t>SWING</t>
        </is>
      </c>
      <c r="Q28" s="7" t="n">
        <v>63.56999969482422</v>
      </c>
      <c r="R28" s="7" t="n">
        <v>-42.40000244140629</v>
      </c>
      <c r="S28" s="16">
        <f>IF(N28="OPEN", IFERROR(R28/(D28*E28), 0), IF(OR(N28="WIN", N28="LOSS"), IFERROR(M28/(D28*E28), 0), 0))</f>
        <v/>
      </c>
      <c r="T28" s="2" t="n"/>
      <c r="U28" s="2" t="n"/>
      <c r="V28" s="2" t="n"/>
      <c r="W28" s="2" t="n"/>
      <c r="X28" s="2" t="n"/>
      <c r="Y28" s="2" t="n"/>
      <c r="Z28" s="2" t="n"/>
    </row>
    <row r="29" ht="15.75" customHeight="1" s="57">
      <c r="A29" s="2" t="inlineStr">
        <is>
          <t>IOLCP</t>
        </is>
      </c>
      <c r="B29" s="2" t="inlineStr">
        <is>
          <t>IOL Chemicals and Pharmaceuticals Limited</t>
        </is>
      </c>
      <c r="C29" s="2" t="inlineStr">
        <is>
          <t>2026-08-14</t>
        </is>
      </c>
      <c r="D29" s="2" t="n">
        <v>10</v>
      </c>
      <c r="E29" s="7" t="n">
        <v>166.02</v>
      </c>
      <c r="F29" s="7" t="n">
        <v>166.02</v>
      </c>
      <c r="G29" s="7" t="n">
        <v>0</v>
      </c>
      <c r="H29" s="7" t="n">
        <v>197.93</v>
      </c>
      <c r="I29" s="7" t="n">
        <v>150.06</v>
      </c>
      <c r="J29" s="2" t="inlineStr">
        <is>
          <t>1:2.0</t>
        </is>
      </c>
      <c r="K29" s="2" t="n"/>
      <c r="L29" s="2" t="n"/>
      <c r="M29" s="7">
        <f>IF(OR(N29="WIN", N29="LOSS"), (L29-E29)*D29, 0)</f>
        <v/>
      </c>
      <c r="N29" s="2" t="inlineStr">
        <is>
          <t>OPEN</t>
        </is>
      </c>
      <c r="O29" s="2" t="inlineStr">
        <is>
          <t>Swing trade setup.</t>
        </is>
      </c>
      <c r="P29" s="2" t="inlineStr">
        <is>
          <t>SWING</t>
        </is>
      </c>
      <c r="Q29" s="7" t="n">
        <v>169.5200042724609</v>
      </c>
      <c r="R29" s="7" t="n">
        <v>35.00004272460927</v>
      </c>
      <c r="S29" s="16">
        <f>IF(N29="OPEN", IFERROR(R29/(D29*E29), 0), IF(OR(N29="WIN", N29="LOSS"), IFERROR(M29/(D29*E29), 0), 0))</f>
        <v/>
      </c>
      <c r="T29" s="2" t="n"/>
      <c r="U29" s="2" t="n"/>
      <c r="V29" s="2" t="n"/>
      <c r="W29" s="2" t="n"/>
      <c r="X29" s="2" t="n"/>
      <c r="Y29" s="2" t="n"/>
      <c r="Z29" s="2" t="n"/>
    </row>
    <row r="30" ht="15.75" customHeight="1" s="57">
      <c r="A30" s="78" t="inlineStr">
        <is>
          <t>BHARATSE</t>
        </is>
      </c>
      <c r="B30" s="78" t="inlineStr">
        <is>
          <t>Bharat Seats Limited</t>
        </is>
      </c>
      <c r="C30" s="78" t="inlineStr">
        <is>
          <t>2026-08-14</t>
        </is>
      </c>
      <c r="D30" s="78" t="n">
        <v>6</v>
      </c>
      <c r="E30" s="77" t="n">
        <v>245.25</v>
      </c>
      <c r="F30" s="77" t="n">
        <v>245.25</v>
      </c>
      <c r="G30" s="77" t="n">
        <v>0</v>
      </c>
      <c r="H30" s="77" t="n">
        <v>297.64</v>
      </c>
      <c r="I30" s="77" t="n">
        <v>219.06</v>
      </c>
      <c r="J30" s="78" t="inlineStr">
        <is>
          <t>1:2.0</t>
        </is>
      </c>
      <c r="K30" s="78" t="inlineStr">
        <is>
          <t>2026-08-21</t>
        </is>
      </c>
      <c r="L30" s="77" t="n">
        <v>230.26</v>
      </c>
      <c r="M30" s="77">
        <f>IF(OR(N30="WIN", N30="LOSS"), (L30-E30)*D30, 0)</f>
        <v/>
      </c>
      <c r="N30" s="78" t="inlineStr">
        <is>
          <t>LOSS</t>
        </is>
      </c>
      <c r="O30" s="78" t="inlineStr">
        <is>
          <t>Swing trade setup. | Sold manually on 2026-08-20</t>
        </is>
      </c>
      <c r="P30" s="78" t="inlineStr">
        <is>
          <t>SWING</t>
        </is>
      </c>
      <c r="Q30" s="78" t="n"/>
      <c r="R30" s="78" t="n"/>
      <c r="S30" s="16">
        <f>IF(N30="OPEN", IFERROR(R30/(D30*E30), 0), IF(OR(N30="WIN", N30="LOSS"), IFERROR(M30/(D30*E30), 0), 0))</f>
        <v/>
      </c>
      <c r="T30" s="2" t="n"/>
      <c r="U30" s="2" t="n"/>
      <c r="V30" s="2" t="n"/>
      <c r="W30" s="2" t="n"/>
      <c r="X30" s="2" t="n"/>
      <c r="Y30" s="2" t="n"/>
      <c r="Z30" s="2" t="n"/>
    </row>
    <row r="31" ht="15.75" customHeight="1" s="57">
      <c r="A31" s="6" t="inlineStr">
        <is>
          <t>HAPPSTMNDS</t>
        </is>
      </c>
      <c r="B31" s="6" t="inlineStr">
        <is>
          <t>Happiest Minds</t>
        </is>
      </c>
      <c r="C31" s="6" t="inlineStr">
        <is>
          <t>2026-08-18</t>
        </is>
      </c>
      <c r="D31" s="6" t="n">
        <v>3</v>
      </c>
      <c r="E31" s="6" t="n">
        <v>426.8</v>
      </c>
      <c r="F31" s="6" t="n">
        <v>426.8</v>
      </c>
      <c r="G31" s="6" t="n">
        <v>0</v>
      </c>
      <c r="H31" s="6" t="n">
        <v>500</v>
      </c>
      <c r="I31" s="6" t="n">
        <v>400</v>
      </c>
      <c r="J31" s="2" t="n"/>
      <c r="K31" s="2" t="n"/>
      <c r="L31" s="2" t="n"/>
      <c r="M31" s="2">
        <f>IF(OR(N31="WIN", N31="LOSS"), (L31-E31)*D31, 0)</f>
        <v/>
      </c>
      <c r="N31" s="6" t="inlineStr">
        <is>
          <t>OPEN</t>
        </is>
      </c>
      <c r="O31" s="2" t="n"/>
      <c r="P31" s="6" t="inlineStr">
        <is>
          <t>SWING</t>
        </is>
      </c>
      <c r="Q31" s="7" t="n">
        <v>444.5499877929688</v>
      </c>
      <c r="R31" s="7" t="n">
        <v>53.24996337890622</v>
      </c>
      <c r="S31" s="16">
        <f>IF(N31="OPEN", IFERROR(R31/(D31*E31), 0), IF(OR(N31="WIN", N31="LOSS"), IFERROR(M31/(D31*E31), 0), 0))</f>
        <v/>
      </c>
      <c r="T31" s="2" t="n"/>
      <c r="U31" s="2" t="n"/>
      <c r="V31" s="2" t="n"/>
      <c r="W31" s="2" t="n"/>
      <c r="X31" s="2" t="n"/>
      <c r="Y31" s="2" t="n"/>
      <c r="Z31" s="2" t="n"/>
    </row>
    <row r="32" ht="15.75" customHeight="1" s="57">
      <c r="A32" s="6" t="inlineStr">
        <is>
          <t>ZEEMEDIA</t>
        </is>
      </c>
      <c r="B32" s="6" t="inlineStr">
        <is>
          <t>Zee Media</t>
        </is>
      </c>
      <c r="C32" s="6" t="inlineStr">
        <is>
          <t>2026-08-18</t>
        </is>
      </c>
      <c r="D32" s="6" t="n">
        <v>150</v>
      </c>
      <c r="E32" s="6" t="n">
        <v>9.699999999999999</v>
      </c>
      <c r="F32" s="6" t="n">
        <v>9.699999999999999</v>
      </c>
      <c r="G32" s="6" t="n">
        <v>0</v>
      </c>
      <c r="H32" s="6" t="n">
        <v>15</v>
      </c>
      <c r="I32" s="6" t="n">
        <v>8</v>
      </c>
      <c r="J32" s="2" t="n"/>
      <c r="K32" s="2" t="n"/>
      <c r="L32" s="2" t="n"/>
      <c r="M32" s="2">
        <f>IF(OR(N32="WIN", N32="LOSS"), (L32-E32)*D32, 0)</f>
        <v/>
      </c>
      <c r="N32" s="6" t="inlineStr">
        <is>
          <t>OPEN</t>
        </is>
      </c>
      <c r="O32" s="2" t="n"/>
      <c r="P32" s="6" t="inlineStr">
        <is>
          <t>SWING</t>
        </is>
      </c>
      <c r="Q32" s="7" t="n">
        <v>9.380000114440918</v>
      </c>
      <c r="R32" s="7" t="n">
        <v>-47.9999828338622</v>
      </c>
      <c r="S32" s="16">
        <f>IF(N32="OPEN", IFERROR(R32/(D32*E32), 0), IF(OR(N32="WIN", N32="LOSS"), IFERROR(M32/(D32*E32), 0), 0))</f>
        <v/>
      </c>
      <c r="T32" s="2" t="n"/>
      <c r="U32" s="2" t="n"/>
      <c r="V32" s="2" t="n"/>
      <c r="W32" s="2" t="n"/>
      <c r="X32" s="2" t="n"/>
      <c r="Y32" s="2" t="n"/>
      <c r="Z32" s="2" t="n"/>
    </row>
    <row r="33" ht="15.75" customHeight="1" s="57">
      <c r="A33" s="83" t="inlineStr">
        <is>
          <t>APEX</t>
        </is>
      </c>
      <c r="B33" s="83" t="inlineStr">
        <is>
          <t>Apex Frozen</t>
        </is>
      </c>
      <c r="C33" s="83" t="inlineStr">
        <is>
          <t>2026-08-18</t>
        </is>
      </c>
      <c r="D33" s="83" t="n">
        <v>3</v>
      </c>
      <c r="E33" s="83" t="n">
        <v>422.55</v>
      </c>
      <c r="F33" s="83" t="n">
        <v>422.55</v>
      </c>
      <c r="G33" s="83" t="n">
        <v>0</v>
      </c>
      <c r="H33" s="83" t="n">
        <v>500</v>
      </c>
      <c r="I33" s="83" t="n">
        <v>400</v>
      </c>
      <c r="J33" s="78" t="n"/>
      <c r="K33" s="78" t="inlineStr">
        <is>
          <t>2026-08-20</t>
        </is>
      </c>
      <c r="L33" s="78" t="n">
        <v>400</v>
      </c>
      <c r="M33" s="78">
        <f>IF(OR(N33="WIN", N33="LOSS"), (L33-E33)*D33, 0)</f>
        <v/>
      </c>
      <c r="N33" s="83" t="inlineStr">
        <is>
          <t>LOSS</t>
        </is>
      </c>
      <c r="O33" s="78" t="n"/>
      <c r="P33" s="83" t="inlineStr">
        <is>
          <t>SWING</t>
        </is>
      </c>
      <c r="Q33" s="78" t="n"/>
      <c r="R33" s="78" t="n"/>
      <c r="S33" s="16">
        <f>IF(N33="OPEN", IFERROR(R33/(D33*E33), 0), IF(OR(N33="WIN", N33="LOSS"), IFERROR(M33/(D33*E33), 0), 0))</f>
        <v/>
      </c>
      <c r="T33" s="2" t="n"/>
      <c r="U33" s="2" t="n"/>
      <c r="V33" s="2" t="n"/>
      <c r="W33" s="2" t="n"/>
      <c r="X33" s="2" t="n"/>
      <c r="Y33" s="2" t="n"/>
      <c r="Z33" s="2" t="n"/>
    </row>
    <row r="34" ht="15.75" customHeight="1" s="57">
      <c r="A34" s="6" t="inlineStr">
        <is>
          <t>GAYAPROJ-BE</t>
        </is>
      </c>
      <c r="B34" s="6" t="inlineStr">
        <is>
          <t>Gayatri Projects</t>
        </is>
      </c>
      <c r="C34" s="6" t="inlineStr">
        <is>
          <t>2026-08-18</t>
        </is>
      </c>
      <c r="D34" s="6" t="n">
        <v>100</v>
      </c>
      <c r="E34" s="6" t="n">
        <v>21.8</v>
      </c>
      <c r="F34" s="6" t="n">
        <v>22.2</v>
      </c>
      <c r="G34" s="6" t="n">
        <v>-0.3999999999999986</v>
      </c>
      <c r="H34" s="6" t="n">
        <v>26.55</v>
      </c>
      <c r="I34" s="6" t="n">
        <v>20</v>
      </c>
      <c r="J34" s="2" t="n"/>
      <c r="K34" s="2" t="n"/>
      <c r="L34" s="2" t="n"/>
      <c r="M34" s="2">
        <f>IF(OR(N34="WIN", N34="LOSS"), (L34-E34)*D34, 0)</f>
        <v/>
      </c>
      <c r="N34" s="6" t="inlineStr">
        <is>
          <t>OPEN</t>
        </is>
      </c>
      <c r="O34" s="2" t="n"/>
      <c r="P34" s="6" t="inlineStr">
        <is>
          <t>SWING</t>
        </is>
      </c>
      <c r="Q34" s="2" t="n"/>
      <c r="R34" s="2" t="n"/>
      <c r="S34" s="16">
        <f>IF(N34="OPEN", IFERROR(R34/(D34*E34), 0), IF(OR(N34="WIN", N34="LOSS"), IFERROR(M34/(D34*E34), 0), 0))</f>
        <v/>
      </c>
      <c r="T34" s="2" t="n"/>
      <c r="U34" s="2" t="n"/>
      <c r="V34" s="2" t="n"/>
      <c r="W34" s="2" t="n"/>
      <c r="X34" s="2" t="n"/>
      <c r="Y34" s="2" t="n"/>
      <c r="Z34" s="2" t="n"/>
    </row>
    <row r="35" ht="15.75" customHeight="1" s="57">
      <c r="A35" s="2" t="inlineStr">
        <is>
          <t>THELEELA</t>
        </is>
      </c>
      <c r="B35" s="2" t="inlineStr">
        <is>
          <t>THELEELA</t>
        </is>
      </c>
      <c r="C35" s="2" t="inlineStr">
        <is>
          <t>2026-08-20</t>
        </is>
      </c>
      <c r="D35" s="2" t="n">
        <v>4</v>
      </c>
      <c r="E35" s="7" t="n">
        <v>539.3</v>
      </c>
      <c r="F35" s="7" t="n">
        <v>539.3</v>
      </c>
      <c r="G35" s="7" t="n">
        <v>0</v>
      </c>
      <c r="H35" s="7" t="n">
        <v>640.46</v>
      </c>
      <c r="I35" s="7" t="n">
        <v>498.76</v>
      </c>
      <c r="J35" s="2" t="inlineStr">
        <is>
          <t>1:2.5</t>
        </is>
      </c>
      <c r="K35" s="2" t="n"/>
      <c r="L35" s="2" t="n"/>
      <c r="M35" s="7">
        <f>IF(OR(N35="WIN", N35="LOSS"), (L35-E35)*D35, 0)</f>
        <v/>
      </c>
      <c r="N35" s="2" t="inlineStr">
        <is>
          <t>OPEN</t>
        </is>
      </c>
      <c r="O35" s="2" t="inlineStr">
        <is>
          <t>Manual Override (Cash Only Regime). GTT Trigger: UNKNOWN</t>
        </is>
      </c>
      <c r="P35" s="2" t="inlineStr">
        <is>
          <t>SWING</t>
        </is>
      </c>
      <c r="Q35" s="7" t="n">
        <v>561.7000122070312</v>
      </c>
      <c r="R35" s="7" t="n">
        <v>89.60004882812518</v>
      </c>
      <c r="S35" s="16">
        <f>IF(N35="OPEN", IFERROR(R35/(D35*E35), 0), IF(OR(N35="WIN", N35="LOSS"), IFERROR(M35/(D35*E35), 0), 0))</f>
        <v/>
      </c>
      <c r="T35" s="2" t="n"/>
      <c r="U35" s="2" t="n"/>
      <c r="V35" s="2" t="n"/>
      <c r="W35" s="2" t="n"/>
      <c r="X35" s="2" t="n"/>
      <c r="Y35" s="2" t="n"/>
      <c r="Z35" s="2" t="n"/>
    </row>
    <row r="36" ht="15.75" customHeight="1" s="57">
      <c r="A36" s="2" t="inlineStr">
        <is>
          <t>KFINTECH</t>
        </is>
      </c>
      <c r="B36" s="2" t="inlineStr">
        <is>
          <t>KFin Technologies Limited</t>
        </is>
      </c>
      <c r="C36" s="2" t="inlineStr">
        <is>
          <t>2026-08-21</t>
        </is>
      </c>
      <c r="D36" s="2" t="n">
        <v>2</v>
      </c>
      <c r="E36" s="7" t="n">
        <v>963</v>
      </c>
      <c r="F36" s="7" t="n">
        <v>961</v>
      </c>
      <c r="G36" s="7" t="n">
        <v>0</v>
      </c>
      <c r="H36" s="7" t="n">
        <v>1086.64</v>
      </c>
      <c r="I36" s="7" t="n">
        <v>910.74</v>
      </c>
      <c r="J36" s="2" t="inlineStr">
        <is>
          <t>1:2.5</t>
        </is>
      </c>
      <c r="K36" s="2" t="n"/>
      <c r="L36" s="2" t="n"/>
      <c r="M36" s="7">
        <f>IF(OR(N36="WIN", N36="LOSS"), (L36-E36)*D36, 0)</f>
        <v/>
      </c>
      <c r="N36" s="2" t="inlineStr">
        <is>
          <t>OPEN</t>
        </is>
      </c>
      <c r="O36" s="2" t="inlineStr">
        <is>
          <t>Swing Trade. GTT Trigger: UNKNOWN</t>
        </is>
      </c>
      <c r="P36" s="2" t="inlineStr">
        <is>
          <t>SWING</t>
        </is>
      </c>
      <c r="Q36" s="7" t="n">
        <v>980</v>
      </c>
      <c r="R36" s="7" t="n">
        <v>34</v>
      </c>
      <c r="S36" s="16">
        <f>IF(N36="OPEN", IFERROR(R36/(D36*E36), 0), IF(OR(N36="WIN", N36="LOSS"), IFERROR(M36/(D36*E36), 0), 0))</f>
        <v/>
      </c>
      <c r="T36" s="2" t="n"/>
      <c r="U36" s="2" t="n"/>
      <c r="V36" s="2" t="n"/>
      <c r="W36" s="2" t="n"/>
      <c r="X36" s="2" t="n"/>
      <c r="Y36" s="2" t="n"/>
      <c r="Z36" s="2" t="n"/>
    </row>
    <row r="37" ht="15.75" customHeight="1" s="57">
      <c r="A37" s="2" t="inlineStr">
        <is>
          <t>BOROLTD</t>
        </is>
      </c>
      <c r="B37" s="2" t="inlineStr">
        <is>
          <t>Borosil Limited</t>
        </is>
      </c>
      <c r="C37" s="2" t="inlineStr">
        <is>
          <t>2026-08-21</t>
        </is>
      </c>
      <c r="D37" s="2" t="n">
        <v>10</v>
      </c>
      <c r="E37" s="7" t="n">
        <v>258</v>
      </c>
      <c r="F37" s="7" t="n">
        <v>248.11</v>
      </c>
      <c r="G37" s="7" t="n">
        <v>0</v>
      </c>
      <c r="H37" s="7" t="n">
        <v>295.15</v>
      </c>
      <c r="I37" s="7" t="n">
        <v>229.3</v>
      </c>
      <c r="J37" s="2" t="inlineStr">
        <is>
          <t>1:2.5</t>
        </is>
      </c>
      <c r="K37" s="2" t="n"/>
      <c r="L37" s="2" t="n"/>
      <c r="M37" s="7">
        <f>IF(OR(N37="WIN", N37="LOSS"), (L37-E37)*D37, 0)</f>
        <v/>
      </c>
      <c r="N37" s="2" t="inlineStr">
        <is>
          <t>OPEN</t>
        </is>
      </c>
      <c r="O37" s="2" t="inlineStr">
        <is>
          <t>AMO Swing Trade</t>
        </is>
      </c>
      <c r="P37" s="2" t="inlineStr">
        <is>
          <t>SWING</t>
        </is>
      </c>
      <c r="Q37" s="7" t="n">
        <v>254.1799926757812</v>
      </c>
      <c r="R37" s="7" t="n">
        <v>-38.2000732421875</v>
      </c>
      <c r="S37" s="16">
        <f>IF(N37="OPEN", IFERROR(R37/(D37*E37), 0), IF(OR(N37="WIN", N37="LOSS"), IFERROR(M37/(D37*E37), 0), 0))</f>
        <v/>
      </c>
      <c r="T37" s="2" t="n"/>
      <c r="U37" s="2" t="n"/>
      <c r="V37" s="2" t="n"/>
      <c r="W37" s="2" t="n"/>
      <c r="X37" s="2" t="n"/>
      <c r="Y37" s="2" t="n"/>
      <c r="Z37" s="2" t="n"/>
    </row>
    <row r="38" ht="15.75" customHeight="1" s="57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>
        <f>IF(OR(N53="WIN", N53="LOSS"), (L53-E53)*D53, 0)</f>
        <v/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57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>
        <f>IF(OR(N54="WIN", N54="LOSS"), (L54-E54)*D54, 0)</f>
        <v/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57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>
        <f>IF(OR(N55="WIN", N55="LOSS"), (L55-E55)*D55, 0)</f>
        <v/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5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>
        <f>IF(OR(N56="WIN", N56="LOSS"), (L56-E56)*D56, 0)</f>
        <v/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57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>
        <f>IF(OR(N57="WIN", N57="LOSS"), (L57-E57)*D57, 0)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57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>
        <f>IF(OR(N58="WIN", N58="LOSS"), (L58-E58)*D58, 0)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57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>
        <f>IF(OR(N59="WIN", N59="LOSS"), (L59-E59)*D59, 0)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57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>
        <f>IF(OR(N60="WIN", N60="LOSS"), (L60-E60)*D60, 0)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5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>
        <f>IF(OR(N61="WIN", N61="LOSS"), (L61-E61)*D61, 0)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5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>
        <f>IF(OR(N62="WIN", N62="LOSS"), (L62-E62)*D62, 0)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5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>
        <f>IF(OR(N63="WIN", N63="LOSS"), (L63-E63)*D63, 0)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5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>
        <f>IF(OR(N64="WIN", N64="LOSS"), (L64-E64)*D64, 0)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5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>
        <f>IF(OR(N65="WIN", N65="LOSS"), (L65-E65)*D65, 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5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>
        <f>IF(OR(N66="WIN", N66="LOSS"), (L66-E66)*D66, 0)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5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>
        <f>IF(OR(N67="WIN", N67="LOSS"), (L67-E67)*D67, 0)</f>
        <v/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5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>
        <f>IF(OR(N68="WIN", N68="LOSS"), (L68-E68)*D68, 0)</f>
        <v/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5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>
        <f>IF(OR(N69="WIN", N69="LOSS"), (L69-E69)*D69, 0)</f>
        <v/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5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>
        <f>IF(OR(N70="WIN", N70="LOSS"), (L70-E70)*D70, 0)</f>
        <v/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5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>
        <f>IF(OR(N71="WIN", N71="LOSS"), (L71-E71)*D71, 0)</f>
        <v/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>
        <f>IF(OR(N72="WIN", N72="LOSS"), (L72-E72)*D72, 0)</f>
        <v/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5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>
        <f>IF(OR(N73="WIN", N73="LOSS"), (L73-E73)*D73, 0)</f>
        <v/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5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>
        <f>IF(OR(N74="WIN", N74="LOSS"), (L74-E74)*D74, 0)</f>
        <v/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5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>
        <f>IF(OR(N75="WIN", N75="LOSS"), (L75-E75)*D75, 0)</f>
        <v/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5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>
        <f>IF(OR(N76="WIN", N76="LOSS"), (L76-E76)*D76, 0)</f>
        <v/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5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>
        <f>IF(OR(N77="WIN", N77="LOSS"), (L77-E77)*D77, 0)</f>
        <v/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5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>
        <f>IF(OR(N78="WIN", N78="LOSS"), (L78-E78)*D78, 0)</f>
        <v/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5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>
        <f>IF(OR(N79="WIN", N79="LOSS"), (L79-E79)*D79, 0)</f>
        <v/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5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>
        <f>IF(OR(N80="WIN", N80="LOSS"), (L80-E80)*D80, 0)</f>
        <v/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5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>
        <f>IF(OR(N81="WIN", N81="LOSS"), (L81-E81)*D81, 0)</f>
        <v/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5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>
        <f>IF(OR(N82="WIN", N82="LOSS"), (L82-E82)*D82, 0)</f>
        <v/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5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>
        <f>IF(OR(N83="WIN", N83="LOSS"), (L83-E83)*D83, 0)</f>
        <v/>
      </c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5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>
        <f>IF(OR(N84="WIN", N84="LOSS"), (L84-E84)*D84, 0)</f>
        <v/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5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>
        <f>IF(OR(N85="WIN", N85="LOSS"), (L85-E85)*D85, 0)</f>
        <v/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5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>
        <f>IF(OR(N86="WIN", N86="LOSS"), (L86-E86)*D86, 0)</f>
        <v/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5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>
        <f>IF(OR(N87="WIN", N87="LOSS"), (L87-E87)*D87, 0)</f>
        <v/>
      </c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5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>
        <f>IF(OR(N88="WIN", N88="LOSS"), (L88-E88)*D88, 0)</f>
        <v/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5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>
        <f>IF(OR(N89="WIN", N89="LOSS"), (L89-E89)*D89, 0)</f>
        <v/>
      </c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5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>
        <f>IF(OR(N90="WIN", N90="LOSS"), (L90-E90)*D90, 0)</f>
        <v/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5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>
        <f>IF(OR(N91="WIN", N91="LOSS"), (L91-E91)*D91, 0)</f>
        <v/>
      </c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5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>
        <f>IF(OR(N92="WIN", N92="LOSS"), (L92-E92)*D92, 0)</f>
        <v/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5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>
        <f>IF(OR(N93="WIN", N93="LOSS"), (L93-E93)*D93, 0)</f>
        <v/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5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>
        <f>IF(OR(N94="WIN", N94="LOSS"), (L94-E94)*D94, 0)</f>
        <v/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5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>
        <f>IF(OR(N95="WIN", N95="LOSS"), (L95-E95)*D95, 0)</f>
        <v/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5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>
        <f>IF(OR(N96="WIN", N96="LOSS"), (L96-E96)*D96, 0)</f>
        <v/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5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>
        <f>IF(OR(N97="WIN", N97="LOSS"), (L97-E97)*D97, 0)</f>
        <v/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5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>
        <f>IF(OR(N98="WIN", N98="LOSS"), (L98-E98)*D98, 0)</f>
        <v/>
      </c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5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>
        <f>IF(OR(N99="WIN", N99="LOSS"), (L99-E99)*D99, 0)</f>
        <v/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5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>
        <f>IF(OR(N100="WIN", N100="LOSS"), (L100-E100)*D100, 0)</f>
        <v/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5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>
        <f>IF(OR(N101="WIN", N101="LOSS"), (L101-E101)*D101, 0)</f>
        <v/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5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>
        <f>IF(OR(N102="WIN", N102="LOSS"), (L102-E102)*D102, 0)</f>
        <v/>
      </c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5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>
        <f>IF(OR(N103="WIN", N103="LOSS"), (L103-E103)*D103, 0)</f>
        <v/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5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>
        <f>IF(OR(N104="WIN", N104="LOSS"), (L104-E104)*D104, 0)</f>
        <v/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5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>
        <f>IF(OR(N105="WIN", N105="LOSS"), (L105-E105)*D105, 0)</f>
        <v/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5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>
        <f>IF(OR(N106="WIN", N106="LOSS"), (L106-E106)*D106, 0)</f>
        <v/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5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>
        <f>IF(OR(N107="WIN", N107="LOSS"), (L107-E107)*D107, 0)</f>
        <v/>
      </c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5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>
        <f>IF(OR(N108="WIN", N108="LOSS"), (L108-E108)*D108, 0)</f>
        <v/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5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>
        <f>IF(OR(N109="WIN", N109="LOSS"), (L109-E109)*D109, 0)</f>
        <v/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5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>
        <f>IF(OR(N110="WIN", N110="LOSS"), (L110-E110)*D110, 0)</f>
        <v/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5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>
        <f>IF(OR(N111="WIN", N111="LOSS"), (L111-E111)*D111, 0)</f>
        <v/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5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>
        <f>IF(OR(N112="WIN", N112="LOSS"), (L112-E112)*D112, 0)</f>
        <v/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5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>
        <f>IF(OR(N113="WIN", N113="LOSS"), (L113-E113)*D113, 0)</f>
        <v/>
      </c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5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>
        <f>IF(OR(N114="WIN", N114="LOSS"), (L114-E114)*D114, 0)</f>
        <v/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5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>
        <f>IF(OR(N115="WIN", N115="LOSS"), (L115-E115)*D115, 0)</f>
        <v/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5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>
        <f>IF(OR(N116="WIN", N116="LOSS"), (L116-E116)*D116, 0)</f>
        <v/>
      </c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5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>
        <f>IF(OR(N117="WIN", N117="LOSS"), (L117-E117)*D117, 0)</f>
        <v/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5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>
        <f>IF(OR(N118="WIN", N118="LOSS"), (L118-E118)*D118, 0)</f>
        <v/>
      </c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5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>
        <f>IF(OR(N119="WIN", N119="LOSS"), (L119-E119)*D119, 0)</f>
        <v/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5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>
        <f>IF(OR(N120="WIN", N120="LOSS"), (L120-E120)*D120, 0)</f>
        <v/>
      </c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5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>
        <f>IF(OR(N121="WIN", N121="LOSS"), (L121-E121)*D121, 0)</f>
        <v/>
      </c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5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>
        <f>IF(OR(N122="WIN", N122="LOSS"), (L122-E122)*D122, 0)</f>
        <v/>
      </c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5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>
        <f>IF(OR(N123="WIN", N123="LOSS"), (L123-E123)*D123, 0)</f>
        <v/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5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>
        <f>IF(OR(N124="WIN", N124="LOSS"), (L124-E124)*D124, 0)</f>
        <v/>
      </c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5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>
        <f>IF(OR(N125="WIN", N125="LOSS"), (L125-E125)*D125, 0)</f>
        <v/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5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>
        <f>IF(OR(N126="WIN", N126="LOSS"), (L126-E126)*D126, 0)</f>
        <v/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5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>
        <f>IF(OR(N127="WIN", N127="LOSS"), (L127-E127)*D127, 0)</f>
        <v/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5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>
        <f>IF(OR(N128="WIN", N128="LOSS"), (L128-E128)*D128, 0)</f>
        <v/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5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>
        <f>IF(OR(N129="WIN", N129="LOSS"), (L129-E129)*D129, 0)</f>
        <v/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5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>
        <f>IF(OR(N130="WIN", N130="LOSS"), (L130-E130)*D130, 0)</f>
        <v/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5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>
        <f>IF(OR(N131="WIN", N131="LOSS"), (L131-E131)*D131, 0)</f>
        <v/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5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>
        <f>IF(OR(N132="WIN", N132="LOSS"), (L132-E132)*D132, 0)</f>
        <v/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5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>
        <f>IF(OR(N133="WIN", N133="LOSS"), (L133-E133)*D133, 0)</f>
        <v/>
      </c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5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>
        <f>IF(OR(N134="WIN", N134="LOSS"), (L134-E134)*D134, 0)</f>
        <v/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5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>
        <f>IF(OR(N135="WIN", N135="LOSS"), (L135-E135)*D135, 0)</f>
        <v/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5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>
        <f>IF(OR(N136="WIN", N136="LOSS"), (L136-E136)*D136, 0)</f>
        <v/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5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>
        <f>IF(OR(N137="WIN", N137="LOSS"), (L137-E137)*D137, 0)</f>
        <v/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5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>
        <f>IF(OR(N138="WIN", N138="LOSS"), (L138-E138)*D138, 0)</f>
        <v/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5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>
        <f>IF(OR(N139="WIN", N139="LOSS"), (L139-E139)*D139, 0)</f>
        <v/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5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>
        <f>IF(OR(N140="WIN", N140="LOSS"), (L140-E140)*D140, 0)</f>
        <v/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5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>
        <f>IF(OR(N141="WIN", N141="LOSS"), (L141-E141)*D141, 0)</f>
        <v/>
      </c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5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>
        <f>IF(OR(N142="WIN", N142="LOSS"), (L142-E142)*D142, 0)</f>
        <v/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5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>
        <f>IF(OR(N143="WIN", N143="LOSS"), (L143-E143)*D143, 0)</f>
        <v/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5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>
        <f>IF(OR(N144="WIN", N144="LOSS"), (L144-E144)*D144, 0)</f>
        <v/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5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>
        <f>IF(OR(N145="WIN", N145="LOSS"), (L145-E145)*D145, 0)</f>
        <v/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5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>
        <f>IF(OR(N146="WIN", N146="LOSS"), (L146-E146)*D146, 0)</f>
        <v/>
      </c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5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>
        <f>IF(OR(N147="WIN", N147="LOSS"), (L147-E147)*D147, 0)</f>
        <v/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5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>
        <f>IF(OR(N148="WIN", N148="LOSS"), (L148-E148)*D148, 0)</f>
        <v/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5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>
        <f>IF(OR(N149="WIN", N149="LOSS"), (L149-E149)*D149, 0)</f>
        <v/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5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>
        <f>IF(OR(N150="WIN", N150="LOSS"), (L150-E150)*D150, 0)</f>
        <v/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5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>
        <f>IF(OR(N151="WIN", N151="LOSS"), (L151-E151)*D151, 0)</f>
        <v/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5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>
        <f>IF(OR(N152="WIN", N152="LOSS"), (L152-E152)*D152, 0)</f>
        <v/>
      </c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5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>
        <f>IF(OR(N153="WIN", N153="LOSS"), (L153-E153)*D153, 0)</f>
        <v/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5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>
        <f>IF(OR(N154="WIN", N154="LOSS"), (L154-E154)*D154, 0)</f>
        <v/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5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>
        <f>IF(OR(N155="WIN", N155="LOSS"), (L155-E155)*D155, 0)</f>
        <v/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5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>
        <f>IF(OR(N156="WIN", N156="LOSS"), (L156-E156)*D156, 0)</f>
        <v/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5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>
        <f>IF(OR(N157="WIN", N157="LOSS"), (L157-E157)*D157, 0)</f>
        <v/>
      </c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5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>
        <f>IF(OR(N158="WIN", N158="LOSS"), (L158-E158)*D158, 0)</f>
        <v/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5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>
        <f>IF(OR(N159="WIN", N159="LOSS"), (L159-E159)*D159, 0)</f>
        <v/>
      </c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5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>
        <f>IF(OR(N160="WIN", N160="LOSS"), (L160-E160)*D160, 0)</f>
        <v/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5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>
        <f>IF(OR(N161="WIN", N161="LOSS"), (L161-E161)*D161, 0)</f>
        <v/>
      </c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5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>
        <f>IF(OR(N162="WIN", N162="LOSS"), (L162-E162)*D162, 0)</f>
        <v/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5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>
        <f>IF(OR(N163="WIN", N163="LOSS"), (L163-E163)*D163, 0)</f>
        <v/>
      </c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5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>
        <f>IF(OR(N164="WIN", N164="LOSS"), (L164-E164)*D164, 0)</f>
        <v/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5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>
        <f>IF(OR(N165="WIN", N165="LOSS"), (L165-E165)*D165, 0)</f>
        <v/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5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>
        <f>IF(OR(N166="WIN", N166="LOSS"), (L166-E166)*D166, 0)</f>
        <v/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5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>
        <f>IF(OR(N167="WIN", N167="LOSS"), (L167-E167)*D167, 0)</f>
        <v/>
      </c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5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>
        <f>IF(OR(N168="WIN", N168="LOSS"), (L168-E168)*D168, 0)</f>
        <v/>
      </c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5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>
        <f>IF(OR(N169="WIN", N169="LOSS"), (L169-E169)*D169, 0)</f>
        <v/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5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>
        <f>IF(OR(N170="WIN", N170="LOSS"), (L170-E170)*D170, 0)</f>
        <v/>
      </c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5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>
        <f>IF(OR(N171="WIN", N171="LOSS"), (L171-E171)*D171, 0)</f>
        <v/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>
        <f>IF(OR(N172="WIN", N172="LOSS"), (L172-E172)*D172, 0)</f>
        <v/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5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>
        <f>IF(OR(N173="WIN", N173="LOSS"), (L173-E173)*D173, 0)</f>
        <v/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5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>
        <f>IF(OR(N174="WIN", N174="LOSS"), (L174-E174)*D174, 0)</f>
        <v/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5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>
        <f>IF(OR(N175="WIN", N175="LOSS"), (L175-E175)*D175, 0)</f>
        <v/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5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>
        <f>IF(OR(N176="WIN", N176="LOSS"), (L176-E176)*D176, 0)</f>
        <v/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5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>
        <f>IF(OR(N177="WIN", N177="LOSS"), (L177-E177)*D177, 0)</f>
        <v/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5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>
        <f>IF(OR(N178="WIN", N178="LOSS"), (L178-E178)*D178, 0)</f>
        <v/>
      </c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5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>
        <f>IF(OR(N179="WIN", N179="LOSS"), (L179-E179)*D179, 0)</f>
        <v/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5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>
        <f>IF(OR(N180="WIN", N180="LOSS"), (L180-E180)*D180, 0)</f>
        <v/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5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>
        <f>IF(OR(N181="WIN", N181="LOSS"), (L181-E181)*D181, 0)</f>
        <v/>
      </c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>
        <f>IF(OR(N182="WIN", N182="LOSS"), (L182-E182)*D182, 0)</f>
        <v/>
      </c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>
        <f>IF(OR(N183="WIN", N183="LOSS"), (L183-E183)*D183, 0)</f>
        <v/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>
        <f>IF(OR(N184="WIN", N184="LOSS"), (L184-E184)*D184, 0)</f>
        <v/>
      </c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5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>
        <f>IF(OR(N185="WIN", N185="LOSS"), (L185-E185)*D185, 0)</f>
        <v/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>
        <f>IF(OR(N186="WIN", N186="LOSS"), (L186-E186)*D186, 0)</f>
        <v/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5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>
        <f>IF(OR(N187="WIN", N187="LOSS"), (L187-E187)*D187, 0)</f>
        <v/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5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>
        <f>IF(OR(N188="WIN", N188="LOSS"), (L188-E188)*D188, 0)</f>
        <v/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5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>
        <f>IF(OR(N189="WIN", N189="LOSS"), (L189-E189)*D189, 0)</f>
        <v/>
      </c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5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>
        <f>IF(OR(N190="WIN", N190="LOSS"), (L190-E190)*D190, 0)</f>
        <v/>
      </c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5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>
        <f>IF(OR(N191="WIN", N191="LOSS"), (L191-E191)*D191, 0)</f>
        <v/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5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>
        <f>IF(OR(N192="WIN", N192="LOSS"), (L192-E192)*D192, 0)</f>
        <v/>
      </c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5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>
        <f>IF(OR(N193="WIN", N193="LOSS"), (L193-E193)*D193, 0)</f>
        <v/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5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>
        <f>IF(OR(N194="WIN", N194="LOSS"), (L194-E194)*D194, 0)</f>
        <v/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5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>
        <f>IF(OR(N195="WIN", N195="LOSS"), (L195-E195)*D195, 0)</f>
        <v/>
      </c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5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>
        <f>IF(OR(N196="WIN", N196="LOSS"), (L196-E196)*D196, 0)</f>
        <v/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5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>
        <f>IF(OR(N197="WIN", N197="LOSS"), (L197-E197)*D197, 0)</f>
        <v/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5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>
        <f>IF(OR(N198="WIN", N198="LOSS"), (L198-E198)*D198, 0)</f>
        <v/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5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>
        <f>IF(OR(N199="WIN", N199="LOSS"), (L199-E199)*D199, 0)</f>
        <v/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5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>
        <f>IF(OR(N200="WIN", N200="LOSS"), (L200-E200)*D200, 0)</f>
        <v/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5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>
        <f>IF(OR(N201="WIN", N201="LOSS"), (L201-E201)*D201, 0)</f>
        <v/>
      </c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5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>
        <f>IF(OR(N202="WIN", N202="LOSS"), (L202-E202)*D202, 0)</f>
        <v/>
      </c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5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>
        <f>IF(OR(N203="WIN", N203="LOSS"), (L203-E203)*D203, 0)</f>
        <v/>
      </c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5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>
        <f>IF(OR(N204="WIN", N204="LOSS"), (L204-E204)*D204, 0)</f>
        <v/>
      </c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5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>
        <f>IF(OR(N205="WIN", N205="LOSS"), (L205-E205)*D205, 0)</f>
        <v/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5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>
        <f>IF(OR(N206="WIN", N206="LOSS"), (L206-E206)*D206, 0)</f>
        <v/>
      </c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5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>
        <f>IF(OR(N207="WIN", N207="LOSS"), (L207-E207)*D207, 0)</f>
        <v/>
      </c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5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>
        <f>IF(OR(N208="WIN", N208="LOSS"), (L208-E208)*D208, 0)</f>
        <v/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5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>
        <f>IF(OR(N209="WIN", N209="LOSS"), (L209-E209)*D209, 0)</f>
        <v/>
      </c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5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>
        <f>IF(OR(N210="WIN", N210="LOSS"), (L210-E210)*D210, 0)</f>
        <v/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5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>
        <f>IF(OR(N211="WIN", N211="LOSS"), (L211-E211)*D211, 0)</f>
        <v/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5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>
        <f>IF(OR(N212="WIN", N212="LOSS"), (L212-E212)*D212, 0)</f>
        <v/>
      </c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5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>
        <f>IF(OR(N213="WIN", N213="LOSS"), (L213-E213)*D213, 0)</f>
        <v/>
      </c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5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>
        <f>IF(OR(N214="WIN", N214="LOSS"), (L214-E214)*D214, 0)</f>
        <v/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5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>
        <f>IF(OR(N215="WIN", N215="LOSS"), (L215-E215)*D215, 0)</f>
        <v/>
      </c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5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>
        <f>IF(OR(N216="WIN", N216="LOSS"), (L216-E216)*D216, 0)</f>
        <v/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5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>
        <f>IF(OR(N217="WIN", N217="LOSS"), (L217-E217)*D217, 0)</f>
        <v/>
      </c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5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>
        <f>IF(OR(N218="WIN", N218="LOSS"), (L218-E218)*D218, 0)</f>
        <v/>
      </c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5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>
        <f>IF(OR(N219="WIN", N219="LOSS"), (L219-E219)*D219, 0)</f>
        <v/>
      </c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5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>
        <f>IF(OR(N220="WIN", N220="LOSS"), (L220-E220)*D220, 0)</f>
        <v/>
      </c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5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>
        <f>IF(OR(N221="WIN", N221="LOSS"), (L221-E221)*D221, 0)</f>
        <v/>
      </c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5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>
        <f>IF(OR(N222="WIN", N222="LOSS"), (L222-E222)*D222, 0)</f>
        <v/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5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>
        <f>IF(OR(N223="WIN", N223="LOSS"), (L223-E223)*D223, 0)</f>
        <v/>
      </c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5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>
        <f>IF(OR(N224="WIN", N224="LOSS"), (L224-E224)*D224, 0)</f>
        <v/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5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>
        <f>IF(OR(N225="WIN", N225="LOSS"), (L225-E225)*D225, 0)</f>
        <v/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5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>
        <f>IF(OR(N226="WIN", N226="LOSS"), (L226-E226)*D226, 0)</f>
        <v/>
      </c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5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>
        <f>IF(OR(N227="WIN", N227="LOSS"), (L227-E227)*D227, 0)</f>
        <v/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5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>
        <f>IF(OR(N228="WIN", N228="LOSS"), (L228-E228)*D228, 0)</f>
        <v/>
      </c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5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>
        <f>IF(OR(N229="WIN", N229="LOSS"), (L229-E229)*D229, 0)</f>
        <v/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5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>
        <f>IF(OR(N230="WIN", N230="LOSS"), (L230-E230)*D230, 0)</f>
        <v/>
      </c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5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>
        <f>IF(OR(N231="WIN", N231="LOSS"), (L231-E231)*D231, 0)</f>
        <v/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5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>
        <f>IF(OR(N232="WIN", N232="LOSS"), (L232-E232)*D232, 0)</f>
        <v/>
      </c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5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>
        <f>IF(OR(N233="WIN", N233="LOSS"), (L233-E233)*D233, 0)</f>
        <v/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5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>
        <f>IF(OR(N234="WIN", N234="LOSS"), (L234-E234)*D234, 0)</f>
        <v/>
      </c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5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>
        <f>IF(OR(N235="WIN", N235="LOSS"), (L235-E235)*D235, 0)</f>
        <v/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>
        <f>IF(OR(N236="WIN", N236="LOSS"), (L236-E236)*D236, 0)</f>
        <v/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5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>
        <f>IF(OR(N237="WIN", N237="LOSS"), (L237-E237)*D237, 0)</f>
        <v/>
      </c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5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>
        <f>IF(OR(N238="WIN", N238="LOSS"), (L238-E238)*D238, 0)</f>
        <v/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5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>
        <f>IF(OR(N239="WIN", N239="LOSS"), (L239-E239)*D239, 0)</f>
        <v/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5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>
        <f>IF(OR(N240="WIN", N240="LOSS"), (L240-E240)*D240, 0)</f>
        <v/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5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>
        <f>IF(OR(N241="WIN", N241="LOSS"), (L241-E241)*D241, 0)</f>
        <v/>
      </c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5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>
        <f>IF(OR(N242="WIN", N242="LOSS"), (L242-E242)*D242, 0)</f>
        <v/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5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>
        <f>IF(OR(N243="WIN", N243="LOSS"), (L243-E243)*D243, 0)</f>
        <v/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5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>
        <f>IF(OR(N244="WIN", N244="LOSS"), (L244-E244)*D244, 0)</f>
        <v/>
      </c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5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>
        <f>IF(OR(N245="WIN", N245="LOSS"), (L245-E245)*D245, 0)</f>
        <v/>
      </c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5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>
        <f>IF(OR(N246="WIN", N246="LOSS"), (L246-E246)*D246, 0)</f>
        <v/>
      </c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5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>
        <f>IF(OR(N247="WIN", N247="LOSS"), (L247-E247)*D247, 0)</f>
        <v/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5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>
        <f>IF(OR(N248="WIN", N248="LOSS"), (L248-E248)*D248, 0)</f>
        <v/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5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>
        <f>IF(OR(N249="WIN", N249="LOSS"), (L249-E249)*D249, 0)</f>
        <v/>
      </c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5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>
        <f>IF(OR(N250="WIN", N250="LOSS"), (L250-E250)*D250, 0)</f>
        <v/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5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>
        <f>IF(OR(N251="WIN", N251="LOSS"), (L251-E251)*D251, 0)</f>
        <v/>
      </c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5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>
        <f>IF(OR(N252="WIN", N252="LOSS"), (L252-E252)*D252, 0)</f>
        <v/>
      </c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5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>
        <f>IF(OR(N253="WIN", N253="LOSS"), (L253-E253)*D253, 0)</f>
        <v/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5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>
        <f>IF(OR(N254="WIN", N254="LOSS"), (L254-E254)*D254, 0)</f>
        <v/>
      </c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5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>
        <f>IF(OR(N255="WIN", N255="LOSS"), (L255-E255)*D255, 0)</f>
        <v/>
      </c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5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>
        <f>IF(OR(N256="WIN", N256="LOSS"), (L256-E256)*D256, 0)</f>
        <v/>
      </c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5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>
        <f>IF(OR(N257="WIN", N257="LOSS"), (L257-E257)*D257, 0)</f>
        <v/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5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>
        <f>IF(OR(N258="WIN", N258="LOSS"), (L258-E258)*D258, 0)</f>
        <v/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5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>
        <f>IF(OR(N259="WIN", N259="LOSS"), (L259-E259)*D259, 0)</f>
        <v/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5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>
        <f>IF(OR(N260="WIN", N260="LOSS"), (L260-E260)*D260, 0)</f>
        <v/>
      </c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5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>
        <f>IF(OR(N261="WIN", N261="LOSS"), (L261-E261)*D261, 0)</f>
        <v/>
      </c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5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>
        <f>IF(OR(N262="WIN", N262="LOSS"), (L262-E262)*D262, 0)</f>
        <v/>
      </c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5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>
        <f>IF(OR(N263="WIN", N263="LOSS"), (L263-E263)*D263, 0)</f>
        <v/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5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>
        <f>IF(OR(N264="WIN", N264="LOSS"), (L264-E264)*D264, 0)</f>
        <v/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5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>
        <f>IF(OR(N265="WIN", N265="LOSS"), (L265-E265)*D265, 0)</f>
        <v/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5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>
        <f>IF(OR(N266="WIN", N266="LOSS"), (L266-E266)*D266, 0)</f>
        <v/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5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>
        <f>IF(OR(N267="WIN", N267="LOSS"), (L267-E267)*D267, 0)</f>
        <v/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5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>
        <f>IF(OR(N268="WIN", N268="LOSS"), (L268-E268)*D268, 0)</f>
        <v/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5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>
        <f>IF(OR(N269="WIN", N269="LOSS"), (L269-E269)*D269, 0)</f>
        <v/>
      </c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5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>
        <f>IF(OR(N270="WIN", N270="LOSS"), (L270-E270)*D270, 0)</f>
        <v/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5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>
        <f>IF(OR(N271="WIN", N271="LOSS"), (L271-E271)*D271, 0)</f>
        <v/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>
        <f>IF(OR(N272="WIN", N272="LOSS"), (L272-E272)*D272, 0)</f>
        <v/>
      </c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5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>
        <f>IF(OR(N273="WIN", N273="LOSS"), (L273-E273)*D273, 0)</f>
        <v/>
      </c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5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>
        <f>IF(OR(N274="WIN", N274="LOSS"), (L274-E274)*D274, 0)</f>
        <v/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5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>
        <f>IF(OR(N275="WIN", N275="LOSS"), (L275-E275)*D275, 0)</f>
        <v/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5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>
        <f>IF(OR(N276="WIN", N276="LOSS"), (L276-E276)*D276, 0)</f>
        <v/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5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>
        <f>IF(OR(N277="WIN", N277="LOSS"), (L277-E277)*D277, 0)</f>
        <v/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5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>
        <f>IF(OR(N278="WIN", N278="LOSS"), (L278-E278)*D278, 0)</f>
        <v/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5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>
        <f>IF(OR(N279="WIN", N279="LOSS"), (L279-E279)*D279, 0)</f>
        <v/>
      </c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5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>
        <f>IF(OR(N280="WIN", N280="LOSS"), (L280-E280)*D280, 0)</f>
        <v/>
      </c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5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>
        <f>IF(OR(N281="WIN", N281="LOSS"), (L281-E281)*D281, 0)</f>
        <v/>
      </c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5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>
        <f>IF(OR(N282="WIN", N282="LOSS"), (L282-E282)*D282, 0)</f>
        <v/>
      </c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5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>
        <f>IF(OR(N283="WIN", N283="LOSS"), (L283-E283)*D283, 0)</f>
        <v/>
      </c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5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>
        <f>IF(OR(N284="WIN", N284="LOSS"), (L284-E284)*D284, 0)</f>
        <v/>
      </c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5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>
        <f>IF(OR(N285="WIN", N285="LOSS"), (L285-E285)*D285, 0)</f>
        <v/>
      </c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5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>
        <f>IF(OR(N286="WIN", N286="LOSS"), (L286-E286)*D286, 0)</f>
        <v/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5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>
        <f>IF(OR(N287="WIN", N287="LOSS"), (L287-E287)*D287, 0)</f>
        <v/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5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>
        <f>IF(OR(N288="WIN", N288="LOSS"), (L288-E288)*D288, 0)</f>
        <v/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5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>
        <f>IF(OR(N289="WIN", N289="LOSS"), (L289-E289)*D289, 0)</f>
        <v/>
      </c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5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>
        <f>IF(OR(N290="WIN", N290="LOSS"), (L290-E290)*D290, 0)</f>
        <v/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5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>
        <f>IF(OR(N291="WIN", N291="LOSS"), (L291-E291)*D291, 0)</f>
        <v/>
      </c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5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>
        <f>IF(OR(N292="WIN", N292="LOSS"), (L292-E292)*D292, 0)</f>
        <v/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5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>
        <f>IF(OR(N293="WIN", N293="LOSS"), (L293-E293)*D293, 0)</f>
        <v/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5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>
        <f>IF(OR(N294="WIN", N294="LOSS"), (L294-E294)*D294, 0)</f>
        <v/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5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>
        <f>IF(OR(N295="WIN", N295="LOSS"), (L295-E295)*D295, 0)</f>
        <v/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5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>
        <f>IF(OR(N296="WIN", N296="LOSS"), (L296-E296)*D296, 0)</f>
        <v/>
      </c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5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>
        <f>IF(OR(N297="WIN", N297="LOSS"), (L297-E297)*D297, 0)</f>
        <v/>
      </c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5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>
        <f>IF(OR(N298="WIN", N298="LOSS"), (L298-E298)*D298, 0)</f>
        <v/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5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>
        <f>IF(OR(N299="WIN", N299="LOSS"), (L299-E299)*D299, 0)</f>
        <v/>
      </c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5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>
        <f>IF(OR(N300="WIN", N300="LOSS"), (L300-E300)*D300, 0)</f>
        <v/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5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>
        <f>IF(OR(N301="WIN", N301="LOSS"), (L301-E301)*D301, 0)</f>
        <v/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5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>
        <f>IF(OR(N302="WIN", N302="LOSS"), (L302-E302)*D302, 0)</f>
        <v/>
      </c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5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>
        <f>IF(OR(N303="WIN", N303="LOSS"), (L303-E303)*D303, 0)</f>
        <v/>
      </c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5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>
        <f>IF(OR(N304="WIN", N304="LOSS"), (L304-E304)*D304, 0)</f>
        <v/>
      </c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5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>
        <f>IF(OR(N305="WIN", N305="LOSS"), (L305-E305)*D305, 0)</f>
        <v/>
      </c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5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>
        <f>IF(OR(N306="WIN", N306="LOSS"), (L306-E306)*D306, 0)</f>
        <v/>
      </c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5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>
        <f>IF(OR(N307="WIN", N307="LOSS"), (L307-E307)*D307, 0)</f>
        <v/>
      </c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5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>
        <f>IF(OR(N308="WIN", N308="LOSS"), (L308-E308)*D308, 0)</f>
        <v/>
      </c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5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>
        <f>IF(OR(N309="WIN", N309="LOSS"), (L309-E309)*D309, 0)</f>
        <v/>
      </c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5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>
        <f>IF(OR(N310="WIN", N310="LOSS"), (L310-E310)*D310, 0)</f>
        <v/>
      </c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5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>
        <f>IF(OR(N311="WIN", N311="LOSS"), (L311-E311)*D311, 0)</f>
        <v/>
      </c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5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>
        <f>IF(OR(N312="WIN", N312="LOSS"), (L312-E312)*D312, 0)</f>
        <v/>
      </c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>
        <f>IF(OR(N313="WIN", N313="LOSS"), (L313-E313)*D313, 0)</f>
        <v/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>
        <f>IF(OR(N314="WIN", N314="LOSS"), (L314-E314)*D314, 0)</f>
        <v/>
      </c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>
        <f>IF(OR(N315="WIN", N315="LOSS"), (L315-E315)*D315, 0)</f>
        <v/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>
        <f>IF(OR(N316="WIN", N316="LOSS"), (L316-E316)*D316, 0)</f>
        <v/>
      </c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>
        <f>IF(OR(N317="WIN", N317="LOSS"), (L317-E317)*D317, 0)</f>
        <v/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>
        <f>IF(OR(N318="WIN", N318="LOSS"), (L318-E318)*D318, 0)</f>
        <v/>
      </c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>
        <f>IF(OR(N319="WIN", N319="LOSS"), (L319-E319)*D319, 0)</f>
        <v/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>
        <f>IF(OR(N320="WIN", N320="LOSS"), (L320-E320)*D320, 0)</f>
        <v/>
      </c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>
        <f>IF(OR(N321="WIN", N321="LOSS"), (L321-E321)*D321, 0)</f>
        <v/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>
        <f>IF(OR(N322="WIN", N322="LOSS"), (L322-E322)*D322, 0)</f>
        <v/>
      </c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>
        <f>IF(OR(N323="WIN", N323="LOSS"), (L323-E323)*D323, 0)</f>
        <v/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>
        <f>IF(OR(N324="WIN", N324="LOSS"), (L324-E324)*D324, 0)</f>
        <v/>
      </c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>
        <f>IF(OR(N325="WIN", N325="LOSS"), (L325-E325)*D325, 0)</f>
        <v/>
      </c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>
        <f>IF(OR(N326="WIN", N326="LOSS"), (L326-E326)*D326, 0)</f>
        <v/>
      </c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>
        <f>IF(OR(N327="WIN", N327="LOSS"), (L327-E327)*D327, 0)</f>
        <v/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>
        <f>IF(OR(N328="WIN", N328="LOSS"), (L328-E328)*D328, 0)</f>
        <v/>
      </c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>
        <f>IF(OR(N329="WIN", N329="LOSS"), (L329-E329)*D329, 0)</f>
        <v/>
      </c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>
        <f>IF(OR(N330="WIN", N330="LOSS"), (L330-E330)*D330, 0)</f>
        <v/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>
        <f>IF(OR(N331="WIN", N331="LOSS"), (L331-E331)*D331, 0)</f>
        <v/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>
        <f>IF(OR(N332="WIN", N332="LOSS"), (L332-E332)*D332, 0)</f>
        <v/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>
        <f>IF(OR(N333="WIN", N333="LOSS"), (L333-E333)*D333, 0)</f>
        <v/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>
        <f>IF(OR(N334="WIN", N334="LOSS"), (L334-E334)*D334, 0)</f>
        <v/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>
        <f>IF(OR(N335="WIN", N335="LOSS"), (L335-E335)*D335, 0)</f>
        <v/>
      </c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>
        <f>IF(OR(N336="WIN", N336="LOSS"), (L336-E336)*D336, 0)</f>
        <v/>
      </c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>
        <f>IF(OR(N337="WIN", N337="LOSS"), (L337-E337)*D337, 0)</f>
        <v/>
      </c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>
        <f>IF(OR(N338="WIN", N338="LOSS"), (L338-E338)*D338, 0)</f>
        <v/>
      </c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>
        <f>IF(OR(N339="WIN", N339="LOSS"), (L339-E339)*D339, 0)</f>
        <v/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>
        <f>IF(OR(N340="WIN", N340="LOSS"), (L340-E340)*D340, 0)</f>
        <v/>
      </c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>
        <f>IF(OR(N341="WIN", N341="LOSS"), (L341-E341)*D341, 0)</f>
        <v/>
      </c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>
        <f>IF(OR(N342="WIN", N342="LOSS"), (L342-E342)*D342, 0)</f>
        <v/>
      </c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>
        <f>IF(OR(N343="WIN", N343="LOSS"), (L343-E343)*D343, 0)</f>
        <v/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>
        <f>IF(OR(N344="WIN", N344="LOSS"), (L344-E344)*D344, 0)</f>
        <v/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>
        <f>IF(OR(N345="WIN", N345="LOSS"), (L345-E345)*D345, 0)</f>
        <v/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>
        <f>IF(OR(N346="WIN", N346="LOSS"), (L346-E346)*D346, 0)</f>
        <v/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>
        <f>IF(OR(N347="WIN", N347="LOSS"), (L347-E347)*D347, 0)</f>
        <v/>
      </c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>
        <f>IF(OR(N348="WIN", N348="LOSS"), (L348-E348)*D348, 0)</f>
        <v/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>
        <f>IF(OR(N349="WIN", N349="LOSS"), (L349-E349)*D349, 0)</f>
        <v/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>
        <f>IF(OR(N350="WIN", N350="LOSS"), (L350-E350)*D350, 0)</f>
        <v/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>
        <f>IF(OR(N351="WIN", N351="LOSS"), (L351-E351)*D351, 0)</f>
        <v/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>
        <f>IF(OR(N352="WIN", N352="LOSS"), (L352-E352)*D352, 0)</f>
        <v/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>
        <f>IF(OR(N353="WIN", N353="LOSS"), (L353-E353)*D353, 0)</f>
        <v/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>
        <f>IF(OR(N354="WIN", N354="LOSS"), (L354-E354)*D354, 0)</f>
        <v/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>
        <f>IF(OR(N355="WIN", N355="LOSS"), (L355-E355)*D355, 0)</f>
        <v/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>
        <f>IF(OR(N356="WIN", N356="LOSS"), (L356-E356)*D356, 0)</f>
        <v/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>
        <f>IF(OR(N357="WIN", N357="LOSS"), (L357-E357)*D357, 0)</f>
        <v/>
      </c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>
        <f>IF(OR(N358="WIN", N358="LOSS"), (L358-E358)*D358, 0)</f>
        <v/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>
        <f>IF(OR(N359="WIN", N359="LOSS"), (L359-E359)*D359, 0)</f>
        <v/>
      </c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>
        <f>IF(OR(N360="WIN", N360="LOSS"), (L360-E360)*D360, 0)</f>
        <v/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>
        <f>IF(OR(N361="WIN", N361="LOSS"), (L361-E361)*D361, 0)</f>
        <v/>
      </c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>
        <f>IF(OR(N362="WIN", N362="LOSS"), (L362-E362)*D362, 0)</f>
        <v/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>
        <f>IF(OR(N363="WIN", N363="LOSS"), (L363-E363)*D363, 0)</f>
        <v/>
      </c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>
        <f>IF(OR(N364="WIN", N364="LOSS"), (L364-E364)*D364, 0)</f>
        <v/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>
        <f>IF(OR(N365="WIN", N365="LOSS"), (L365-E365)*D365, 0)</f>
        <v/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>
        <f>IF(OR(N366="WIN", N366="LOSS"), (L366-E366)*D366, 0)</f>
        <v/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>
        <f>IF(OR(N367="WIN", N367="LOSS"), (L367-E367)*D367, 0)</f>
        <v/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>
        <f>IF(OR(N368="WIN", N368="LOSS"), (L368-E368)*D368, 0)</f>
        <v/>
      </c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>
        <f>IF(OR(N369="WIN", N369="LOSS"), (L369-E369)*D369, 0)</f>
        <v/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>
        <f>IF(OR(N370="WIN", N370="LOSS"), (L370-E370)*D370, 0)</f>
        <v/>
      </c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>
        <f>IF(OR(N371="WIN", N371="LOSS"), (L371-E371)*D371, 0)</f>
        <v/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>
        <f>IF(OR(N372="WIN", N372="LOSS"), (L372-E372)*D372, 0)</f>
        <v/>
      </c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>
        <f>IF(OR(N373="WIN", N373="LOSS"), (L373-E373)*D373, 0)</f>
        <v/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>
        <f>IF(OR(N374="WIN", N374="LOSS"), (L374-E374)*D374, 0)</f>
        <v/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>
        <f>IF(OR(N375="WIN", N375="LOSS"), (L375-E375)*D375, 0)</f>
        <v/>
      </c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>
        <f>IF(OR(N376="WIN", N376="LOSS"), (L376-E376)*D376, 0)</f>
        <v/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>
        <f>IF(OR(N377="WIN", N377="LOSS"), (L377-E377)*D377, 0)</f>
        <v/>
      </c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>
        <f>IF(OR(N378="WIN", N378="LOSS"), (L378-E378)*D378, 0)</f>
        <v/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>
        <f>IF(OR(N379="WIN", N379="LOSS"), (L379-E379)*D379, 0)</f>
        <v/>
      </c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>
        <f>IF(OR(N380="WIN", N380="LOSS"), (L380-E380)*D380, 0)</f>
        <v/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>
        <f>IF(OR(N381="WIN", N381="LOSS"), (L381-E381)*D381, 0)</f>
        <v/>
      </c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>
        <f>IF(OR(N382="WIN", N382="LOSS"), (L382-E382)*D382, 0)</f>
        <v/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>
        <f>IF(OR(N383="WIN", N383="LOSS"), (L383-E383)*D383, 0)</f>
        <v/>
      </c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>
        <f>IF(OR(N384="WIN", N384="LOSS"), (L384-E384)*D384, 0)</f>
        <v/>
      </c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>
        <f>IF(OR(N385="WIN", N385="LOSS"), (L385-E385)*D385, 0)</f>
        <v/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>
        <f>IF(OR(N386="WIN", N386="LOSS"), (L386-E386)*D386, 0)</f>
        <v/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>
        <f>IF(OR(N387="WIN", N387="LOSS"), (L387-E387)*D387, 0)</f>
        <v/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>
        <f>IF(OR(N388="WIN", N388="LOSS"), (L388-E388)*D388, 0)</f>
        <v/>
      </c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>
        <f>IF(OR(N389="WIN", N389="LOSS"), (L389-E389)*D389, 0)</f>
        <v/>
      </c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>
        <f>IF(OR(N390="WIN", N390="LOSS"), (L390-E390)*D390, 0)</f>
        <v/>
      </c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>
        <f>IF(OR(N391="WIN", N391="LOSS"), (L391-E391)*D391, 0)</f>
        <v/>
      </c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>
        <f>IF(OR(N392="WIN", N392="LOSS"), (L392-E392)*D392, 0)</f>
        <v/>
      </c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>
        <f>IF(OR(N393="WIN", N393="LOSS"), (L393-E393)*D393, 0)</f>
        <v/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>
        <f>IF(OR(N394="WIN", N394="LOSS"), (L394-E394)*D394, 0)</f>
        <v/>
      </c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>
        <f>IF(OR(N395="WIN", N395="LOSS"), (L395-E395)*D395, 0)</f>
        <v/>
      </c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>
        <f>IF(OR(N396="WIN", N396="LOSS"), (L396-E396)*D396, 0)</f>
        <v/>
      </c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>
        <f>IF(OR(N397="WIN", N397="LOSS"), (L397-E397)*D397, 0)</f>
        <v/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>
        <f>IF(OR(N398="WIN", N398="LOSS"), (L398-E398)*D398, 0)</f>
        <v/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>
        <f>IF(OR(N399="WIN", N399="LOSS"), (L399-E399)*D399, 0)</f>
        <v/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>
        <f>IF(OR(N400="WIN", N400="LOSS"), (L400-E400)*D400, 0)</f>
        <v/>
      </c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>
        <f>IF(OR(N401="WIN", N401="LOSS"), (L401-E401)*D401, 0)</f>
        <v/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>
        <f>IF(OR(N402="WIN", N402="LOSS"), (L402-E402)*D402, 0)</f>
        <v/>
      </c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>
        <f>IF(OR(N403="WIN", N403="LOSS"), (L403-E403)*D403, 0)</f>
        <v/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>
        <f>IF(OR(N404="WIN", N404="LOSS"), (L404-E404)*D404, 0)</f>
        <v/>
      </c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>
        <f>IF(OR(N405="WIN", N405="LOSS"), (L405-E405)*D405, 0)</f>
        <v/>
      </c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>
        <f>IF(OR(N406="WIN", N406="LOSS"), (L406-E406)*D406, 0)</f>
        <v/>
      </c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>
        <f>IF(OR(N407="WIN", N407="LOSS"), (L407-E407)*D407, 0)</f>
        <v/>
      </c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>
        <f>IF(OR(N408="WIN", N408="LOSS"), (L408-E408)*D408, 0)</f>
        <v/>
      </c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>
        <f>IF(OR(N409="WIN", N409="LOSS"), (L409-E409)*D409, 0)</f>
        <v/>
      </c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>
        <f>IF(OR(N410="WIN", N410="LOSS"), (L410-E410)*D410, 0)</f>
        <v/>
      </c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>
        <f>IF(OR(N411="WIN", N411="LOSS"), (L411-E411)*D411, 0)</f>
        <v/>
      </c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>
        <f>IF(OR(N412="WIN", N412="LOSS"), (L412-E412)*D412, 0)</f>
        <v/>
      </c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>
        <f>IF(OR(N413="WIN", N413="LOSS"), (L413-E413)*D413, 0)</f>
        <v/>
      </c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>
        <f>IF(OR(N414="WIN", N414="LOSS"), (L414-E414)*D414, 0)</f>
        <v/>
      </c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>
        <f>IF(OR(N415="WIN", N415="LOSS"), (L415-E415)*D415, 0)</f>
        <v/>
      </c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>
        <f>IF(OR(N416="WIN", N416="LOSS"), (L416-E416)*D416, 0)</f>
        <v/>
      </c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>
        <f>IF(OR(N417="WIN", N417="LOSS"), (L417-E417)*D417, 0)</f>
        <v/>
      </c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>
        <f>IF(OR(N418="WIN", N418="LOSS"), (L418-E418)*D418, 0)</f>
        <v/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>
        <f>IF(OR(N419="WIN", N419="LOSS"), (L419-E419)*D419, 0)</f>
        <v/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>
        <f>IF(OR(N420="WIN", N420="LOSS"), (L420-E420)*D420, 0)</f>
        <v/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>
        <f>IF(OR(N421="WIN", N421="LOSS"), (L421-E421)*D421, 0)</f>
        <v/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>
        <f>IF(OR(N422="WIN", N422="LOSS"), (L422-E422)*D422, 0)</f>
        <v/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>
        <f>IF(OR(N423="WIN", N423="LOSS"), (L423-E423)*D423, 0)</f>
        <v/>
      </c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>
        <f>IF(OR(N424="WIN", N424="LOSS"), (L424-E424)*D424, 0)</f>
        <v/>
      </c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>
        <f>IF(OR(N425="WIN", N425="LOSS"), (L425-E425)*D425, 0)</f>
        <v/>
      </c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>
        <f>IF(OR(N426="WIN", N426="LOSS"), (L426-E426)*D426, 0)</f>
        <v/>
      </c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>
        <f>IF(OR(N427="WIN", N427="LOSS"), (L427-E427)*D427, 0)</f>
        <v/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>
        <f>IF(OR(N428="WIN", N428="LOSS"), (L428-E428)*D428, 0)</f>
        <v/>
      </c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>
        <f>IF(OR(N429="WIN", N429="LOSS"), (L429-E429)*D429, 0)</f>
        <v/>
      </c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>
        <f>IF(OR(N430="WIN", N430="LOSS"), (L430-E430)*D430, 0)</f>
        <v/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>
        <f>IF(OR(N431="WIN", N431="LOSS"), (L431-E431)*D431, 0)</f>
        <v/>
      </c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>
        <f>IF(OR(N432="WIN", N432="LOSS"), (L432-E432)*D432, 0)</f>
        <v/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>
        <f>IF(OR(N433="WIN", N433="LOSS"), (L433-E433)*D433, 0)</f>
        <v/>
      </c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>
        <f>IF(OR(N434="WIN", N434="LOSS"), (L434-E434)*D434, 0)</f>
        <v/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>
        <f>IF(OR(N435="WIN", N435="LOSS"), (L435-E435)*D435, 0)</f>
        <v/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>
        <f>IF(OR(N436="WIN", N436="LOSS"), (L436-E436)*D436, 0)</f>
        <v/>
      </c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>
        <f>IF(OR(N437="WIN", N437="LOSS"), (L437-E437)*D437, 0)</f>
        <v/>
      </c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>
        <f>IF(OR(N438="WIN", N438="LOSS"), (L438-E438)*D438, 0)</f>
        <v/>
      </c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>
        <f>IF(OR(N439="WIN", N439="LOSS"), (L439-E439)*D439, 0)</f>
        <v/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>
        <f>IF(OR(N440="WIN", N440="LOSS"), (L440-E440)*D440, 0)</f>
        <v/>
      </c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>
        <f>IF(OR(N441="WIN", N441="LOSS"), (L441-E441)*D441, 0)</f>
        <v/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>
        <f>IF(OR(N442="WIN", N442="LOSS"), (L442-E442)*D442, 0)</f>
        <v/>
      </c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>
        <f>IF(OR(N443="WIN", N443="LOSS"), (L443-E443)*D443, 0)</f>
        <v/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>
        <f>IF(OR(N444="WIN", N444="LOSS"), (L444-E444)*D444, 0)</f>
        <v/>
      </c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>
        <f>IF(OR(N445="WIN", N445="LOSS"), (L445-E445)*D445, 0)</f>
        <v/>
      </c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>
        <f>IF(OR(N446="WIN", N446="LOSS"), (L446-E446)*D446, 0)</f>
        <v/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>
        <f>IF(OR(N447="WIN", N447="LOSS"), (L447-E447)*D447, 0)</f>
        <v/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>
        <f>IF(OR(N448="WIN", N448="LOSS"), (L448-E448)*D448, 0)</f>
        <v/>
      </c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>
        <f>IF(OR(N449="WIN", N449="LOSS"), (L449-E449)*D449, 0)</f>
        <v/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>
        <f>IF(OR(N450="WIN", N450="LOSS"), (L450-E450)*D450, 0)</f>
        <v/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>
        <f>IF(OR(N451="WIN", N451="LOSS"), (L451-E451)*D451, 0)</f>
        <v/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>
        <f>IF(OR(N452="WIN", N452="LOSS"), (L452-E452)*D452, 0)</f>
        <v/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>
        <f>IF(OR(N453="WIN", N453="LOSS"), (L453-E453)*D453, 0)</f>
        <v/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>
        <f>IF(OR(N454="WIN", N454="LOSS"), (L454-E454)*D454, 0)</f>
        <v/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>
        <f>IF(OR(N455="WIN", N455="LOSS"), (L455-E455)*D455, 0)</f>
        <v/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>
        <f>IF(OR(N456="WIN", N456="LOSS"), (L456-E456)*D456, 0)</f>
        <v/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>
        <f>IF(OR(N457="WIN", N457="LOSS"), (L457-E457)*D457, 0)</f>
        <v/>
      </c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>
        <f>IF(OR(N458="WIN", N458="LOSS"), (L458-E458)*D458, 0)</f>
        <v/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>
        <f>IF(OR(N459="WIN", N459="LOSS"), (L459-E459)*D459, 0)</f>
        <v/>
      </c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>
        <f>IF(OR(N460="WIN", N460="LOSS"), (L460-E460)*D460, 0)</f>
        <v/>
      </c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>
        <f>IF(OR(N461="WIN", N461="LOSS"), (L461-E461)*D461, 0)</f>
        <v/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>
        <f>IF(OR(N462="WIN", N462="LOSS"), (L462-E462)*D462, 0)</f>
        <v/>
      </c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>
        <f>IF(OR(N463="WIN", N463="LOSS"), (L463-E463)*D463, 0)</f>
        <v/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>
        <f>IF(OR(N464="WIN", N464="LOSS"), (L464-E464)*D464, 0)</f>
        <v/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>
        <f>IF(OR(N465="WIN", N465="LOSS"), (L465-E465)*D465, 0)</f>
        <v/>
      </c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>
        <f>IF(OR(N466="WIN", N466="LOSS"), (L466-E466)*D466, 0)</f>
        <v/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>
        <f>IF(OR(N467="WIN", N467="LOSS"), (L467-E467)*D467, 0)</f>
        <v/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>
        <f>IF(OR(N468="WIN", N468="LOSS"), (L468-E468)*D468, 0)</f>
        <v/>
      </c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>
        <f>IF(OR(N469="WIN", N469="LOSS"), (L469-E469)*D469, 0)</f>
        <v/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>
        <f>IF(OR(N470="WIN", N470="LOSS"), (L470-E470)*D470, 0)</f>
        <v/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>
        <f>IF(OR(N471="WIN", N471="LOSS"), (L471-E471)*D471, 0)</f>
        <v/>
      </c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>
        <f>IF(OR(N472="WIN", N472="LOSS"), (L472-E472)*D472, 0)</f>
        <v/>
      </c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>
        <f>IF(OR(N473="WIN", N473="LOSS"), (L473-E473)*D473, 0)</f>
        <v/>
      </c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>
        <f>IF(OR(N474="WIN", N474="LOSS"), (L474-E474)*D474, 0)</f>
        <v/>
      </c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>
        <f>IF(OR(N475="WIN", N475="LOSS"), (L475-E475)*D475, 0)</f>
        <v/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>
        <f>IF(OR(N476="WIN", N476="LOSS"), (L476-E476)*D476, 0)</f>
        <v/>
      </c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>
        <f>IF(OR(N477="WIN", N477="LOSS"), (L477-E477)*D477, 0)</f>
        <v/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>
        <f>IF(OR(N478="WIN", N478="LOSS"), (L478-E478)*D478, 0)</f>
        <v/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>
        <f>IF(OR(N479="WIN", N479="LOSS"), (L479-E479)*D479, 0)</f>
        <v/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>
        <f>IF(OR(N480="WIN", N480="LOSS"), (L480-E480)*D480, 0)</f>
        <v/>
      </c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>
        <f>IF(OR(N481="WIN", N481="LOSS"), (L481-E481)*D481, 0)</f>
        <v/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>
        <f>IF(OR(N482="WIN", N482="LOSS"), (L482-E482)*D482, 0)</f>
        <v/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>
        <f>IF(OR(N483="WIN", N483="LOSS"), (L483-E483)*D483, 0)</f>
        <v/>
      </c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>
        <f>IF(OR(N484="WIN", N484="LOSS"), (L484-E484)*D484, 0)</f>
        <v/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>
        <f>IF(OR(N485="WIN", N485="LOSS"), (L485-E485)*D485, 0)</f>
        <v/>
      </c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>
        <f>IF(OR(N486="WIN", N486="LOSS"), (L486-E486)*D486, 0)</f>
        <v/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>
        <f>IF(OR(N487="WIN", N487="LOSS"), (L487-E487)*D487, 0)</f>
        <v/>
      </c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>
        <f>IF(OR(N488="WIN", N488="LOSS"), (L488-E488)*D488, 0)</f>
        <v/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>
        <f>IF(OR(N489="WIN", N489="LOSS"), (L489-E489)*D489, 0)</f>
        <v/>
      </c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>
        <f>IF(OR(N490="WIN", N490="LOSS"), (L490-E490)*D490, 0)</f>
        <v/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>
        <f>IF(OR(N491="WIN", N491="LOSS"), (L491-E491)*D491, 0)</f>
        <v/>
      </c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>
        <f>IF(OR(N492="WIN", N492="LOSS"), (L492-E492)*D492, 0)</f>
        <v/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>
        <f>IF(OR(N493="WIN", N493="LOSS"), (L493-E493)*D493, 0)</f>
        <v/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>
        <f>IF(OR(N494="WIN", N494="LOSS"), (L494-E494)*D494, 0)</f>
        <v/>
      </c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>
        <f>IF(OR(N495="WIN", N495="LOSS"), (L495-E495)*D495, 0)</f>
        <v/>
      </c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>
        <f>IF(OR(N496="WIN", N496="LOSS"), (L496-E496)*D496, 0)</f>
        <v/>
      </c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>
        <f>IF(OR(N497="WIN", N497="LOSS"), (L497-E497)*D497, 0)</f>
        <v/>
      </c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>
        <f>IF(OR(N498="WIN", N498="LOSS"), (L498-E498)*D498, 0)</f>
        <v/>
      </c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>
        <f>IF(OR(N499="WIN", N499="LOSS"), (L499-E499)*D499, 0)</f>
        <v/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>
        <f>IF(OR(N500="WIN", N500="LOSS"), (L500-E500)*D500, 0)</f>
        <v/>
      </c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</row>
    <row r="687" ht="15.75" customHeight="1" s="5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</row>
    <row r="688" ht="15.75" customHeight="1" s="5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</row>
    <row r="689" ht="15.75" customHeight="1" s="5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</row>
    <row r="690" ht="15.75" customHeight="1" s="5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</row>
    <row r="691" ht="15.75" customHeight="1" s="5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</row>
    <row r="692" ht="15.75" customHeight="1" s="5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</row>
    <row r="693" ht="15.75" customHeight="1" s="5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</row>
    <row r="694" ht="15.75" customHeight="1" s="5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</row>
    <row r="695" ht="15.75" customHeight="1" s="5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</row>
    <row r="696" ht="15.75" customHeight="1" s="5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</row>
    <row r="697" ht="15.75" customHeight="1" s="5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</row>
    <row r="698" ht="15.75" customHeight="1" s="5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</row>
    <row r="699" ht="15.75" customHeight="1" s="5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</row>
    <row r="700" ht="15.75" customHeight="1" s="5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</row>
    <row r="701" ht="15.75" customHeight="1" s="5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</row>
    <row r="702" ht="15.75" customHeight="1" s="5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</row>
    <row r="703" ht="15.75" customHeight="1" s="5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</row>
    <row r="704" ht="15.75" customHeight="1" s="5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</row>
    <row r="705" ht="15.75" customHeight="1" s="5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</row>
    <row r="706" ht="15.75" customHeight="1" s="5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</row>
    <row r="707" ht="15.75" customHeight="1" s="5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</row>
    <row r="708" ht="15.75" customHeight="1" s="5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</row>
    <row r="709" ht="15.75" customHeight="1" s="5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</row>
    <row r="710" ht="15.75" customHeight="1" s="5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</row>
    <row r="711" ht="15.75" customHeight="1" s="5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</row>
    <row r="712" ht="15.75" customHeight="1" s="5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</row>
    <row r="713" ht="15.75" customHeight="1" s="5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</row>
    <row r="714" ht="15.75" customHeight="1" s="5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</row>
    <row r="715" ht="15.75" customHeight="1" s="5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</row>
    <row r="716" ht="15.75" customHeight="1" s="5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</row>
    <row r="717" ht="15.75" customHeight="1" s="5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</row>
    <row r="718" ht="15.75" customHeight="1" s="5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</row>
    <row r="719" ht="15.75" customHeight="1" s="5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</row>
    <row r="720" ht="15.75" customHeight="1" s="5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</row>
    <row r="721" ht="15.75" customHeight="1" s="5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</row>
    <row r="722" ht="15.75" customHeight="1" s="5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</row>
    <row r="723" ht="15.75" customHeight="1" s="5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</row>
    <row r="724" ht="15.75" customHeight="1" s="5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</row>
    <row r="725" ht="15.75" customHeight="1" s="5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</row>
    <row r="726" ht="15.75" customHeight="1" s="5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</row>
    <row r="727" ht="15.75" customHeight="1" s="5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</row>
    <row r="728" ht="15.75" customHeight="1" s="5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</row>
    <row r="729" ht="15.75" customHeight="1" s="5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</row>
    <row r="730" ht="15.75" customHeight="1" s="5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</row>
    <row r="731" ht="15.75" customHeight="1" s="5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</row>
    <row r="732" ht="15.75" customHeight="1" s="5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</row>
    <row r="733" ht="15.75" customHeight="1" s="5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</row>
    <row r="734" ht="15.75" customHeight="1" s="5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</row>
    <row r="735" ht="15.75" customHeight="1" s="5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</row>
    <row r="736" ht="15.75" customHeight="1" s="5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</row>
    <row r="737" ht="15.75" customHeight="1" s="5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</row>
    <row r="738" ht="15.75" customHeight="1" s="5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</row>
    <row r="739" ht="15.75" customHeight="1" s="5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</row>
    <row r="740" ht="15.75" customHeight="1" s="5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</row>
    <row r="741" ht="15.75" customHeight="1" s="5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</row>
    <row r="742" ht="15.75" customHeight="1" s="5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</row>
    <row r="743" ht="15.75" customHeight="1" s="5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</row>
    <row r="744" ht="15.75" customHeight="1" s="5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</row>
    <row r="745" ht="15.75" customHeight="1" s="5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</row>
    <row r="746" ht="15.75" customHeight="1" s="5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</row>
    <row r="747" ht="15.75" customHeight="1" s="5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</row>
    <row r="748" ht="15.75" customHeight="1" s="5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</row>
    <row r="749" ht="15.75" customHeight="1" s="5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</row>
    <row r="750" ht="15.75" customHeight="1" s="5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</row>
    <row r="751" ht="15.75" customHeight="1" s="5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</row>
    <row r="752" ht="15.75" customHeight="1" s="5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</row>
    <row r="753" ht="15.75" customHeight="1" s="5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</row>
    <row r="754" ht="15.75" customHeight="1" s="5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</row>
    <row r="755" ht="15.75" customHeight="1" s="5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</row>
    <row r="756" ht="15.75" customHeight="1" s="5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</row>
    <row r="757" ht="15.75" customHeight="1" s="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</row>
    <row r="758" ht="15.75" customHeight="1" s="5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</row>
    <row r="759" ht="15.75" customHeight="1" s="5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</row>
    <row r="760" ht="15.75" customHeight="1" s="5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</row>
    <row r="761" ht="15.75" customHeight="1" s="5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</row>
    <row r="762" ht="15.75" customHeight="1" s="5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</row>
    <row r="763" ht="15.75" customHeight="1" s="5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</row>
    <row r="764" ht="15.75" customHeight="1" s="5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</row>
    <row r="765" ht="15.75" customHeight="1" s="5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</row>
    <row r="766" ht="15.75" customHeight="1" s="5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</row>
    <row r="767" ht="15.75" customHeight="1" s="5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</row>
    <row r="768" ht="15.75" customHeight="1" s="5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</row>
    <row r="769" ht="15.75" customHeight="1" s="5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</row>
    <row r="770" ht="15.75" customHeight="1" s="5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</row>
    <row r="771" ht="15.75" customHeight="1" s="5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</row>
    <row r="772" ht="15.75" customHeight="1" s="5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</row>
    <row r="773" ht="15.75" customHeight="1" s="5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</row>
    <row r="774" ht="15.75" customHeight="1" s="5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</row>
    <row r="775" ht="15.75" customHeight="1" s="5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</row>
    <row r="776" ht="15.75" customHeight="1" s="5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</row>
    <row r="777" ht="15.75" customHeight="1" s="5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</row>
    <row r="778" ht="15.75" customHeight="1" s="5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</row>
    <row r="779" ht="15.75" customHeight="1" s="5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</row>
    <row r="780" ht="15.75" customHeight="1" s="5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</row>
    <row r="781" ht="15.75" customHeight="1" s="5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</row>
    <row r="782" ht="15.75" customHeight="1" s="5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</row>
    <row r="783" ht="15.75" customHeight="1" s="5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</row>
    <row r="784" ht="15.75" customHeight="1" s="5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</row>
    <row r="785" ht="15.75" customHeight="1" s="5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</row>
    <row r="786" ht="15.75" customHeight="1" s="5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</row>
    <row r="787" ht="15.75" customHeight="1" s="5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</row>
    <row r="788" ht="15.75" customHeight="1" s="5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</row>
    <row r="789" ht="15.75" customHeight="1" s="5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</row>
    <row r="790" ht="15.75" customHeight="1" s="5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</row>
    <row r="791" ht="15.75" customHeight="1" s="5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</row>
    <row r="792" ht="15.75" customHeight="1" s="5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</row>
    <row r="793" ht="15.75" customHeight="1" s="5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</row>
    <row r="794" ht="15.75" customHeight="1" s="5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</row>
    <row r="795" ht="15.75" customHeight="1" s="5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</row>
    <row r="796" ht="15.75" customHeight="1" s="5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</row>
    <row r="797" ht="15.75" customHeight="1" s="5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</row>
    <row r="798" ht="15.75" customHeight="1" s="5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</row>
    <row r="799" ht="15.75" customHeight="1" s="5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</row>
    <row r="800" ht="15.75" customHeight="1" s="5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</row>
    <row r="801" ht="15.75" customHeight="1" s="5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</row>
    <row r="802" ht="15.75" customHeight="1" s="5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</row>
    <row r="803" ht="15.75" customHeight="1" s="5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</row>
    <row r="804" ht="15.75" customHeight="1" s="5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</row>
    <row r="805" ht="15.75" customHeight="1" s="5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</row>
    <row r="806" ht="15.75" customHeight="1" s="5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</row>
    <row r="807" ht="15.75" customHeight="1" s="5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</row>
    <row r="808" ht="15.75" customHeight="1" s="5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</row>
    <row r="809" ht="15.75" customHeight="1" s="5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</row>
    <row r="810" ht="15.75" customHeight="1" s="5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</row>
    <row r="811" ht="15.75" customHeight="1" s="5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</row>
    <row r="812" ht="15.75" customHeight="1" s="5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</row>
    <row r="813" ht="15.75" customHeight="1" s="5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</row>
    <row r="814" ht="15.75" customHeight="1" s="5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</row>
    <row r="815" ht="15.75" customHeight="1" s="5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</row>
    <row r="816" ht="15.75" customHeight="1" s="5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</row>
    <row r="817" ht="15.75" customHeight="1" s="5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</row>
    <row r="818" ht="15.75" customHeight="1" s="5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</row>
    <row r="819" ht="15.75" customHeight="1" s="5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</row>
    <row r="820" ht="15.75" customHeight="1" s="5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</row>
    <row r="821" ht="15.75" customHeight="1" s="5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</row>
    <row r="822" ht="15.75" customHeight="1" s="5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</row>
    <row r="823" ht="15.75" customHeight="1" s="5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</row>
    <row r="824" ht="15.75" customHeight="1" s="5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</row>
    <row r="825" ht="15.75" customHeight="1" s="5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</row>
    <row r="826" ht="15.75" customHeight="1" s="5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</row>
    <row r="827" ht="15.75" customHeight="1" s="5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</row>
    <row r="828" ht="15.75" customHeight="1" s="5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</row>
    <row r="829" ht="15.75" customHeight="1" s="5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</row>
    <row r="830" ht="15.75" customHeight="1" s="5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</row>
    <row r="831" ht="15.75" customHeight="1" s="5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</row>
    <row r="832" ht="15.75" customHeight="1" s="5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</row>
    <row r="833" ht="15.75" customHeight="1" s="5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</row>
    <row r="834" ht="15.75" customHeight="1" s="5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</row>
    <row r="835" ht="15.75" customHeight="1" s="5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</row>
    <row r="836" ht="15.75" customHeight="1" s="5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</row>
    <row r="837" ht="15.75" customHeight="1" s="5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</row>
    <row r="838" ht="15.75" customHeight="1" s="5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</row>
    <row r="839" ht="15.75" customHeight="1" s="5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</row>
    <row r="840" ht="15.75" customHeight="1" s="5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</row>
    <row r="841" ht="15.75" customHeight="1" s="5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</row>
    <row r="842" ht="15.75" customHeight="1" s="5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</row>
    <row r="843" ht="15.75" customHeight="1" s="5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</row>
    <row r="844" ht="15.75" customHeight="1" s="5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</row>
    <row r="845" ht="15.75" customHeight="1" s="5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</row>
    <row r="846" ht="15.75" customHeight="1" s="5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</row>
    <row r="847" ht="15.75" customHeight="1" s="5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</row>
    <row r="848" ht="15.75" customHeight="1" s="5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</row>
    <row r="849" ht="15.75" customHeight="1" s="5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</row>
    <row r="850" ht="15.75" customHeight="1" s="5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</row>
    <row r="851" ht="15.75" customHeight="1" s="5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</row>
    <row r="852" ht="15.75" customHeight="1" s="5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</row>
    <row r="853" ht="15.75" customHeight="1" s="5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</row>
    <row r="854" ht="15.75" customHeight="1" s="5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</row>
    <row r="855" ht="15.75" customHeight="1" s="5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</row>
    <row r="856" ht="15.75" customHeight="1" s="5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</row>
    <row r="857" ht="15.75" customHeight="1" s="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</row>
    <row r="858" ht="15.75" customHeight="1" s="5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</row>
    <row r="859" ht="15.75" customHeight="1" s="5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</row>
    <row r="860" ht="15.75" customHeight="1" s="5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</row>
    <row r="861" ht="15.75" customHeight="1" s="5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</row>
    <row r="862" ht="15.75" customHeight="1" s="5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</row>
    <row r="863" ht="15.75" customHeight="1" s="5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</row>
    <row r="864" ht="15.75" customHeight="1" s="5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</row>
    <row r="865" ht="15.75" customHeight="1" s="5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</row>
    <row r="866" ht="15.75" customHeight="1" s="5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</row>
    <row r="867" ht="15.75" customHeight="1" s="5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</row>
    <row r="868" ht="15.75" customHeight="1" s="5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</row>
    <row r="869" ht="15.75" customHeight="1" s="5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</row>
    <row r="870" ht="15.75" customHeight="1" s="5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</row>
    <row r="871" ht="15.75" customHeight="1" s="5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</row>
    <row r="872" ht="15.75" customHeight="1" s="5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</row>
    <row r="873" ht="15.75" customHeight="1" s="5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</row>
    <row r="874" ht="15.75" customHeight="1" s="5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</row>
    <row r="875" ht="15.75" customHeight="1" s="5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</row>
    <row r="876" ht="15.75" customHeight="1" s="5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</row>
    <row r="877" ht="15.75" customHeight="1" s="5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</row>
    <row r="878" ht="15.75" customHeight="1" s="5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</row>
    <row r="879" ht="15.75" customHeight="1" s="5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</row>
    <row r="880" ht="15.75" customHeight="1" s="5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</row>
    <row r="881" ht="15.75" customHeight="1" s="5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</row>
    <row r="882" ht="15.75" customHeight="1" s="5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</row>
    <row r="883" ht="15.75" customHeight="1" s="5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</row>
    <row r="884" ht="15.75" customHeight="1" s="5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</row>
    <row r="885" ht="15.75" customHeight="1" s="5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</row>
    <row r="886" ht="15.75" customHeight="1" s="5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</row>
    <row r="887" ht="15.75" customHeight="1" s="5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</row>
    <row r="888" ht="15.75" customHeight="1" s="5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</row>
    <row r="889" ht="15.75" customHeight="1" s="5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</row>
    <row r="890" ht="15.75" customHeight="1" s="5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</row>
    <row r="891" ht="15.75" customHeight="1" s="5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</row>
    <row r="892" ht="15.75" customHeight="1" s="5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</row>
    <row r="893" ht="15.75" customHeight="1" s="5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</row>
    <row r="894" ht="15.75" customHeight="1" s="5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</row>
    <row r="895" ht="15.75" customHeight="1" s="5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</row>
    <row r="896" ht="15.75" customHeight="1" s="5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</row>
    <row r="897" ht="15.75" customHeight="1" s="5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</row>
    <row r="898" ht="15.75" customHeight="1" s="5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</row>
    <row r="899" ht="15.75" customHeight="1" s="5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</row>
    <row r="900" ht="15.75" customHeight="1" s="5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</row>
    <row r="901" ht="15.75" customHeight="1" s="5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</row>
    <row r="902" ht="15.75" customHeight="1" s="5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</row>
    <row r="903" ht="15.75" customHeight="1" s="5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</row>
    <row r="904" ht="15.75" customHeight="1" s="5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</row>
    <row r="905" ht="15.75" customHeight="1" s="5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</row>
    <row r="906" ht="15.75" customHeight="1" s="5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</row>
    <row r="907" ht="15.75" customHeight="1" s="5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</row>
    <row r="908" ht="15.75" customHeight="1" s="5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</row>
    <row r="909" ht="15.75" customHeight="1" s="5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</row>
    <row r="910" ht="15.75" customHeight="1" s="5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</row>
    <row r="911" ht="15.75" customHeight="1" s="5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</row>
    <row r="912" ht="15.75" customHeight="1" s="5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</row>
    <row r="913" ht="15.75" customHeight="1" s="5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</row>
    <row r="914" ht="15.75" customHeight="1" s="5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</row>
    <row r="915" ht="15.75" customHeight="1" s="5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</row>
    <row r="916" ht="15.75" customHeight="1" s="5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</row>
    <row r="917" ht="15.75" customHeight="1" s="5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</row>
    <row r="918" ht="15.75" customHeight="1" s="5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</row>
    <row r="919" ht="15.75" customHeight="1" s="5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</row>
    <row r="920" ht="15.75" customHeight="1" s="5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</row>
    <row r="921" ht="15.75" customHeight="1" s="5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</row>
    <row r="922" ht="15.75" customHeight="1" s="5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</row>
    <row r="923" ht="15.75" customHeight="1" s="5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</row>
    <row r="924" ht="15.75" customHeight="1" s="5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</row>
    <row r="925" ht="15.75" customHeight="1" s="5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</row>
    <row r="926" ht="15.75" customHeight="1" s="5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</row>
    <row r="927" ht="15.75" customHeight="1" s="5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</row>
    <row r="928" ht="15.75" customHeight="1" s="5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</row>
    <row r="929" ht="15.75" customHeight="1" s="5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</row>
    <row r="930" ht="15.75" customHeight="1" s="5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</row>
    <row r="931" ht="15.75" customHeight="1" s="5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</row>
    <row r="932" ht="15.75" customHeight="1" s="5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</row>
    <row r="933" ht="15.75" customHeight="1" s="5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</row>
    <row r="934" ht="15.75" customHeight="1" s="5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</row>
    <row r="935" ht="15.75" customHeight="1" s="5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</row>
    <row r="936" ht="15.75" customHeight="1" s="5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</row>
    <row r="937" ht="15.75" customHeight="1" s="5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</row>
    <row r="938" ht="15.75" customHeight="1" s="5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</row>
    <row r="939" ht="15.75" customHeight="1" s="5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</row>
    <row r="940" ht="15.75" customHeight="1" s="5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</row>
    <row r="941" ht="15.75" customHeight="1" s="5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</row>
    <row r="942" ht="15.75" customHeight="1" s="5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</row>
    <row r="943" ht="15.75" customHeight="1" s="5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</row>
    <row r="944" ht="15.75" customHeight="1" s="5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</row>
    <row r="945" ht="15.75" customHeight="1" s="5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</row>
    <row r="946" ht="15.75" customHeight="1" s="5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</row>
    <row r="947" ht="15.75" customHeight="1" s="5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</row>
    <row r="948" ht="15.75" customHeight="1" s="5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</row>
    <row r="949" ht="15.75" customHeight="1" s="5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</row>
    <row r="950" ht="15.75" customHeight="1" s="5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</row>
    <row r="951" ht="15.75" customHeight="1" s="5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</row>
    <row r="952" ht="15.75" customHeight="1" s="5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</row>
    <row r="953" ht="15.75" customHeight="1" s="5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</row>
    <row r="954" ht="15.75" customHeight="1" s="5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</row>
    <row r="955" ht="15.75" customHeight="1" s="5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</row>
    <row r="956" ht="15.75" customHeight="1" s="5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</row>
    <row r="957" ht="15.75" customHeight="1" s="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</row>
    <row r="958" ht="15.75" customHeight="1" s="5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</row>
    <row r="959" ht="15.75" customHeight="1" s="5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</row>
    <row r="960" ht="15.75" customHeight="1" s="5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</row>
    <row r="961" ht="15.75" customHeight="1" s="5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</row>
    <row r="962" ht="15.75" customHeight="1" s="5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</row>
    <row r="963" ht="15.75" customHeight="1" s="5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</row>
    <row r="964" ht="15.75" customHeight="1" s="5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</row>
    <row r="965" ht="15.75" customHeight="1" s="5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</row>
    <row r="966" ht="15.75" customHeight="1" s="5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</row>
    <row r="967" ht="15.75" customHeight="1" s="5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</row>
    <row r="968" ht="15.75" customHeight="1" s="5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</row>
    <row r="969" ht="15.75" customHeight="1" s="5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</row>
    <row r="970" ht="15.75" customHeight="1" s="5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</row>
    <row r="971" ht="15.75" customHeight="1" s="5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</row>
    <row r="972" ht="15.75" customHeight="1" s="5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</row>
    <row r="973" ht="15.75" customHeight="1" s="5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</row>
    <row r="974" ht="15.75" customHeight="1" s="5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</row>
    <row r="975" ht="15.75" customHeight="1" s="5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</row>
    <row r="976" ht="15.75" customHeight="1" s="5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</row>
    <row r="977" ht="15.75" customHeight="1" s="5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</row>
    <row r="978" ht="15.75" customHeight="1" s="5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</row>
    <row r="979" ht="15.75" customHeight="1" s="5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</row>
    <row r="980" ht="15.75" customHeight="1" s="5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</row>
    <row r="981" ht="15.75" customHeight="1" s="5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</row>
    <row r="982" ht="15.75" customHeight="1" s="5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</row>
    <row r="983" ht="15.75" customHeight="1" s="5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</row>
    <row r="984" ht="15.75" customHeight="1" s="5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</row>
    <row r="985" ht="15.75" customHeight="1" s="5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</row>
    <row r="986" ht="15.75" customHeight="1" s="5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</row>
    <row r="987" ht="15.75" customHeight="1" s="5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</row>
    <row r="988" ht="15.75" customHeight="1" s="5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</row>
    <row r="989" ht="15.75" customHeight="1" s="5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</row>
    <row r="990" ht="15.75" customHeight="1" s="5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</row>
    <row r="991" ht="15.75" customHeight="1" s="5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</row>
    <row r="992" ht="15.75" customHeight="1" s="5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</row>
    <row r="993" ht="15.75" customHeight="1" s="5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</row>
    <row r="994" ht="15.75" customHeight="1" s="5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</row>
    <row r="995" ht="15.75" customHeight="1" s="5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</row>
    <row r="996" ht="15.75" customHeight="1" s="5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</row>
    <row r="997" ht="15.75" customHeight="1" s="5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</row>
    <row r="998" ht="15.75" customHeight="1" s="5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</row>
    <row r="999" ht="15.75" customHeight="1" s="5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</row>
    <row r="1000" ht="15.75" customHeight="1" s="5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7" min="1" max="2"/>
    <col width="25" customWidth="1" style="57" min="3" max="3"/>
    <col width="18" customWidth="1" style="57" min="4" max="7"/>
    <col width="22" customWidth="1" style="57" min="8" max="8"/>
    <col width="18" customWidth="1" style="57" min="9" max="9"/>
    <col width="22" customWidth="1" style="57" min="10" max="10"/>
    <col width="24" customWidth="1" style="57" min="11" max="11"/>
    <col width="30" customWidth="1" style="57" min="12" max="12"/>
  </cols>
  <sheetData>
    <row r="1" ht="27.75" customHeight="1" s="57">
      <c r="A1" s="3" t="inlineStr">
        <is>
          <t>Date</t>
        </is>
      </c>
      <c r="B1" s="3" t="inlineStr">
        <is>
          <t>Symbol</t>
        </is>
      </c>
      <c r="C1" s="3" t="inlineStr">
        <is>
          <t>Name</t>
        </is>
      </c>
      <c r="D1" s="3" t="inlineStr">
        <is>
          <t>Composite Score</t>
        </is>
      </c>
      <c r="E1" s="3" t="inlineStr">
        <is>
          <t>Target Entry Price</t>
        </is>
      </c>
      <c r="F1" s="3" t="inlineStr">
        <is>
          <t>Initial Stop-Loss</t>
        </is>
      </c>
      <c r="G1" s="3" t="inlineStr">
        <is>
          <t>Profit Target</t>
        </is>
      </c>
      <c r="H1" s="3" t="inlineStr">
        <is>
          <t>Risk-to-Reward Ratio</t>
        </is>
      </c>
      <c r="I1" s="3" t="inlineStr">
        <is>
          <t>Recommended Qty</t>
        </is>
      </c>
      <c r="J1" s="3" t="inlineStr">
        <is>
          <t>Recommended Allocation</t>
        </is>
      </c>
      <c r="K1" s="3" t="inlineStr">
        <is>
          <t>Execution Status</t>
        </is>
      </c>
      <c r="L1" s="3" t="inlineStr">
        <is>
          <t>Notes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2026-07-21</t>
        </is>
      </c>
      <c r="B2" s="6" t="inlineStr">
        <is>
          <t>JSWSTEEL</t>
        </is>
      </c>
      <c r="C2" s="6" t="inlineStr">
        <is>
          <t>JSW Steel Limited</t>
        </is>
      </c>
      <c r="D2" s="6" t="inlineStr">
        <is>
          <t>96/100</t>
        </is>
      </c>
      <c r="E2" s="7" t="n">
        <v>1267.400024414062</v>
      </c>
      <c r="F2" s="7" t="n">
        <v>1217.533463494685</v>
      </c>
      <c r="G2" s="7" t="n">
        <v>1367.133146252818</v>
      </c>
      <c r="H2" s="6" t="inlineStr">
        <is>
          <t>1:2.0</t>
        </is>
      </c>
      <c r="I2" s="6" t="n">
        <v>1</v>
      </c>
      <c r="J2" s="7" t="n">
        <v>1267.400024414062</v>
      </c>
      <c r="K2" s="6" t="inlineStr">
        <is>
          <t>SKIPPED_BEARISH_REGIME</t>
        </is>
      </c>
      <c r="L2" s="6" t="inlineStr">
        <is>
          <t>Scanned under BEARISH regime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6" t="inlineStr">
        <is>
          <t>2026-07-21</t>
        </is>
      </c>
      <c r="B3" s="6" t="inlineStr">
        <is>
          <t>LUPIN</t>
        </is>
      </c>
      <c r="C3" s="6" t="inlineStr">
        <is>
          <t>Lupin Limited</t>
        </is>
      </c>
      <c r="D3" s="6" t="inlineStr">
        <is>
          <t>96/100</t>
        </is>
      </c>
      <c r="E3" s="7" t="n">
        <v>2514.800048828125</v>
      </c>
      <c r="F3" s="7" t="n">
        <v>2414.086713938525</v>
      </c>
      <c r="G3" s="7" t="n">
        <v>2716.226718607325</v>
      </c>
      <c r="H3" s="6" t="inlineStr">
        <is>
          <t>1:2.0</t>
        </is>
      </c>
      <c r="I3" s="6" t="n">
        <v>0</v>
      </c>
      <c r="J3" s="7" t="n">
        <v>0</v>
      </c>
      <c r="K3" s="6" t="inlineStr">
        <is>
          <t>SKIPPED_BEARISH_REGIME</t>
        </is>
      </c>
      <c r="L3" s="6" t="inlineStr">
        <is>
          <t>Scanned under BEARISH regime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2026-07-21</t>
        </is>
      </c>
      <c r="B4" s="6" t="inlineStr">
        <is>
          <t>ULTRACEMCO</t>
        </is>
      </c>
      <c r="C4" s="6" t="inlineStr">
        <is>
          <t>UltraTech Cement Limited</t>
        </is>
      </c>
      <c r="D4" s="6" t="inlineStr">
        <is>
          <t>94/100</t>
        </is>
      </c>
      <c r="E4" s="7" t="n">
        <v>12094</v>
      </c>
      <c r="F4" s="7" t="n">
        <v>11658.42857142857</v>
      </c>
      <c r="G4" s="7" t="n">
        <v>12965.14285714286</v>
      </c>
      <c r="H4" s="6" t="inlineStr">
        <is>
          <t>1:2.0</t>
        </is>
      </c>
      <c r="I4" s="6" t="n">
        <v>0</v>
      </c>
      <c r="J4" s="7" t="n">
        <v>0</v>
      </c>
      <c r="K4" s="6" t="inlineStr">
        <is>
          <t>SKIPPED_BEARISH_REGIME</t>
        </is>
      </c>
      <c r="L4" s="6" t="inlineStr">
        <is>
          <t>Scanned under BEARISH regime</t>
        </is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" t="inlineStr">
        <is>
          <t>2026-07-21</t>
        </is>
      </c>
      <c r="B5" s="6" t="inlineStr">
        <is>
          <t>NAVINFLUOR</t>
        </is>
      </c>
      <c r="C5" s="6" t="inlineStr">
        <is>
          <t>Navin Fluorine International Limited</t>
        </is>
      </c>
      <c r="D5" s="6" t="inlineStr">
        <is>
          <t>94/100</t>
        </is>
      </c>
      <c r="E5" s="7" t="n">
        <v>7882</v>
      </c>
      <c r="F5" s="7" t="n">
        <v>7455.142857142857</v>
      </c>
      <c r="G5" s="7" t="n">
        <v>8735.714285714286</v>
      </c>
      <c r="H5" s="6" t="inlineStr">
        <is>
          <t>1:2.0</t>
        </is>
      </c>
      <c r="I5" s="6" t="n">
        <v>0</v>
      </c>
      <c r="J5" s="7" t="n">
        <v>0</v>
      </c>
      <c r="K5" s="6" t="inlineStr">
        <is>
          <t>SKIPPED_BEARISH_REGIME</t>
        </is>
      </c>
      <c r="L5" s="6" t="inlineStr">
        <is>
          <t>Scanned under BEARISH regime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6" t="inlineStr">
        <is>
          <t>2026-07-21</t>
        </is>
      </c>
      <c r="B6" s="6" t="inlineStr">
        <is>
          <t>ERIS</t>
        </is>
      </c>
      <c r="C6" s="6" t="inlineStr">
        <is>
          <t>Eris Lifesciences Limited</t>
        </is>
      </c>
      <c r="D6" s="6" t="inlineStr">
        <is>
          <t>94/100</t>
        </is>
      </c>
      <c r="E6" s="7" t="n">
        <v>1470</v>
      </c>
      <c r="F6" s="7" t="n">
        <v>1391.314226422991</v>
      </c>
      <c r="G6" s="7" t="n">
        <v>1627.371547154018</v>
      </c>
      <c r="H6" s="6" t="inlineStr">
        <is>
          <t>1:2.0</t>
        </is>
      </c>
      <c r="I6" s="6" t="n">
        <v>1</v>
      </c>
      <c r="J6" s="7" t="n">
        <v>1470</v>
      </c>
      <c r="K6" s="6" t="inlineStr">
        <is>
          <t>SKIPPED_BEARISH_REGIME</t>
        </is>
      </c>
      <c r="L6" s="6" t="inlineStr">
        <is>
          <t>Scanned under BEARISH regime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6" t="inlineStr">
        <is>
          <t>2026-07-22</t>
        </is>
      </c>
      <c r="B7" s="6" t="inlineStr">
        <is>
          <t>JSWSTEEL</t>
        </is>
      </c>
      <c r="C7" s="6" t="inlineStr">
        <is>
          <t>JSW Steel Limited</t>
        </is>
      </c>
      <c r="D7" s="6" t="inlineStr">
        <is>
          <t>96/100</t>
        </is>
      </c>
      <c r="E7" s="7" t="n">
        <v>1267.4</v>
      </c>
      <c r="F7" s="7" t="n">
        <v>1219.23</v>
      </c>
      <c r="G7" s="7" t="n">
        <v>1363.73</v>
      </c>
      <c r="H7" s="6" t="inlineStr">
        <is>
          <t>1:2.0</t>
        </is>
      </c>
      <c r="I7" s="6" t="n">
        <v>1</v>
      </c>
      <c r="J7" s="7" t="n">
        <v>1267.4</v>
      </c>
      <c r="K7" s="6" t="inlineStr">
        <is>
          <t>SKIPPED_BEARISH_REGIME</t>
        </is>
      </c>
      <c r="L7" s="6" t="inlineStr">
        <is>
          <t>Manual execution shift requested by user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2026-07-22</t>
        </is>
      </c>
      <c r="B8" s="6" t="inlineStr">
        <is>
          <t>SONACOMS</t>
        </is>
      </c>
      <c r="C8" s="6" t="inlineStr">
        <is>
          <t>Sona BLW Precision Forgings Limited</t>
        </is>
      </c>
      <c r="D8" s="6" t="inlineStr">
        <is>
          <t>92/100</t>
        </is>
      </c>
      <c r="E8" s="7" t="n">
        <v>732.75</v>
      </c>
      <c r="F8" s="7" t="n">
        <v>703.5</v>
      </c>
      <c r="G8" s="7" t="n">
        <v>797.86</v>
      </c>
      <c r="H8" s="6" t="inlineStr">
        <is>
          <t>1:2.0</t>
        </is>
      </c>
      <c r="I8" s="6" t="n">
        <v>2</v>
      </c>
      <c r="J8" s="7" t="n">
        <v>1465.5</v>
      </c>
      <c r="K8" s="6" t="inlineStr">
        <is>
          <t>SKIPPED_BEARISH_REGIME</t>
        </is>
      </c>
      <c r="L8" s="6" t="inlineStr">
        <is>
          <t>Manual execution shift requested by user</t>
        </is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6" t="inlineStr">
        <is>
          <t>2026-07-22</t>
        </is>
      </c>
      <c r="B9" s="6" t="inlineStr">
        <is>
          <t>LUPIN</t>
        </is>
      </c>
      <c r="C9" s="6" t="inlineStr">
        <is>
          <t>Lupin Limited</t>
        </is>
      </c>
      <c r="D9" s="6" t="inlineStr">
        <is>
          <t>96/100</t>
        </is>
      </c>
      <c r="E9" s="7" t="n">
        <v>2514.8</v>
      </c>
      <c r="F9" s="7" t="n">
        <v>2417.09</v>
      </c>
      <c r="G9" s="7" t="n">
        <v>2710.23</v>
      </c>
      <c r="H9" s="6" t="inlineStr">
        <is>
          <t>1:2.0</t>
        </is>
      </c>
      <c r="I9" s="6" t="n">
        <v>0</v>
      </c>
      <c r="J9" s="7" t="n">
        <v>0</v>
      </c>
      <c r="K9" s="6" t="inlineStr">
        <is>
          <t>SKIPPED_BEARISH_REGIME</t>
        </is>
      </c>
      <c r="L9" s="6" t="inlineStr">
        <is>
          <t>Manual execution shift requested by user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" t="inlineStr">
        <is>
          <t>2026-07-22</t>
        </is>
      </c>
      <c r="B10" s="6" t="inlineStr">
        <is>
          <t>HAL</t>
        </is>
      </c>
      <c r="C10" s="6" t="inlineStr">
        <is>
          <t>Hindustan Aeronautics Limited</t>
        </is>
      </c>
      <c r="D10" s="6" t="inlineStr">
        <is>
          <t>90/100</t>
        </is>
      </c>
      <c r="E10" s="7" t="n">
        <v>4581.7</v>
      </c>
      <c r="F10" s="7" t="n">
        <v>4414.33</v>
      </c>
      <c r="G10" s="7" t="n">
        <v>4916.44</v>
      </c>
      <c r="H10" s="6" t="inlineStr">
        <is>
          <t>1:2.0</t>
        </is>
      </c>
      <c r="I10" s="6" t="n">
        <v>0</v>
      </c>
      <c r="J10" s="7" t="n">
        <v>0</v>
      </c>
      <c r="K10" s="6" t="inlineStr">
        <is>
          <t>SKIPPED_BEARISH_REGIME</t>
        </is>
      </c>
      <c r="L10" s="6" t="inlineStr">
        <is>
          <t>Manual execution shift requested by user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6" t="inlineStr">
        <is>
          <t>2026-07-22</t>
        </is>
      </c>
      <c r="B11" s="6" t="inlineStr">
        <is>
          <t>SHREECEM</t>
        </is>
      </c>
      <c r="C11" s="6" t="inlineStr">
        <is>
          <t>Shree Cement Limited</t>
        </is>
      </c>
      <c r="D11" s="6" t="inlineStr">
        <is>
          <t>92/100</t>
        </is>
      </c>
      <c r="E11" s="7" t="n">
        <v>27245</v>
      </c>
      <c r="F11" s="7" t="n">
        <v>26152.92</v>
      </c>
      <c r="G11" s="7" t="n">
        <v>29429.17</v>
      </c>
      <c r="H11" s="6" t="inlineStr">
        <is>
          <t>1:2.0</t>
        </is>
      </c>
      <c r="I11" s="6" t="n">
        <v>0</v>
      </c>
      <c r="J11" s="7" t="n">
        <v>0</v>
      </c>
      <c r="K11" s="6" t="inlineStr">
        <is>
          <t>SKIPPED_BEARISH_REGIME</t>
        </is>
      </c>
      <c r="L11" s="6" t="inlineStr">
        <is>
          <t>Manual execution shift requested by user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2026-07-27</t>
        </is>
      </c>
      <c r="B12" s="2" t="inlineStr">
        <is>
          <t>TECHM</t>
        </is>
      </c>
      <c r="C12" s="2" t="inlineStr">
        <is>
          <t>Tech Mahindra Limited</t>
        </is>
      </c>
      <c r="D12" s="2" t="inlineStr">
        <is>
          <t>76/100</t>
        </is>
      </c>
      <c r="E12" s="7" t="n">
        <v>1559.5</v>
      </c>
      <c r="F12" s="7" t="n">
        <v>1508.1</v>
      </c>
      <c r="G12" s="7" t="n">
        <v>1746.3</v>
      </c>
      <c r="H12" s="2" t="inlineStr">
        <is>
          <t>1:2.0</t>
        </is>
      </c>
      <c r="I12" s="2" t="n">
        <v>0</v>
      </c>
      <c r="J12" s="7" t="n">
        <v>0</v>
      </c>
      <c r="K12" s="2" t="inlineStr">
        <is>
          <t>PENDING</t>
        </is>
      </c>
      <c r="L12" s="2" t="inlineStr">
        <is>
          <t>Scanned under STATE 3: Capitulation Bottom</t>
        </is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2026-07-30</t>
        </is>
      </c>
      <c r="B13" s="2" t="inlineStr">
        <is>
          <t>BERGEPAINT</t>
        </is>
      </c>
      <c r="C13" s="2" t="inlineStr">
        <is>
          <t>Berger Paints India Limited</t>
        </is>
      </c>
      <c r="D13" s="2" t="inlineStr">
        <is>
          <t>96/100</t>
        </is>
      </c>
      <c r="E13" s="7" t="n">
        <v>521.35</v>
      </c>
      <c r="F13" s="7" t="n">
        <v>494.6</v>
      </c>
      <c r="G13" s="7" t="n">
        <v>574.85</v>
      </c>
      <c r="H13" s="2" t="inlineStr">
        <is>
          <t>1:2.0</t>
        </is>
      </c>
      <c r="I13" s="2" t="n">
        <v>1</v>
      </c>
      <c r="J13" s="7" t="n">
        <v>521.35</v>
      </c>
      <c r="K13" s="2" t="inlineStr">
        <is>
          <t>PENDING</t>
        </is>
      </c>
      <c r="L13" s="2" t="inlineStr">
        <is>
          <t>After Market Order (AMO) placed on 2026-07-30 | GTT Trigger ID: 329793870</t>
        </is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2026-08-04</t>
        </is>
      </c>
      <c r="B14" s="2" t="inlineStr">
        <is>
          <t>NESTLEIND</t>
        </is>
      </c>
      <c r="C14" s="2" t="inlineStr">
        <is>
          <t>Nestle India Limited</t>
        </is>
      </c>
      <c r="D14" s="2" t="inlineStr">
        <is>
          <t>100/100</t>
        </is>
      </c>
      <c r="E14" s="7" t="n">
        <v>1530</v>
      </c>
      <c r="F14" s="7" t="n">
        <v>1520.11</v>
      </c>
      <c r="G14" s="7" t="n">
        <v>1549.77</v>
      </c>
      <c r="H14" s="2" t="inlineStr">
        <is>
          <t>1:2.0</t>
        </is>
      </c>
      <c r="I14" s="2" t="n">
        <v>1</v>
      </c>
      <c r="J14" s="7" t="n">
        <v>1530</v>
      </c>
      <c r="K14" s="2" t="inlineStr">
        <is>
          <t>ACTIVE</t>
        </is>
      </c>
      <c r="L14" s="2" t="inlineStr">
        <is>
          <t>Intraday recommendation for 2026-08-04</t>
        </is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2026-08-04</t>
        </is>
      </c>
      <c r="B15" s="2" t="inlineStr">
        <is>
          <t>PIDILITIND</t>
        </is>
      </c>
      <c r="C15" s="2" t="inlineStr">
        <is>
          <t>Pidilite Industries Limited</t>
        </is>
      </c>
      <c r="D15" s="2" t="inlineStr">
        <is>
          <t>100/100</t>
        </is>
      </c>
      <c r="E15" s="7" t="n">
        <v>1642.5</v>
      </c>
      <c r="F15" s="7" t="n">
        <v>1634.5</v>
      </c>
      <c r="G15" s="7" t="n">
        <v>1658.5</v>
      </c>
      <c r="H15" s="2" t="inlineStr">
        <is>
          <t>1:2.0</t>
        </is>
      </c>
      <c r="I15" s="2" t="n">
        <v>1</v>
      </c>
      <c r="J15" s="7" t="n">
        <v>1642.5</v>
      </c>
      <c r="K15" s="2" t="inlineStr">
        <is>
          <t>ACTIVE</t>
        </is>
      </c>
      <c r="L15" s="2" t="inlineStr">
        <is>
          <t>Intraday recommendation for 2026-08-04</t>
        </is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2026-08-11</t>
        </is>
      </c>
      <c r="B16" s="2" t="inlineStr">
        <is>
          <t>OIL</t>
        </is>
      </c>
      <c r="C16" s="2" t="inlineStr">
        <is>
          <t>Oil India Limited</t>
        </is>
      </c>
      <c r="D16" s="2" t="inlineStr">
        <is>
          <t>96/100</t>
        </is>
      </c>
      <c r="E16" s="7" t="n">
        <v>472.8999938964844</v>
      </c>
      <c r="F16" s="7" t="n">
        <v>445.4499947684152</v>
      </c>
      <c r="G16" s="7" t="n">
        <v>527.7999921526227</v>
      </c>
      <c r="H16" s="2" t="inlineStr">
        <is>
          <t>1:2.0</t>
        </is>
      </c>
      <c r="I16" s="2" t="n">
        <v>0</v>
      </c>
      <c r="J16" s="7" t="n">
        <v>0</v>
      </c>
      <c r="K16" s="2" t="inlineStr">
        <is>
          <t>PENDING</t>
        </is>
      </c>
      <c r="L16" s="2" t="inlineStr">
        <is>
          <t>Swing Scanner (STATE 1: Macro Bullish)</t>
        </is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2026-08-11</t>
        </is>
      </c>
      <c r="B17" s="2" t="inlineStr">
        <is>
          <t>OLECTRA</t>
        </is>
      </c>
      <c r="C17" s="2" t="inlineStr">
        <is>
          <t>Olectra Greentech Limited</t>
        </is>
      </c>
      <c r="D17" s="2" t="inlineStr">
        <is>
          <t>96/100</t>
        </is>
      </c>
      <c r="E17" s="7" t="n">
        <v>1408</v>
      </c>
      <c r="F17" s="7" t="n">
        <v>1341.771414620536</v>
      </c>
      <c r="G17" s="7" t="n">
        <v>1540.457170758929</v>
      </c>
      <c r="H17" s="2" t="inlineStr">
        <is>
          <t>1:2.0</t>
        </is>
      </c>
      <c r="I17" s="2" t="n">
        <v>0</v>
      </c>
      <c r="J17" s="7" t="n">
        <v>0</v>
      </c>
      <c r="K17" s="2" t="inlineStr">
        <is>
          <t>PENDING</t>
        </is>
      </c>
      <c r="L17" s="2" t="inlineStr">
        <is>
          <t>Swing Scanner (STATE 1: Macro Bullish)</t>
        </is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2026-08-11</t>
        </is>
      </c>
      <c r="B18" s="2" t="inlineStr">
        <is>
          <t>AKUMS</t>
        </is>
      </c>
      <c r="C18" s="2" t="inlineStr">
        <is>
          <t>AKUMS</t>
        </is>
      </c>
      <c r="D18" s="2" t="inlineStr">
        <is>
          <t>96/100</t>
        </is>
      </c>
      <c r="E18" s="7" t="n">
        <v>764.0499877929688</v>
      </c>
      <c r="F18" s="7" t="n">
        <v>717.2571149553571</v>
      </c>
      <c r="G18" s="7" t="n">
        <v>857.6357334681919</v>
      </c>
      <c r="H18" s="2" t="inlineStr">
        <is>
          <t>1:2.0</t>
        </is>
      </c>
      <c r="I18" s="2" t="n">
        <v>0</v>
      </c>
      <c r="J18" s="7" t="n">
        <v>0</v>
      </c>
      <c r="K18" s="2" t="inlineStr">
        <is>
          <t>PENDING</t>
        </is>
      </c>
      <c r="L18" s="2" t="inlineStr">
        <is>
          <t>Swing Scanner (STATE 1: Macro Bullish)</t>
        </is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2026-08-11</t>
        </is>
      </c>
      <c r="B19" s="2" t="inlineStr">
        <is>
          <t>CONCORDBIO</t>
        </is>
      </c>
      <c r="C19" s="2" t="inlineStr">
        <is>
          <t>Concord Biotech Limited</t>
        </is>
      </c>
      <c r="D19" s="2" t="inlineStr">
        <is>
          <t>96/100</t>
        </is>
      </c>
      <c r="E19" s="7" t="n">
        <v>1461.400024414062</v>
      </c>
      <c r="F19" s="7" t="n">
        <v>1350.727503014851</v>
      </c>
      <c r="G19" s="7" t="n">
        <v>1682.745067212486</v>
      </c>
      <c r="H19" s="2" t="inlineStr">
        <is>
          <t>1:2.0</t>
        </is>
      </c>
      <c r="I19" s="2" t="n">
        <v>0</v>
      </c>
      <c r="J19" s="7" t="n">
        <v>0</v>
      </c>
      <c r="K19" s="2" t="inlineStr">
        <is>
          <t>PENDING</t>
        </is>
      </c>
      <c r="L19" s="2" t="inlineStr">
        <is>
          <t>Swing Scanner (STATE 1: Macro Bullish)</t>
        </is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2026-08-11</t>
        </is>
      </c>
      <c r="B20" s="2" t="inlineStr">
        <is>
          <t>CHENNPETRO</t>
        </is>
      </c>
      <c r="C20" s="2" t="inlineStr">
        <is>
          <t>Chennai Petroleum Corporation Limited</t>
        </is>
      </c>
      <c r="D20" s="2" t="inlineStr">
        <is>
          <t>96/100</t>
        </is>
      </c>
      <c r="E20" s="7" t="n">
        <v>1353.099975585938</v>
      </c>
      <c r="F20" s="7" t="n">
        <v>1214.848859742893</v>
      </c>
      <c r="G20" s="7" t="n">
        <v>1629.602207272027</v>
      </c>
      <c r="H20" s="2" t="inlineStr">
        <is>
          <t>1:2.0</t>
        </is>
      </c>
      <c r="I20" s="2" t="n">
        <v>0</v>
      </c>
      <c r="J20" s="7" t="n">
        <v>0</v>
      </c>
      <c r="K20" s="2" t="inlineStr">
        <is>
          <t>PENDING</t>
        </is>
      </c>
      <c r="L20" s="2" t="inlineStr">
        <is>
          <t>Swing Scanner (STATE 1: Macro Bullish)</t>
        </is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57">
      <c r="A21" s="2" t="inlineStr">
        <is>
          <t>2026-08-11</t>
        </is>
      </c>
      <c r="B21" s="2" t="inlineStr">
        <is>
          <t>POLYMED</t>
        </is>
      </c>
      <c r="C21" s="2" t="inlineStr">
        <is>
          <t>Poly Medicure Limited</t>
        </is>
      </c>
      <c r="D21" s="2" t="inlineStr">
        <is>
          <t>92/100</t>
        </is>
      </c>
      <c r="E21" s="7" t="n">
        <v>1885.7</v>
      </c>
      <c r="F21" s="7" t="n">
        <v>1818.6</v>
      </c>
      <c r="G21" s="7" t="n">
        <v>2019.85</v>
      </c>
      <c r="H21" s="2" t="inlineStr">
        <is>
          <t>1:2.0</t>
        </is>
      </c>
      <c r="I21" s="2" t="n">
        <v>0</v>
      </c>
      <c r="J21" s="7" t="n">
        <v>0</v>
      </c>
      <c r="K21" s="2" t="inlineStr">
        <is>
          <t>PENDING</t>
        </is>
      </c>
      <c r="L21" s="2" t="inlineStr">
        <is>
          <t>Intraday Scanner (STATE 1: Macro Bullish)</t>
        </is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57">
      <c r="A22" s="2" t="inlineStr">
        <is>
          <t>2026-08-11</t>
        </is>
      </c>
      <c r="B22" s="2" t="inlineStr">
        <is>
          <t>DEVYANI</t>
        </is>
      </c>
      <c r="C22" s="2" t="inlineStr">
        <is>
          <t>Devyani International Limited</t>
        </is>
      </c>
      <c r="D22" s="2" t="inlineStr">
        <is>
          <t>88/100</t>
        </is>
      </c>
      <c r="E22" s="7" t="n">
        <v>141.06</v>
      </c>
      <c r="F22" s="7" t="n">
        <v>134.5</v>
      </c>
      <c r="G22" s="7" t="n">
        <v>154.2</v>
      </c>
      <c r="H22" s="2" t="inlineStr">
        <is>
          <t>1:2.0</t>
        </is>
      </c>
      <c r="I22" s="2" t="n">
        <v>0</v>
      </c>
      <c r="J22" s="7" t="n">
        <v>0</v>
      </c>
      <c r="K22" s="2" t="inlineStr">
        <is>
          <t>PENDING</t>
        </is>
      </c>
      <c r="L22" s="2" t="inlineStr">
        <is>
          <t>Intraday Scanner (STATE 1: Macro Bullish)</t>
        </is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57">
      <c r="A23" s="2" t="inlineStr">
        <is>
          <t>2026-08-11</t>
        </is>
      </c>
      <c r="B23" s="2" t="inlineStr">
        <is>
          <t>IPCALAB</t>
        </is>
      </c>
      <c r="C23" s="2" t="inlineStr">
        <is>
          <t>IPCA Laboratories Limited</t>
        </is>
      </c>
      <c r="D23" s="2" t="inlineStr">
        <is>
          <t>86/100</t>
        </is>
      </c>
      <c r="E23" s="7" t="n">
        <v>1731.9</v>
      </c>
      <c r="F23" s="7" t="n">
        <v>1699.65</v>
      </c>
      <c r="G23" s="7" t="n">
        <v>1796.4</v>
      </c>
      <c r="H23" s="2" t="inlineStr">
        <is>
          <t>1:2.0</t>
        </is>
      </c>
      <c r="I23" s="2" t="n">
        <v>0</v>
      </c>
      <c r="J23" s="7" t="n">
        <v>0</v>
      </c>
      <c r="K23" s="2" t="inlineStr">
        <is>
          <t>PENDING</t>
        </is>
      </c>
      <c r="L23" s="2" t="inlineStr">
        <is>
          <t>Intraday Scanner (STATE 1: Macro Bullish)</t>
        </is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57">
      <c r="A24" s="2" t="inlineStr">
        <is>
          <t>2026-08-11</t>
        </is>
      </c>
      <c r="B24" s="2" t="inlineStr">
        <is>
          <t>GRAPHITE</t>
        </is>
      </c>
      <c r="C24" s="2" t="inlineStr">
        <is>
          <t>Graphite India Limited</t>
        </is>
      </c>
      <c r="D24" s="2" t="inlineStr">
        <is>
          <t>85/100</t>
        </is>
      </c>
      <c r="E24" s="7" t="n">
        <v>738.7</v>
      </c>
      <c r="F24" s="7" t="n">
        <v>726.55</v>
      </c>
      <c r="G24" s="7" t="n">
        <v>763</v>
      </c>
      <c r="H24" s="2" t="inlineStr">
        <is>
          <t>1:2.0</t>
        </is>
      </c>
      <c r="I24" s="2" t="n">
        <v>0</v>
      </c>
      <c r="J24" s="7" t="n">
        <v>0</v>
      </c>
      <c r="K24" s="2" t="inlineStr">
        <is>
          <t>PENDING</t>
        </is>
      </c>
      <c r="L24" s="2" t="inlineStr">
        <is>
          <t>Intraday Scanner (STATE 1: Macro Bullish)</t>
        </is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57">
      <c r="A25" s="2" t="inlineStr">
        <is>
          <t>2026-08-11</t>
        </is>
      </c>
      <c r="B25" s="2" t="inlineStr">
        <is>
          <t>AJANTPHARM</t>
        </is>
      </c>
      <c r="C25" s="2" t="inlineStr">
        <is>
          <t>Ajanta Pharma Limited</t>
        </is>
      </c>
      <c r="D25" s="2" t="inlineStr">
        <is>
          <t>83/100</t>
        </is>
      </c>
      <c r="E25" s="7" t="n">
        <v>3572.6</v>
      </c>
      <c r="F25" s="7" t="n">
        <v>3521.3</v>
      </c>
      <c r="G25" s="7" t="n">
        <v>3675.2</v>
      </c>
      <c r="H25" s="2" t="inlineStr">
        <is>
          <t>1:2.0</t>
        </is>
      </c>
      <c r="I25" s="2" t="n">
        <v>0</v>
      </c>
      <c r="J25" s="7" t="n">
        <v>0</v>
      </c>
      <c r="K25" s="2" t="inlineStr">
        <is>
          <t>PENDING</t>
        </is>
      </c>
      <c r="L25" s="2" t="inlineStr">
        <is>
          <t>Intraday Scanner (STATE 1: Macro Bullish)</t>
        </is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57">
      <c r="A26" s="2" t="inlineStr">
        <is>
          <t>2026-08-11</t>
        </is>
      </c>
      <c r="B26" s="2" t="inlineStr">
        <is>
          <t>CLEAN</t>
        </is>
      </c>
      <c r="C26" s="2" t="inlineStr">
        <is>
          <t>Clean Science and Technology Limited</t>
        </is>
      </c>
      <c r="D26" s="2" t="inlineStr">
        <is>
          <t>100/100</t>
        </is>
      </c>
      <c r="E26" s="7" t="n">
        <v>803.5499877929688</v>
      </c>
      <c r="F26" s="7" t="n">
        <v>754.6499895368304</v>
      </c>
      <c r="G26" s="7" t="n">
        <v>901.3499843052456</v>
      </c>
      <c r="H26" s="2" t="inlineStr">
        <is>
          <t>1:2.0</t>
        </is>
      </c>
      <c r="I26" s="2" t="n">
        <v>0</v>
      </c>
      <c r="J26" s="7" t="n">
        <v>0</v>
      </c>
      <c r="K26" s="2" t="inlineStr">
        <is>
          <t>PENDING</t>
        </is>
      </c>
      <c r="L26" s="2" t="inlineStr">
        <is>
          <t>Swing Scanner (STATE 1: Macro Bullish)</t>
        </is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57">
      <c r="A27" s="2" t="inlineStr">
        <is>
          <t>2026-08-11</t>
        </is>
      </c>
      <c r="B27" s="2" t="inlineStr">
        <is>
          <t>HARSHA</t>
        </is>
      </c>
      <c r="C27" s="2" t="inlineStr">
        <is>
          <t>Harsha Engineers International Limited</t>
        </is>
      </c>
      <c r="D27" s="2" t="inlineStr">
        <is>
          <t>100/100</t>
        </is>
      </c>
      <c r="E27" s="7" t="n">
        <v>432.6000061035156</v>
      </c>
      <c r="F27" s="7" t="n">
        <v>408.8357151576451</v>
      </c>
      <c r="G27" s="7" t="n">
        <v>480.1285879952567</v>
      </c>
      <c r="H27" s="2" t="inlineStr">
        <is>
          <t>1:2.0</t>
        </is>
      </c>
      <c r="I27" s="2" t="n">
        <v>0</v>
      </c>
      <c r="J27" s="7" t="n">
        <v>0</v>
      </c>
      <c r="K27" s="2" t="inlineStr">
        <is>
          <t>PENDING</t>
        </is>
      </c>
      <c r="L27" s="2" t="inlineStr">
        <is>
          <t>Swing Scanner (STATE 1: Macro Bullish)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57">
      <c r="A28" s="2" t="inlineStr">
        <is>
          <t>2026-08-11</t>
        </is>
      </c>
      <c r="B28" s="2" t="inlineStr">
        <is>
          <t>SCHNEIDER</t>
        </is>
      </c>
      <c r="C28" s="2" t="inlineStr">
        <is>
          <t>Schneider Electric Infrastructure Limited</t>
        </is>
      </c>
      <c r="D28" s="2" t="inlineStr">
        <is>
          <t>96/100</t>
        </is>
      </c>
      <c r="E28" s="7" t="n">
        <v>1424.900024414062</v>
      </c>
      <c r="F28" s="7" t="n">
        <v>1320.614310128348</v>
      </c>
      <c r="G28" s="7" t="n">
        <v>1633.471452985491</v>
      </c>
      <c r="H28" s="2" t="inlineStr">
        <is>
          <t>1:2.0</t>
        </is>
      </c>
      <c r="I28" s="2" t="n">
        <v>0</v>
      </c>
      <c r="J28" s="7" t="n">
        <v>0</v>
      </c>
      <c r="K28" s="2" t="inlineStr">
        <is>
          <t>PENDING</t>
        </is>
      </c>
      <c r="L28" s="2" t="inlineStr">
        <is>
          <t>Swing Scanner (STATE 1: Macro Bullish)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57">
      <c r="A29" s="2" t="inlineStr">
        <is>
          <t>2026-08-11</t>
        </is>
      </c>
      <c r="B29" s="2" t="inlineStr">
        <is>
          <t>BRITANNIA</t>
        </is>
      </c>
      <c r="C29" s="2" t="inlineStr">
        <is>
          <t>Britannia Industries Limited</t>
        </is>
      </c>
      <c r="D29" s="2" t="inlineStr">
        <is>
          <t>96/100</t>
        </is>
      </c>
      <c r="E29" s="7" t="n">
        <v>5623.5</v>
      </c>
      <c r="F29" s="7" t="n">
        <v>5378.120418563584</v>
      </c>
      <c r="G29" s="7" t="n">
        <v>6114.259162872831</v>
      </c>
      <c r="H29" s="2" t="inlineStr">
        <is>
          <t>1:2.0</t>
        </is>
      </c>
      <c r="I29" s="2" t="n">
        <v>0</v>
      </c>
      <c r="J29" s="7" t="n">
        <v>0</v>
      </c>
      <c r="K29" s="2" t="inlineStr">
        <is>
          <t>PENDING</t>
        </is>
      </c>
      <c r="L29" s="2" t="inlineStr">
        <is>
          <t>Swing Scanner (STATE 1: Macro Bullish)</t>
        </is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57">
      <c r="A30" s="2" t="inlineStr">
        <is>
          <t>2026-08-11</t>
        </is>
      </c>
      <c r="B30" s="2" t="inlineStr">
        <is>
          <t>AVALON</t>
        </is>
      </c>
      <c r="C30" s="2" t="inlineStr">
        <is>
          <t>Avalon Technologies Limited</t>
        </is>
      </c>
      <c r="D30" s="2" t="inlineStr">
        <is>
          <t>96/100</t>
        </is>
      </c>
      <c r="E30" s="7" t="n">
        <v>1923.699951171875</v>
      </c>
      <c r="F30" s="7" t="n">
        <v>1723.614240373884</v>
      </c>
      <c r="G30" s="7" t="n">
        <v>2323.871372767857</v>
      </c>
      <c r="H30" s="2" t="inlineStr">
        <is>
          <t>1:2.0</t>
        </is>
      </c>
      <c r="I30" s="2" t="n">
        <v>0</v>
      </c>
      <c r="J30" s="7" t="n">
        <v>0</v>
      </c>
      <c r="K30" s="2" t="inlineStr">
        <is>
          <t>PENDING</t>
        </is>
      </c>
      <c r="L30" s="2" t="inlineStr">
        <is>
          <t>Swing Scanner (STATE 1: Macro Bullish)</t>
        </is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57">
      <c r="A31" s="2" t="inlineStr">
        <is>
          <t>2026-08-11</t>
        </is>
      </c>
      <c r="B31" s="2" t="inlineStr">
        <is>
          <t>BEL</t>
        </is>
      </c>
      <c r="C31" s="2" t="inlineStr">
        <is>
          <t>Bharat Electronics Limited</t>
        </is>
      </c>
      <c r="D31" s="2" t="inlineStr">
        <is>
          <t>100/100</t>
        </is>
      </c>
      <c r="E31" s="7" t="n">
        <v>405.85</v>
      </c>
      <c r="F31" s="7" t="n">
        <v>399.4</v>
      </c>
      <c r="G31" s="7" t="n">
        <v>418.75</v>
      </c>
      <c r="H31" s="2" t="inlineStr">
        <is>
          <t>1:2.0</t>
        </is>
      </c>
      <c r="I31" s="2" t="n">
        <v>0</v>
      </c>
      <c r="J31" s="7" t="n">
        <v>0</v>
      </c>
      <c r="K31" s="2" t="inlineStr">
        <is>
          <t>PENDING</t>
        </is>
      </c>
      <c r="L31" s="2" t="inlineStr">
        <is>
          <t>Intraday Scanner (STATE 1: Macro Bullish)</t>
        </is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57">
      <c r="A32" s="2" t="inlineStr">
        <is>
          <t>2026-08-11</t>
        </is>
      </c>
      <c r="B32" s="2" t="inlineStr">
        <is>
          <t>CGPOWER</t>
        </is>
      </c>
      <c r="C32" s="2" t="inlineStr">
        <is>
          <t>CG Power and Industrial Solutions Limited</t>
        </is>
      </c>
      <c r="D32" s="2" t="inlineStr">
        <is>
          <t>100/100</t>
        </is>
      </c>
      <c r="E32" s="7" t="n">
        <v>881</v>
      </c>
      <c r="F32" s="7" t="n">
        <v>873.4</v>
      </c>
      <c r="G32" s="7" t="n">
        <v>896.25</v>
      </c>
      <c r="H32" s="2" t="inlineStr">
        <is>
          <t>1:2.0</t>
        </is>
      </c>
      <c r="I32" s="2" t="n">
        <v>0</v>
      </c>
      <c r="J32" s="7" t="n">
        <v>0</v>
      </c>
      <c r="K32" s="2" t="inlineStr">
        <is>
          <t>PENDING</t>
        </is>
      </c>
      <c r="L32" s="2" t="inlineStr">
        <is>
          <t>Intraday Scanner (STATE 1: Macro Bullish)</t>
        </is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57">
      <c r="A33" s="2" t="inlineStr">
        <is>
          <t>2026-08-11</t>
        </is>
      </c>
      <c r="B33" s="2" t="inlineStr">
        <is>
          <t>IGL</t>
        </is>
      </c>
      <c r="C33" s="2" t="inlineStr">
        <is>
          <t>Indraprastha Gas Limited</t>
        </is>
      </c>
      <c r="D33" s="2" t="inlineStr">
        <is>
          <t>100/100</t>
        </is>
      </c>
      <c r="E33" s="7" t="n">
        <v>153.07</v>
      </c>
      <c r="F33" s="7" t="n">
        <v>151.85</v>
      </c>
      <c r="G33" s="7" t="n">
        <v>155.45</v>
      </c>
      <c r="H33" s="2" t="inlineStr">
        <is>
          <t>1:2.0</t>
        </is>
      </c>
      <c r="I33" s="2" t="n">
        <v>0</v>
      </c>
      <c r="J33" s="7" t="n">
        <v>0</v>
      </c>
      <c r="K33" s="2" t="inlineStr">
        <is>
          <t>PENDING</t>
        </is>
      </c>
      <c r="L33" s="2" t="inlineStr">
        <is>
          <t>Intraday Scanner (STATE 1: Macro Bullish)</t>
        </is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57">
      <c r="A34" s="2" t="inlineStr">
        <is>
          <t>2026-08-11</t>
        </is>
      </c>
      <c r="B34" s="2" t="inlineStr">
        <is>
          <t>DRREDDY</t>
        </is>
      </c>
      <c r="C34" s="2" t="inlineStr">
        <is>
          <t>Dr. Reddy's Laboratories Limited</t>
        </is>
      </c>
      <c r="D34" s="2" t="inlineStr">
        <is>
          <t>100/100</t>
        </is>
      </c>
      <c r="E34" s="7" t="n">
        <v>1205</v>
      </c>
      <c r="F34" s="7" t="n">
        <v>1189.6</v>
      </c>
      <c r="G34" s="7" t="n">
        <v>1235.85</v>
      </c>
      <c r="H34" s="2" t="inlineStr">
        <is>
          <t>1:2.0</t>
        </is>
      </c>
      <c r="I34" s="2" t="n">
        <v>0</v>
      </c>
      <c r="J34" s="7" t="n">
        <v>0</v>
      </c>
      <c r="K34" s="2" t="inlineStr">
        <is>
          <t>PENDING</t>
        </is>
      </c>
      <c r="L34" s="2" t="inlineStr">
        <is>
          <t>Intraday Scanner (STATE 1: Macro Bullish)</t>
        </is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57">
      <c r="A35" s="2" t="inlineStr">
        <is>
          <t>2026-08-11</t>
        </is>
      </c>
      <c r="B35" s="2" t="inlineStr">
        <is>
          <t>TATACOMM</t>
        </is>
      </c>
      <c r="C35" s="2" t="inlineStr">
        <is>
          <t>Tata Communications Limited</t>
        </is>
      </c>
      <c r="D35" s="2" t="inlineStr">
        <is>
          <t>100/100</t>
        </is>
      </c>
      <c r="E35" s="7" t="n">
        <v>1746.1</v>
      </c>
      <c r="F35" s="7" t="n">
        <v>1722.5</v>
      </c>
      <c r="G35" s="7" t="n">
        <v>1793.25</v>
      </c>
      <c r="H35" s="2" t="inlineStr">
        <is>
          <t>1:2.0</t>
        </is>
      </c>
      <c r="I35" s="2" t="n">
        <v>0</v>
      </c>
      <c r="J35" s="7" t="n">
        <v>0</v>
      </c>
      <c r="K35" s="2" t="inlineStr">
        <is>
          <t>PENDING</t>
        </is>
      </c>
      <c r="L35" s="2" t="inlineStr">
        <is>
          <t>Intraday Scanner (STATE 1: Macro Bullish)</t>
        </is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57">
      <c r="A36" s="2" t="inlineStr">
        <is>
          <t>2026-08-21</t>
        </is>
      </c>
      <c r="B36" s="2" t="inlineStr">
        <is>
          <t>IOLCP</t>
        </is>
      </c>
      <c r="C36" s="2" t="inlineStr">
        <is>
          <t>IOL Chemicals and Pharmaceuticals Limited</t>
        </is>
      </c>
      <c r="D36" s="2" t="inlineStr">
        <is>
          <t>98/100</t>
        </is>
      </c>
      <c r="E36" s="7" t="n">
        <v>169.5200042724609</v>
      </c>
      <c r="F36" s="7" t="n">
        <v>150.7757219587054</v>
      </c>
      <c r="G36" s="7" t="n">
        <v>216.3807100568499</v>
      </c>
      <c r="H36" s="2" t="inlineStr">
        <is>
          <t>1:2.5</t>
        </is>
      </c>
      <c r="I36" s="2" t="n">
        <v>0</v>
      </c>
      <c r="J36" s="7" t="n">
        <v>0</v>
      </c>
      <c r="K36" s="2" t="inlineStr">
        <is>
          <t>PENDING</t>
        </is>
      </c>
      <c r="L36" s="2" t="inlineStr">
        <is>
          <t>Swing Scanner (STATE 3: Capitulation Bottom)</t>
        </is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57">
      <c r="A37" s="2" t="inlineStr">
        <is>
          <t>2026-08-21</t>
        </is>
      </c>
      <c r="B37" s="2" t="inlineStr">
        <is>
          <t>AEROFLEX</t>
        </is>
      </c>
      <c r="C37" s="2" t="inlineStr">
        <is>
          <t>Aeroflex Industries Limited</t>
        </is>
      </c>
      <c r="D37" s="2" t="inlineStr">
        <is>
          <t>98/100</t>
        </is>
      </c>
      <c r="E37" s="7" t="n">
        <v>503</v>
      </c>
      <c r="F37" s="7" t="n">
        <v>457.8714338030134</v>
      </c>
      <c r="G37" s="7" t="n">
        <v>615.8214154924665</v>
      </c>
      <c r="H37" s="2" t="inlineStr">
        <is>
          <t>1:2.5</t>
        </is>
      </c>
      <c r="I37" s="2" t="n">
        <v>0</v>
      </c>
      <c r="J37" s="7" t="n">
        <v>0</v>
      </c>
      <c r="K37" s="2" t="inlineStr">
        <is>
          <t>PENDING</t>
        </is>
      </c>
      <c r="L37" s="2" t="inlineStr">
        <is>
          <t>Swing Scanner (STATE 3: Capitulation Bottom)</t>
        </is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57">
      <c r="A38" s="2" t="inlineStr">
        <is>
          <t>2026-08-21</t>
        </is>
      </c>
      <c r="B38" s="2" t="inlineStr">
        <is>
          <t>ATL</t>
        </is>
      </c>
      <c r="C38" s="2" t="inlineStr">
        <is>
          <t>Allcargo Terminals Limited</t>
        </is>
      </c>
      <c r="D38" s="2" t="inlineStr">
        <is>
          <t>98/100</t>
        </is>
      </c>
      <c r="E38" s="7" t="n">
        <v>24.86000061035156</v>
      </c>
      <c r="F38" s="7" t="n">
        <v>22.46000017438616</v>
      </c>
      <c r="G38" s="7" t="n">
        <v>30.86000170026507</v>
      </c>
      <c r="H38" s="2" t="inlineStr">
        <is>
          <t>1:2.5</t>
        </is>
      </c>
      <c r="I38" s="2" t="n">
        <v>2</v>
      </c>
      <c r="J38" s="7" t="n">
        <v>49.72000122070312</v>
      </c>
      <c r="K38" s="2" t="inlineStr">
        <is>
          <t>PENDING</t>
        </is>
      </c>
      <c r="L38" s="2" t="inlineStr">
        <is>
          <t>Swing Scanner (STATE 3: Capitulation Bottom)</t>
        </is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57">
      <c r="A39" s="2" t="inlineStr">
        <is>
          <t>2026-08-21</t>
        </is>
      </c>
      <c r="B39" s="2" t="inlineStr">
        <is>
          <t>HINDZINC</t>
        </is>
      </c>
      <c r="C39" s="2" t="inlineStr">
        <is>
          <t>Hindustan Zinc Limited</t>
        </is>
      </c>
      <c r="D39" s="2" t="inlineStr">
        <is>
          <t>98/100</t>
        </is>
      </c>
      <c r="E39" s="7" t="n">
        <v>594.9000244140625</v>
      </c>
      <c r="F39" s="7" t="n">
        <v>556.4143153599331</v>
      </c>
      <c r="G39" s="7" t="n">
        <v>691.1142970493862</v>
      </c>
      <c r="H39" s="2" t="inlineStr">
        <is>
          <t>1:2.5</t>
        </is>
      </c>
      <c r="I39" s="2" t="n">
        <v>0</v>
      </c>
      <c r="J39" s="7" t="n">
        <v>0</v>
      </c>
      <c r="K39" s="2" t="inlineStr">
        <is>
          <t>PENDING</t>
        </is>
      </c>
      <c r="L39" s="2" t="inlineStr">
        <is>
          <t>Swing Scanner (STATE 3: Capitulation Bottom)</t>
        </is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57">
      <c r="A40" s="2" t="inlineStr">
        <is>
          <t>2026-08-21</t>
        </is>
      </c>
      <c r="B40" s="2" t="inlineStr">
        <is>
          <t>HINDCOPPER</t>
        </is>
      </c>
      <c r="C40" s="2" t="inlineStr">
        <is>
          <t>Hindustan Copper Limited</t>
        </is>
      </c>
      <c r="D40" s="2" t="inlineStr">
        <is>
          <t>98/100</t>
        </is>
      </c>
      <c r="E40" s="7" t="n">
        <v>572.7000122070312</v>
      </c>
      <c r="F40" s="7" t="n">
        <v>519.642844063895</v>
      </c>
      <c r="G40" s="7" t="n">
        <v>705.3429325648717</v>
      </c>
      <c r="H40" s="2" t="inlineStr">
        <is>
          <t>1:2.5</t>
        </is>
      </c>
      <c r="I40" s="2" t="n">
        <v>0</v>
      </c>
      <c r="J40" s="7" t="n">
        <v>0</v>
      </c>
      <c r="K40" s="2" t="inlineStr">
        <is>
          <t>PENDING</t>
        </is>
      </c>
      <c r="L40" s="2" t="inlineStr">
        <is>
          <t>Swing Scanner (STATE 3: Capitulation Bottom)</t>
        </is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57">
      <c r="A41" s="2" t="inlineStr">
        <is>
          <t>2026-08-21</t>
        </is>
      </c>
      <c r="B41" s="2" t="inlineStr">
        <is>
          <t>ASIANPAINT</t>
        </is>
      </c>
      <c r="C41" s="2" t="inlineStr">
        <is>
          <t>Asian Paints Limited</t>
        </is>
      </c>
      <c r="D41" s="2" t="inlineStr">
        <is>
          <t>100/100</t>
        </is>
      </c>
      <c r="E41" s="7" t="n">
        <v>2640</v>
      </c>
      <c r="F41" s="7" t="n">
        <v>2606.45</v>
      </c>
      <c r="G41" s="7" t="n">
        <v>2723.9</v>
      </c>
      <c r="H41" s="2" t="inlineStr">
        <is>
          <t>1:2.5</t>
        </is>
      </c>
      <c r="I41" s="2" t="n">
        <v>0</v>
      </c>
      <c r="J41" s="7" t="n">
        <v>0</v>
      </c>
      <c r="K41" s="2" t="inlineStr">
        <is>
          <t>PENDING</t>
        </is>
      </c>
      <c r="L41" s="2" t="inlineStr">
        <is>
          <t>Intraday Scanner (STATE 3: Capitulation Bottom)</t>
        </is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57">
      <c r="A42" s="2" t="inlineStr">
        <is>
          <t>2026-08-21</t>
        </is>
      </c>
      <c r="B42" s="2" t="inlineStr">
        <is>
          <t>TATAELXSI</t>
        </is>
      </c>
      <c r="C42" s="2" t="inlineStr">
        <is>
          <t>Tata Elxsi Limited</t>
        </is>
      </c>
      <c r="D42" s="2" t="inlineStr">
        <is>
          <t>100/100</t>
        </is>
      </c>
      <c r="E42" s="7" t="n">
        <v>3708</v>
      </c>
      <c r="F42" s="7" t="n">
        <v>3666.25</v>
      </c>
      <c r="G42" s="7" t="n">
        <v>3812.4</v>
      </c>
      <c r="H42" s="2" t="inlineStr">
        <is>
          <t>1:2.5</t>
        </is>
      </c>
      <c r="I42" s="2" t="n">
        <v>0</v>
      </c>
      <c r="J42" s="7" t="n">
        <v>0</v>
      </c>
      <c r="K42" s="2" t="inlineStr">
        <is>
          <t>PENDING</t>
        </is>
      </c>
      <c r="L42" s="2" t="inlineStr">
        <is>
          <t>Intraday Scanner (STATE 3: Capitulation Bottom)</t>
        </is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57">
      <c r="A43" s="2" t="inlineStr">
        <is>
          <t>2026-08-21</t>
        </is>
      </c>
      <c r="B43" s="2" t="inlineStr">
        <is>
          <t>HAPPSTMNDS</t>
        </is>
      </c>
      <c r="C43" s="2" t="inlineStr">
        <is>
          <t>Happiest Minds Technologies Limited</t>
        </is>
      </c>
      <c r="D43" s="2" t="inlineStr">
        <is>
          <t>100/100</t>
        </is>
      </c>
      <c r="E43" s="7" t="n">
        <v>448</v>
      </c>
      <c r="F43" s="7" t="n">
        <v>435</v>
      </c>
      <c r="G43" s="7" t="n">
        <v>480.55</v>
      </c>
      <c r="H43" s="2" t="inlineStr">
        <is>
          <t>1:2.5</t>
        </is>
      </c>
      <c r="I43" s="2" t="n">
        <v>0</v>
      </c>
      <c r="J43" s="7" t="n">
        <v>0</v>
      </c>
      <c r="K43" s="2" t="inlineStr">
        <is>
          <t>PENDING</t>
        </is>
      </c>
      <c r="L43" s="2" t="inlineStr">
        <is>
          <t>Intraday Scanner (STATE 3: Capitulation Bottom)</t>
        </is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57">
      <c r="A44" s="2" t="inlineStr">
        <is>
          <t>2026-08-21</t>
        </is>
      </c>
      <c r="B44" s="2" t="inlineStr">
        <is>
          <t>ADANIPOWER</t>
        </is>
      </c>
      <c r="C44" s="2" t="inlineStr">
        <is>
          <t>Adani Power Limited</t>
        </is>
      </c>
      <c r="D44" s="2" t="inlineStr">
        <is>
          <t>100/100</t>
        </is>
      </c>
      <c r="E44" s="7" t="n">
        <v>205.5</v>
      </c>
      <c r="F44" s="7" t="n">
        <v>203.5</v>
      </c>
      <c r="G44" s="7" t="n">
        <v>210.55</v>
      </c>
      <c r="H44" s="2" t="inlineStr">
        <is>
          <t>1:2.5</t>
        </is>
      </c>
      <c r="I44" s="2" t="n">
        <v>0</v>
      </c>
      <c r="J44" s="7" t="n">
        <v>0</v>
      </c>
      <c r="K44" s="2" t="inlineStr">
        <is>
          <t>PENDING</t>
        </is>
      </c>
      <c r="L44" s="2" t="inlineStr">
        <is>
          <t>Intraday Scanner (STATE 3: Capitulation Bottom)</t>
        </is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57">
      <c r="A45" s="2" t="inlineStr">
        <is>
          <t>2026-08-21</t>
        </is>
      </c>
      <c r="B45" s="2" t="inlineStr">
        <is>
          <t>ADANIPORTS</t>
        </is>
      </c>
      <c r="C45" s="2" t="inlineStr">
        <is>
          <t>Adani Ports and Special Economic Zone Limited</t>
        </is>
      </c>
      <c r="D45" s="2" t="inlineStr">
        <is>
          <t>97/100</t>
        </is>
      </c>
      <c r="E45" s="7" t="n">
        <v>1700</v>
      </c>
      <c r="F45" s="7" t="n">
        <v>1689.75</v>
      </c>
      <c r="G45" s="7" t="n">
        <v>1725.55</v>
      </c>
      <c r="H45" s="2" t="inlineStr">
        <is>
          <t>1:2.5</t>
        </is>
      </c>
      <c r="I45" s="2" t="n">
        <v>0</v>
      </c>
      <c r="J45" s="7" t="n">
        <v>0</v>
      </c>
      <c r="K45" s="2" t="inlineStr">
        <is>
          <t>PENDING</t>
        </is>
      </c>
      <c r="L45" s="2" t="inlineStr">
        <is>
          <t>Intraday Scanner (STATE 3: Capitulation Bottom)</t>
        </is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57">
      <c r="A46" s="2" t="inlineStr">
        <is>
          <t>2026-08-24</t>
        </is>
      </c>
      <c r="B46" s="2" t="inlineStr">
        <is>
          <t>GAYAPROJ</t>
        </is>
      </c>
      <c r="C46" s="2" t="inlineStr">
        <is>
          <t>Gayatri Projects Limited</t>
        </is>
      </c>
      <c r="D46" s="2" t="inlineStr">
        <is>
          <t>100/100</t>
        </is>
      </c>
      <c r="E46" s="7" t="n">
        <v>22.34000015258789</v>
      </c>
      <c r="F46" s="7" t="n">
        <v>20.1271435873849</v>
      </c>
      <c r="G46" s="7" t="n">
        <v>27.87214156559536</v>
      </c>
      <c r="H46" s="2" t="inlineStr">
        <is>
          <t>1:2.5</t>
        </is>
      </c>
      <c r="I46" s="2" t="n">
        <v>2</v>
      </c>
      <c r="J46" s="7" t="n">
        <v>44.68000030517578</v>
      </c>
      <c r="K46" s="2" t="inlineStr">
        <is>
          <t>PENDING</t>
        </is>
      </c>
      <c r="L46" s="2" t="inlineStr">
        <is>
          <t>Swing Scanner (STATE 3: Capitulation Bottom)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57">
      <c r="A47" s="2" t="inlineStr">
        <is>
          <t>2026-08-24</t>
        </is>
      </c>
      <c r="B47" s="2" t="inlineStr">
        <is>
          <t>GARFIBRES</t>
        </is>
      </c>
      <c r="C47" s="2" t="inlineStr">
        <is>
          <t>Garware Technical Fibres Limited</t>
        </is>
      </c>
      <c r="D47" s="2" t="inlineStr">
        <is>
          <t>100/100</t>
        </is>
      </c>
      <c r="E47" s="7" t="n">
        <v>809.4000244140625</v>
      </c>
      <c r="F47" s="7" t="n">
        <v>732.5714460100446</v>
      </c>
      <c r="G47" s="7" t="n">
        <v>1001.471470424107</v>
      </c>
      <c r="H47" s="2" t="inlineStr">
        <is>
          <t>1:2.5</t>
        </is>
      </c>
      <c r="I47" s="2" t="n">
        <v>0</v>
      </c>
      <c r="J47" s="7" t="n">
        <v>0</v>
      </c>
      <c r="K47" s="2" t="inlineStr">
        <is>
          <t>PENDING</t>
        </is>
      </c>
      <c r="L47" s="2" t="inlineStr">
        <is>
          <t>Swing Scanner (STATE 3: Capitulation Bottom)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57">
      <c r="A48" s="2" t="inlineStr">
        <is>
          <t>2026-08-24</t>
        </is>
      </c>
      <c r="B48" s="2" t="inlineStr">
        <is>
          <t>JSWSTEEL</t>
        </is>
      </c>
      <c r="C48" s="2" t="inlineStr">
        <is>
          <t>JSW Steel Limited</t>
        </is>
      </c>
      <c r="D48" s="2" t="inlineStr">
        <is>
          <t>98/100</t>
        </is>
      </c>
      <c r="E48" s="7" t="n">
        <v>1327</v>
      </c>
      <c r="F48" s="7" t="n">
        <v>1274.785696847098</v>
      </c>
      <c r="G48" s="7" t="n">
        <v>1457.535757882255</v>
      </c>
      <c r="H48" s="2" t="inlineStr">
        <is>
          <t>1:2.5</t>
        </is>
      </c>
      <c r="I48" s="2" t="n">
        <v>0</v>
      </c>
      <c r="J48" s="7" t="n">
        <v>0</v>
      </c>
      <c r="K48" s="2" t="inlineStr">
        <is>
          <t>PENDING</t>
        </is>
      </c>
      <c r="L48" s="2" t="inlineStr">
        <is>
          <t>Swing Scanner (STATE 3: Capitulation Bottom)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57">
      <c r="A49" s="2" t="inlineStr">
        <is>
          <t>2026-08-24</t>
        </is>
      </c>
      <c r="B49" s="2" t="inlineStr">
        <is>
          <t>BLUSPRING</t>
        </is>
      </c>
      <c r="C49" s="2" t="inlineStr">
        <is>
          <t>Bluspring Enterprises Limited</t>
        </is>
      </c>
      <c r="D49" s="2" t="inlineStr">
        <is>
          <t>98/100</t>
        </is>
      </c>
      <c r="E49" s="7" t="n">
        <v>133.0099945068359</v>
      </c>
      <c r="F49" s="7" t="n">
        <v>118.4999945504325</v>
      </c>
      <c r="G49" s="7" t="n">
        <v>169.2849943978446</v>
      </c>
      <c r="H49" s="2" t="inlineStr">
        <is>
          <t>1:2.5</t>
        </is>
      </c>
      <c r="I49" s="2" t="n">
        <v>0</v>
      </c>
      <c r="J49" s="7" t="n">
        <v>0</v>
      </c>
      <c r="K49" s="2" t="inlineStr">
        <is>
          <t>PENDING</t>
        </is>
      </c>
      <c r="L49" s="2" t="inlineStr">
        <is>
          <t>Swing Scanner (STATE 3: Capitulation Bottom)</t>
        </is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57">
      <c r="A50" s="2" t="inlineStr">
        <is>
          <t>2026-08-24</t>
        </is>
      </c>
      <c r="B50" s="2" t="inlineStr">
        <is>
          <t>RATNAMANI</t>
        </is>
      </c>
      <c r="C50" s="2" t="inlineStr">
        <is>
          <t>Ratnamani Metals &amp; Tubes Limited</t>
        </is>
      </c>
      <c r="D50" s="2" t="inlineStr">
        <is>
          <t>98/100</t>
        </is>
      </c>
      <c r="E50" s="7" t="n">
        <v>2697</v>
      </c>
      <c r="F50" s="7" t="n">
        <v>2451.262274002893</v>
      </c>
      <c r="G50" s="7" t="n">
        <v>3311.344314992767</v>
      </c>
      <c r="H50" s="2" t="inlineStr">
        <is>
          <t>1:2.5</t>
        </is>
      </c>
      <c r="I50" s="2" t="n">
        <v>0</v>
      </c>
      <c r="J50" s="7" t="n">
        <v>0</v>
      </c>
      <c r="K50" s="2" t="inlineStr">
        <is>
          <t>PENDING</t>
        </is>
      </c>
      <c r="L50" s="2" t="inlineStr">
        <is>
          <t>Swing Scanner (STATE 3: Capitulation Bottom)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57">
      <c r="A51" s="2" t="inlineStr">
        <is>
          <t>2026-08-24</t>
        </is>
      </c>
      <c r="B51" s="2" t="inlineStr">
        <is>
          <t>ASIANPAINT</t>
        </is>
      </c>
      <c r="C51" s="2" t="inlineStr">
        <is>
          <t>Asian Paints Limited</t>
        </is>
      </c>
      <c r="D51" s="2" t="inlineStr">
        <is>
          <t>100/100</t>
        </is>
      </c>
      <c r="E51" s="7" t="n">
        <v>2640.8</v>
      </c>
      <c r="F51" s="7" t="n">
        <v>2621.3</v>
      </c>
      <c r="G51" s="7" t="n">
        <v>2689.55</v>
      </c>
      <c r="H51" s="2" t="inlineStr">
        <is>
          <t>1:2.5</t>
        </is>
      </c>
      <c r="I51" s="2" t="n">
        <v>0</v>
      </c>
      <c r="J51" s="7" t="n">
        <v>0</v>
      </c>
      <c r="K51" s="2" t="inlineStr">
        <is>
          <t>PENDING</t>
        </is>
      </c>
      <c r="L51" s="2" t="inlineStr">
        <is>
          <t>Intraday Scanner (STATE 3: Capitulation Bottom)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57">
      <c r="A52" s="2" t="inlineStr">
        <is>
          <t>2026-08-24</t>
        </is>
      </c>
      <c r="B52" s="2" t="inlineStr">
        <is>
          <t>CIPLA</t>
        </is>
      </c>
      <c r="C52" s="2" t="inlineStr">
        <is>
          <t>Cipla Limited</t>
        </is>
      </c>
      <c r="D52" s="2" t="inlineStr">
        <is>
          <t>100/100</t>
        </is>
      </c>
      <c r="E52" s="7" t="n">
        <v>1437.9</v>
      </c>
      <c r="F52" s="7" t="n">
        <v>1428.2</v>
      </c>
      <c r="G52" s="7" t="n">
        <v>1462.2</v>
      </c>
      <c r="H52" s="2" t="inlineStr">
        <is>
          <t>1:2.5</t>
        </is>
      </c>
      <c r="I52" s="2" t="n">
        <v>0</v>
      </c>
      <c r="J52" s="7" t="n">
        <v>0</v>
      </c>
      <c r="K52" s="2" t="inlineStr">
        <is>
          <t>PENDING</t>
        </is>
      </c>
      <c r="L52" s="2" t="inlineStr">
        <is>
          <t>Intraday Scanner (STATE 3: Capitulation Bottom)</t>
        </is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57">
      <c r="A53" s="2" t="inlineStr">
        <is>
          <t>2026-08-24</t>
        </is>
      </c>
      <c r="B53" s="2" t="inlineStr">
        <is>
          <t>CGPOWER</t>
        </is>
      </c>
      <c r="C53" s="2" t="inlineStr">
        <is>
          <t>CG Power and Industrial Solutions Limited</t>
        </is>
      </c>
      <c r="D53" s="2" t="inlineStr">
        <is>
          <t>100/100</t>
        </is>
      </c>
      <c r="E53" s="7" t="n">
        <v>877.5</v>
      </c>
      <c r="F53" s="7" t="n">
        <v>865.75</v>
      </c>
      <c r="G53" s="7" t="n">
        <v>906.9</v>
      </c>
      <c r="H53" s="2" t="inlineStr">
        <is>
          <t>1:2.5</t>
        </is>
      </c>
      <c r="I53" s="2" t="n">
        <v>0</v>
      </c>
      <c r="J53" s="7" t="n">
        <v>0</v>
      </c>
      <c r="K53" s="2" t="inlineStr">
        <is>
          <t>PENDING</t>
        </is>
      </c>
      <c r="L53" s="2" t="inlineStr">
        <is>
          <t>Intraday Scanner (STATE 3: Capitulation Bottom)</t>
        </is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57">
      <c r="A54" s="2" t="inlineStr">
        <is>
          <t>2026-08-24</t>
        </is>
      </c>
      <c r="B54" s="2" t="inlineStr">
        <is>
          <t>COCHINSHIP</t>
        </is>
      </c>
      <c r="C54" s="2" t="inlineStr">
        <is>
          <t>Cochin Shipyard Limited</t>
        </is>
      </c>
      <c r="D54" s="2" t="inlineStr">
        <is>
          <t>100/100</t>
        </is>
      </c>
      <c r="E54" s="7" t="n">
        <v>1514</v>
      </c>
      <c r="F54" s="7" t="n">
        <v>1496.35</v>
      </c>
      <c r="G54" s="7" t="n">
        <v>1558.1</v>
      </c>
      <c r="H54" s="2" t="inlineStr">
        <is>
          <t>1:2.5</t>
        </is>
      </c>
      <c r="I54" s="2" t="n">
        <v>0</v>
      </c>
      <c r="J54" s="7" t="n">
        <v>0</v>
      </c>
      <c r="K54" s="2" t="inlineStr">
        <is>
          <t>PENDING</t>
        </is>
      </c>
      <c r="L54" s="2" t="inlineStr">
        <is>
          <t>Intraday Scanner (STATE 3: Capitulation Bottom)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57">
      <c r="A55" s="2" t="inlineStr">
        <is>
          <t>2026-08-24</t>
        </is>
      </c>
      <c r="B55" s="2" t="inlineStr">
        <is>
          <t>DRREDDY</t>
        </is>
      </c>
      <c r="C55" s="2" t="inlineStr">
        <is>
          <t>Dr. Reddy's Laboratories Limited</t>
        </is>
      </c>
      <c r="D55" s="2" t="inlineStr">
        <is>
          <t>100/100</t>
        </is>
      </c>
      <c r="E55" s="7" t="n">
        <v>1190</v>
      </c>
      <c r="F55" s="7" t="n">
        <v>1182.9</v>
      </c>
      <c r="G55" s="7" t="n">
        <v>1207.7</v>
      </c>
      <c r="H55" s="2" t="inlineStr">
        <is>
          <t>1:2.5</t>
        </is>
      </c>
      <c r="I55" s="2" t="n">
        <v>0</v>
      </c>
      <c r="J55" s="7" t="n">
        <v>0</v>
      </c>
      <c r="K55" s="2" t="inlineStr">
        <is>
          <t>PENDING</t>
        </is>
      </c>
      <c r="L55" s="2" t="inlineStr">
        <is>
          <t>Intraday Scanner (STATE 3: Capitulation Bottom)</t>
        </is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57">
      <c r="A56" s="2" t="inlineStr">
        <is>
          <t>2026-08-25</t>
        </is>
      </c>
      <c r="B56" s="2" t="inlineStr">
        <is>
          <t>SIEMENS</t>
        </is>
      </c>
      <c r="C56" s="2" t="inlineStr">
        <is>
          <t>Siemens Limited</t>
        </is>
      </c>
      <c r="D56" s="2" t="inlineStr">
        <is>
          <t>98/100</t>
        </is>
      </c>
      <c r="E56" s="7" t="n">
        <v>4090.5</v>
      </c>
      <c r="F56" s="7" t="n">
        <v>3895.814278738839</v>
      </c>
      <c r="G56" s="7" t="n">
        <v>4577.214303152902</v>
      </c>
      <c r="H56" s="2" t="inlineStr">
        <is>
          <t>1:2.5</t>
        </is>
      </c>
      <c r="I56" s="2" t="n">
        <v>0</v>
      </c>
      <c r="J56" s="7" t="n">
        <v>0</v>
      </c>
      <c r="K56" s="2" t="inlineStr">
        <is>
          <t>PENDING</t>
        </is>
      </c>
      <c r="L56" s="2" t="inlineStr">
        <is>
          <t>Swing Scanner (STATE 2: Bear Relief Rally)</t>
        </is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57">
      <c r="A57" s="2" t="inlineStr">
        <is>
          <t>2026-08-25</t>
        </is>
      </c>
      <c r="B57" s="2" t="inlineStr">
        <is>
          <t>HEIDELBERG</t>
        </is>
      </c>
      <c r="C57" s="2" t="inlineStr">
        <is>
          <t>HeidelbergCement India Limited</t>
        </is>
      </c>
      <c r="D57" s="2" t="inlineStr">
        <is>
          <t>98/100</t>
        </is>
      </c>
      <c r="E57" s="7" t="n">
        <v>161.7200012207031</v>
      </c>
      <c r="F57" s="7" t="n">
        <v>156.5900006975446</v>
      </c>
      <c r="G57" s="7" t="n">
        <v>174.5450025285993</v>
      </c>
      <c r="H57" s="2" t="inlineStr">
        <is>
          <t>1:2.5</t>
        </is>
      </c>
      <c r="I57" s="2" t="n">
        <v>0</v>
      </c>
      <c r="J57" s="7" t="n">
        <v>0</v>
      </c>
      <c r="K57" s="2" t="inlineStr">
        <is>
          <t>PENDING</t>
        </is>
      </c>
      <c r="L57" s="2" t="inlineStr">
        <is>
          <t>Swing Scanner (STATE 2: Bear Relief Rally)</t>
        </is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57">
      <c r="A58" s="2" t="inlineStr">
        <is>
          <t>2026-08-25</t>
        </is>
      </c>
      <c r="B58" s="2" t="inlineStr">
        <is>
          <t>RATNAMANI</t>
        </is>
      </c>
      <c r="C58" s="2" t="inlineStr">
        <is>
          <t>Ratnamani Metals &amp; Tubes Limited</t>
        </is>
      </c>
      <c r="D58" s="2" t="inlineStr">
        <is>
          <t>98/100</t>
        </is>
      </c>
      <c r="E58" s="7" t="n">
        <v>2711.5</v>
      </c>
      <c r="F58" s="7" t="n">
        <v>2460.690845431465</v>
      </c>
      <c r="G58" s="7" t="n">
        <v>3338.522886421338</v>
      </c>
      <c r="H58" s="2" t="inlineStr">
        <is>
          <t>1:2.5</t>
        </is>
      </c>
      <c r="I58" s="2" t="n">
        <v>0</v>
      </c>
      <c r="J58" s="7" t="n">
        <v>0</v>
      </c>
      <c r="K58" s="2" t="inlineStr">
        <is>
          <t>PENDING</t>
        </is>
      </c>
      <c r="L58" s="2" t="inlineStr">
        <is>
          <t>Swing Scanner (STATE 2: Bear Relief Rally)</t>
        </is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57">
      <c r="A59" s="2" t="inlineStr">
        <is>
          <t>2026-08-25</t>
        </is>
      </c>
      <c r="B59" s="2" t="inlineStr">
        <is>
          <t>GLENMARK</t>
        </is>
      </c>
      <c r="C59" s="2" t="inlineStr">
        <is>
          <t>Glenmark Pharmaceuticals Limited</t>
        </is>
      </c>
      <c r="D59" s="2" t="inlineStr">
        <is>
          <t>98/100</t>
        </is>
      </c>
      <c r="E59" s="7" t="n">
        <v>2400</v>
      </c>
      <c r="F59" s="7" t="n">
        <v>2296.628557477678</v>
      </c>
      <c r="G59" s="7" t="n">
        <v>2658.428606305803</v>
      </c>
      <c r="H59" s="2" t="inlineStr">
        <is>
          <t>1:2.5</t>
        </is>
      </c>
      <c r="I59" s="2" t="n">
        <v>0</v>
      </c>
      <c r="J59" s="7" t="n">
        <v>0</v>
      </c>
      <c r="K59" s="2" t="inlineStr">
        <is>
          <t>PENDING</t>
        </is>
      </c>
      <c r="L59" s="2" t="inlineStr">
        <is>
          <t>Swing Scanner (STATE 2: Bear Relief Rally)</t>
        </is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57">
      <c r="A60" s="2" t="inlineStr">
        <is>
          <t>2026-08-25</t>
        </is>
      </c>
      <c r="B60" s="2" t="inlineStr">
        <is>
          <t>YATHARTH</t>
        </is>
      </c>
      <c r="C60" s="2" t="inlineStr">
        <is>
          <t>Yatharth Hospital &amp; Trauma Care Services Limited</t>
        </is>
      </c>
      <c r="D60" s="2" t="inlineStr">
        <is>
          <t>98/100</t>
        </is>
      </c>
      <c r="E60" s="7" t="n">
        <v>923.0499877929688</v>
      </c>
      <c r="F60" s="7" t="n">
        <v>864.5816995741876</v>
      </c>
      <c r="G60" s="7" t="n">
        <v>1069.220708339922</v>
      </c>
      <c r="H60" s="2" t="inlineStr">
        <is>
          <t>1:2.5</t>
        </is>
      </c>
      <c r="I60" s="2" t="n">
        <v>0</v>
      </c>
      <c r="J60" s="7" t="n">
        <v>0</v>
      </c>
      <c r="K60" s="2" t="inlineStr">
        <is>
          <t>PENDING</t>
        </is>
      </c>
      <c r="L60" s="2" t="inlineStr">
        <is>
          <t>Swing Scanner (STATE 2: Bear Relief Rally)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57">
      <c r="A61" s="2" t="inlineStr">
        <is>
          <t>2026-08-25</t>
        </is>
      </c>
      <c r="B61" s="2" t="inlineStr">
        <is>
          <t>INFY</t>
        </is>
      </c>
      <c r="C61" s="2" t="inlineStr">
        <is>
          <t>Infosys Limited</t>
        </is>
      </c>
      <c r="D61" s="2" t="inlineStr">
        <is>
          <t>100/100</t>
        </is>
      </c>
      <c r="E61" s="7" t="n">
        <v>1144</v>
      </c>
      <c r="F61" s="7" t="n">
        <v>1134.8</v>
      </c>
      <c r="G61" s="7" t="n">
        <v>1167</v>
      </c>
      <c r="H61" s="2" t="inlineStr">
        <is>
          <t>1:2.5</t>
        </is>
      </c>
      <c r="I61" s="2" t="n">
        <v>0</v>
      </c>
      <c r="J61" s="7" t="n">
        <v>0</v>
      </c>
      <c r="K61" s="2" t="inlineStr">
        <is>
          <t>PENDING</t>
        </is>
      </c>
      <c r="L61" s="2" t="inlineStr">
        <is>
          <t>Intraday Scanner (STATE 2: Bear Relief Rally)</t>
        </is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57">
      <c r="A62" s="2" t="inlineStr">
        <is>
          <t>2026-08-25</t>
        </is>
      </c>
      <c r="B62" s="2" t="inlineStr">
        <is>
          <t>RELIANCE</t>
        </is>
      </c>
      <c r="C62" s="2" t="inlineStr">
        <is>
          <t>Reliance Industries Limited</t>
        </is>
      </c>
      <c r="D62" s="2" t="inlineStr">
        <is>
          <t>100/100</t>
        </is>
      </c>
      <c r="E62" s="7" t="n">
        <v>1317</v>
      </c>
      <c r="F62" s="7" t="n">
        <v>1311</v>
      </c>
      <c r="G62" s="7" t="n">
        <v>1332</v>
      </c>
      <c r="H62" s="2" t="inlineStr">
        <is>
          <t>1:2.5</t>
        </is>
      </c>
      <c r="I62" s="2" t="n">
        <v>0</v>
      </c>
      <c r="J62" s="7" t="n">
        <v>0</v>
      </c>
      <c r="K62" s="2" t="inlineStr">
        <is>
          <t>PENDING</t>
        </is>
      </c>
      <c r="L62" s="2" t="inlineStr">
        <is>
          <t>Intraday Scanner (STATE 2: Bear Relief Rally)</t>
        </is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57">
      <c r="A63" s="2" t="inlineStr">
        <is>
          <t>2026-08-25</t>
        </is>
      </c>
      <c r="B63" s="2" t="inlineStr">
        <is>
          <t>SUNPHARMA</t>
        </is>
      </c>
      <c r="C63" s="2" t="inlineStr">
        <is>
          <t>Sun Pharmaceutical Industries Limited</t>
        </is>
      </c>
      <c r="D63" s="2" t="inlineStr">
        <is>
          <t>100/100</t>
        </is>
      </c>
      <c r="E63" s="7" t="n">
        <v>1922</v>
      </c>
      <c r="F63" s="7" t="n">
        <v>1907.35</v>
      </c>
      <c r="G63" s="7" t="n">
        <v>1958.7</v>
      </c>
      <c r="H63" s="2" t="inlineStr">
        <is>
          <t>1:2.5</t>
        </is>
      </c>
      <c r="I63" s="2" t="n">
        <v>0</v>
      </c>
      <c r="J63" s="7" t="n">
        <v>0</v>
      </c>
      <c r="K63" s="2" t="inlineStr">
        <is>
          <t>PENDING</t>
        </is>
      </c>
      <c r="L63" s="2" t="inlineStr">
        <is>
          <t>Intraday Scanner (STATE 2: Bear Relief Rally)</t>
        </is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57">
      <c r="A64" s="2" t="inlineStr">
        <is>
          <t>2026-08-25</t>
        </is>
      </c>
      <c r="B64" s="2" t="inlineStr">
        <is>
          <t>TECHM</t>
        </is>
      </c>
      <c r="C64" s="2" t="inlineStr">
        <is>
          <t>Tech Mahindra Limited</t>
        </is>
      </c>
      <c r="D64" s="2" t="inlineStr">
        <is>
          <t>100/100</t>
        </is>
      </c>
      <c r="E64" s="7" t="n">
        <v>1599.9</v>
      </c>
      <c r="F64" s="7" t="n">
        <v>1585.5</v>
      </c>
      <c r="G64" s="7" t="n">
        <v>1635.9</v>
      </c>
      <c r="H64" s="2" t="inlineStr">
        <is>
          <t>1:2.5</t>
        </is>
      </c>
      <c r="I64" s="2" t="n">
        <v>0</v>
      </c>
      <c r="J64" s="7" t="n">
        <v>0</v>
      </c>
      <c r="K64" s="2" t="inlineStr">
        <is>
          <t>PENDING</t>
        </is>
      </c>
      <c r="L64" s="2" t="inlineStr">
        <is>
          <t>Intraday Scanner (STATE 2: Bear Relief Rally)</t>
        </is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57">
      <c r="A65" s="2" t="inlineStr">
        <is>
          <t>2026-08-25</t>
        </is>
      </c>
      <c r="B65" s="2" t="inlineStr">
        <is>
          <t>GRASIM</t>
        </is>
      </c>
      <c r="C65" s="2" t="inlineStr">
        <is>
          <t>Grasim Industries Limited</t>
        </is>
      </c>
      <c r="D65" s="2" t="inlineStr">
        <is>
          <t>100/100</t>
        </is>
      </c>
      <c r="E65" s="7" t="n">
        <v>3289.6</v>
      </c>
      <c r="F65" s="7" t="n">
        <v>3253.65</v>
      </c>
      <c r="G65" s="7" t="n">
        <v>3379.5</v>
      </c>
      <c r="H65" s="2" t="inlineStr">
        <is>
          <t>1:2.5</t>
        </is>
      </c>
      <c r="I65" s="2" t="n">
        <v>0</v>
      </c>
      <c r="J65" s="7" t="n">
        <v>0</v>
      </c>
      <c r="K65" s="2" t="inlineStr">
        <is>
          <t>PENDING</t>
        </is>
      </c>
      <c r="L65" s="2" t="inlineStr">
        <is>
          <t>Intraday Scanner (STATE 2: Bear Relief Rally)</t>
        </is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57">
      <c r="A66" s="2" t="inlineStr">
        <is>
          <t>2026-08-26</t>
        </is>
      </c>
      <c r="B66" s="2" t="inlineStr">
        <is>
          <t>KFINTECH</t>
        </is>
      </c>
      <c r="C66" s="2" t="inlineStr">
        <is>
          <t>KFin Technologies Limited</t>
        </is>
      </c>
      <c r="D66" s="2" t="inlineStr">
        <is>
          <t>100/100</t>
        </is>
      </c>
      <c r="E66" s="7" t="n">
        <v>976.5</v>
      </c>
      <c r="F66" s="7" t="n">
        <v>923.3499930245536</v>
      </c>
      <c r="G66" s="7" t="n">
        <v>1109.375017438616</v>
      </c>
      <c r="H66" s="2" t="inlineStr">
        <is>
          <t>1:2.5</t>
        </is>
      </c>
      <c r="I66" s="2" t="n">
        <v>0</v>
      </c>
      <c r="J66" s="7" t="n">
        <v>0</v>
      </c>
      <c r="K66" s="2" t="inlineStr">
        <is>
          <t>PENDING</t>
        </is>
      </c>
      <c r="L66" s="2" t="inlineStr">
        <is>
          <t>Swing Scanner (STATE 3: Capitulation Bottom)</t>
        </is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57">
      <c r="A67" s="2" t="inlineStr">
        <is>
          <t>2026-08-26</t>
        </is>
      </c>
      <c r="B67" s="2" t="inlineStr">
        <is>
          <t>IOLCP</t>
        </is>
      </c>
      <c r="C67" s="2" t="inlineStr">
        <is>
          <t>IOL Chemicals and Pharmaceuticals Limited</t>
        </is>
      </c>
      <c r="D67" s="2" t="inlineStr">
        <is>
          <t>98/100</t>
        </is>
      </c>
      <c r="E67" s="7" t="n">
        <v>186.0099945068359</v>
      </c>
      <c r="F67" s="7" t="n">
        <v>166.0214255196708</v>
      </c>
      <c r="G67" s="7" t="n">
        <v>235.9814169747489</v>
      </c>
      <c r="H67" s="2" t="inlineStr">
        <is>
          <t>1:2.5</t>
        </is>
      </c>
      <c r="I67" s="2" t="n">
        <v>0</v>
      </c>
      <c r="J67" s="7" t="n">
        <v>0</v>
      </c>
      <c r="K67" s="2" t="inlineStr">
        <is>
          <t>PENDING</t>
        </is>
      </c>
      <c r="L67" s="2" t="inlineStr">
        <is>
          <t>Swing Scanner (STATE 3: Capitulation Bottom)</t>
        </is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57">
      <c r="A68" s="2" t="inlineStr">
        <is>
          <t>2026-08-26</t>
        </is>
      </c>
      <c r="B68" s="2" t="inlineStr">
        <is>
          <t>JSWSTEEL</t>
        </is>
      </c>
      <c r="C68" s="2" t="inlineStr">
        <is>
          <t>JSW Steel Limited</t>
        </is>
      </c>
      <c r="D68" s="2" t="inlineStr">
        <is>
          <t>98/100</t>
        </is>
      </c>
      <c r="E68" s="7" t="n">
        <v>1341</v>
      </c>
      <c r="F68" s="7" t="n">
        <v>1293.114275251116</v>
      </c>
      <c r="G68" s="7" t="n">
        <v>1460.71431187221</v>
      </c>
      <c r="H68" s="2" t="inlineStr">
        <is>
          <t>1:2.5</t>
        </is>
      </c>
      <c r="I68" s="2" t="n">
        <v>0</v>
      </c>
      <c r="J68" s="7" t="n">
        <v>0</v>
      </c>
      <c r="K68" s="2" t="inlineStr">
        <is>
          <t>PENDING</t>
        </is>
      </c>
      <c r="L68" s="2" t="inlineStr">
        <is>
          <t>Swing Scanner (STATE 3: Capitulation Bottom)</t>
        </is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57">
      <c r="A69" s="2" t="inlineStr">
        <is>
          <t>2026-08-26</t>
        </is>
      </c>
      <c r="B69" s="2" t="inlineStr">
        <is>
          <t>COCHINSHIP</t>
        </is>
      </c>
      <c r="C69" s="2" t="inlineStr">
        <is>
          <t>Cochin Shipyard Limited</t>
        </is>
      </c>
      <c r="D69" s="2" t="inlineStr">
        <is>
          <t>98/100</t>
        </is>
      </c>
      <c r="E69" s="7" t="n">
        <v>1547</v>
      </c>
      <c r="F69" s="7" t="n">
        <v>1477.699986049107</v>
      </c>
      <c r="G69" s="7" t="n">
        <v>1720.250034877232</v>
      </c>
      <c r="H69" s="2" t="inlineStr">
        <is>
          <t>1:2.5</t>
        </is>
      </c>
      <c r="I69" s="2" t="n">
        <v>0</v>
      </c>
      <c r="J69" s="7" t="n">
        <v>0</v>
      </c>
      <c r="K69" s="2" t="inlineStr">
        <is>
          <t>PENDING</t>
        </is>
      </c>
      <c r="L69" s="2" t="inlineStr">
        <is>
          <t>Swing Scanner (STATE 3: Capitulation Bottom)</t>
        </is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57">
      <c r="A70" s="2" t="inlineStr">
        <is>
          <t>2026-08-26</t>
        </is>
      </c>
      <c r="B70" s="2" t="inlineStr">
        <is>
          <t>HINDZINC</t>
        </is>
      </c>
      <c r="C70" s="2" t="inlineStr">
        <is>
          <t>Hindustan Zinc Limited</t>
        </is>
      </c>
      <c r="D70" s="2" t="inlineStr">
        <is>
          <t>98/100</t>
        </is>
      </c>
      <c r="E70" s="7" t="n">
        <v>626.5</v>
      </c>
      <c r="F70" s="7" t="n">
        <v>587.1428484235491</v>
      </c>
      <c r="G70" s="7" t="n">
        <v>724.8928789411273</v>
      </c>
      <c r="H70" s="2" t="inlineStr">
        <is>
          <t>1:2.5</t>
        </is>
      </c>
      <c r="I70" s="2" t="n">
        <v>0</v>
      </c>
      <c r="J70" s="7" t="n">
        <v>0</v>
      </c>
      <c r="K70" s="2" t="inlineStr">
        <is>
          <t>PENDING</t>
        </is>
      </c>
      <c r="L70" s="2" t="inlineStr">
        <is>
          <t>Swing Scanner (STATE 3: Capitulation Bottom)</t>
        </is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57">
      <c r="A71" s="2" t="inlineStr">
        <is>
          <t>2026-08-26</t>
        </is>
      </c>
      <c r="B71" s="2" t="inlineStr">
        <is>
          <t>JSWSTEEL</t>
        </is>
      </c>
      <c r="C71" s="2" t="inlineStr">
        <is>
          <t>JSW Steel Limited</t>
        </is>
      </c>
      <c r="D71" s="2" t="inlineStr">
        <is>
          <t>100/100</t>
        </is>
      </c>
      <c r="E71" s="7" t="n">
        <v>1341</v>
      </c>
      <c r="F71" s="7" t="n">
        <v>1322.9</v>
      </c>
      <c r="G71" s="7" t="n">
        <v>1386.3</v>
      </c>
      <c r="H71" s="2" t="inlineStr">
        <is>
          <t>1:2.5</t>
        </is>
      </c>
      <c r="I71" s="2" t="n">
        <v>0</v>
      </c>
      <c r="J71" s="7" t="n">
        <v>0</v>
      </c>
      <c r="K71" s="2" t="inlineStr">
        <is>
          <t>PENDING</t>
        </is>
      </c>
      <c r="L71" s="2" t="inlineStr">
        <is>
          <t>Intraday Scanner (STATE 3: Capitulation Bottom)</t>
        </is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57">
      <c r="A72" s="2" t="inlineStr">
        <is>
          <t>2026-08-26</t>
        </is>
      </c>
      <c r="B72" s="2" t="inlineStr">
        <is>
          <t>MOIL</t>
        </is>
      </c>
      <c r="C72" s="2" t="inlineStr">
        <is>
          <t>MOIL Limited</t>
        </is>
      </c>
      <c r="D72" s="2" t="inlineStr">
        <is>
          <t>100/100</t>
        </is>
      </c>
      <c r="E72" s="7" t="n">
        <v>268.45</v>
      </c>
      <c r="F72" s="7" t="n">
        <v>263</v>
      </c>
      <c r="G72" s="7" t="n">
        <v>282.05</v>
      </c>
      <c r="H72" s="2" t="inlineStr">
        <is>
          <t>1:2.5</t>
        </is>
      </c>
      <c r="I72" s="2" t="n">
        <v>0</v>
      </c>
      <c r="J72" s="7" t="n">
        <v>0</v>
      </c>
      <c r="K72" s="2" t="inlineStr">
        <is>
          <t>PENDING</t>
        </is>
      </c>
      <c r="L72" s="2" t="inlineStr">
        <is>
          <t>Intraday Scanner (STATE 3: Capitulation Bottom)</t>
        </is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57">
      <c r="A73" s="2" t="inlineStr">
        <is>
          <t>2026-08-26</t>
        </is>
      </c>
      <c r="B73" s="2" t="inlineStr">
        <is>
          <t>JSL</t>
        </is>
      </c>
      <c r="C73" s="2" t="inlineStr">
        <is>
          <t>Jindal Stainless Limited</t>
        </is>
      </c>
      <c r="D73" s="2" t="inlineStr">
        <is>
          <t>100/100</t>
        </is>
      </c>
      <c r="E73" s="7" t="n">
        <v>712.95</v>
      </c>
      <c r="F73" s="7" t="n">
        <v>703.4</v>
      </c>
      <c r="G73" s="7" t="n">
        <v>736.9</v>
      </c>
      <c r="H73" s="2" t="inlineStr">
        <is>
          <t>1:2.5</t>
        </is>
      </c>
      <c r="I73" s="2" t="n">
        <v>0</v>
      </c>
      <c r="J73" s="7" t="n">
        <v>0</v>
      </c>
      <c r="K73" s="2" t="inlineStr">
        <is>
          <t>PENDING</t>
        </is>
      </c>
      <c r="L73" s="2" t="inlineStr">
        <is>
          <t>Intraday Scanner (STATE 3: Capitulation Bottom)</t>
        </is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57">
      <c r="A74" s="2" t="inlineStr">
        <is>
          <t>2026-08-26</t>
        </is>
      </c>
      <c r="B74" s="2" t="inlineStr">
        <is>
          <t>DALBHARAT</t>
        </is>
      </c>
      <c r="C74" s="2" t="inlineStr">
        <is>
          <t>Dalmia Bharat Limited</t>
        </is>
      </c>
      <c r="D74" s="2" t="inlineStr">
        <is>
          <t>100/100</t>
        </is>
      </c>
      <c r="E74" s="7" t="n">
        <v>1898</v>
      </c>
      <c r="F74" s="7" t="n">
        <v>1854.55</v>
      </c>
      <c r="G74" s="7" t="n">
        <v>2006.6</v>
      </c>
      <c r="H74" s="2" t="inlineStr">
        <is>
          <t>1:2.5</t>
        </is>
      </c>
      <c r="I74" s="2" t="n">
        <v>0</v>
      </c>
      <c r="J74" s="7" t="n">
        <v>0</v>
      </c>
      <c r="K74" s="2" t="inlineStr">
        <is>
          <t>PENDING</t>
        </is>
      </c>
      <c r="L74" s="2" t="inlineStr">
        <is>
          <t>Intraday Scanner (STATE 3: Capitulation Bottom)</t>
        </is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57">
      <c r="A75" s="2" t="inlineStr">
        <is>
          <t>2026-08-26</t>
        </is>
      </c>
      <c r="B75" s="2" t="inlineStr">
        <is>
          <t>ATUL</t>
        </is>
      </c>
      <c r="C75" s="2" t="inlineStr">
        <is>
          <t>Atul Limited</t>
        </is>
      </c>
      <c r="D75" s="2" t="inlineStr">
        <is>
          <t>100/100</t>
        </is>
      </c>
      <c r="E75" s="7" t="n">
        <v>6564.5</v>
      </c>
      <c r="F75" s="7" t="n">
        <v>6481.4</v>
      </c>
      <c r="G75" s="7" t="n">
        <v>6772.25</v>
      </c>
      <c r="H75" s="2" t="inlineStr">
        <is>
          <t>1:2.5</t>
        </is>
      </c>
      <c r="I75" s="2" t="n">
        <v>0</v>
      </c>
      <c r="J75" s="7" t="n">
        <v>0</v>
      </c>
      <c r="K75" s="2" t="inlineStr">
        <is>
          <t>PENDING</t>
        </is>
      </c>
      <c r="L75" s="2" t="inlineStr">
        <is>
          <t>Intraday Scanner (STATE 3: Capitulation Bottom)</t>
        </is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57">
      <c r="A76" s="2" t="inlineStr">
        <is>
          <t>2026-08-28</t>
        </is>
      </c>
      <c r="B76" s="2" t="inlineStr">
        <is>
          <t>AHCL</t>
        </is>
      </c>
      <c r="C76" s="2" t="inlineStr">
        <is>
          <t>AHCL</t>
        </is>
      </c>
      <c r="D76" s="2" t="inlineStr">
        <is>
          <t>98/100</t>
        </is>
      </c>
      <c r="E76" s="7" t="n">
        <v>15.60000038146973</v>
      </c>
      <c r="F76" s="7" t="n">
        <v>14.66428620474679</v>
      </c>
      <c r="G76" s="7" t="n">
        <v>17.93928582327706</v>
      </c>
      <c r="H76" s="2" t="inlineStr">
        <is>
          <t>1:2.5</t>
        </is>
      </c>
      <c r="I76" s="2" t="n">
        <v>3</v>
      </c>
      <c r="J76" s="7" t="n">
        <v>46.80000114440918</v>
      </c>
      <c r="K76" s="2" t="inlineStr">
        <is>
          <t>PENDING</t>
        </is>
      </c>
      <c r="L76" s="2" t="inlineStr">
        <is>
          <t>Swing Scanner (STATE 3: Capitulation Bottom)</t>
        </is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57">
      <c r="A77" s="2" t="inlineStr">
        <is>
          <t>2026-08-28</t>
        </is>
      </c>
      <c r="B77" s="2" t="inlineStr">
        <is>
          <t>BHEL</t>
        </is>
      </c>
      <c r="C77" s="2" t="inlineStr">
        <is>
          <t>Bharat Heavy Electricals Limited</t>
        </is>
      </c>
      <c r="D77" s="2" t="inlineStr">
        <is>
          <t>98/100</t>
        </is>
      </c>
      <c r="E77" s="7" t="n">
        <v>433.9500122070312</v>
      </c>
      <c r="F77" s="7" t="n">
        <v>411.3428649902344</v>
      </c>
      <c r="G77" s="7" t="n">
        <v>490.4678802490234</v>
      </c>
      <c r="H77" s="2" t="inlineStr">
        <is>
          <t>1:2.5</t>
        </is>
      </c>
      <c r="I77" s="2" t="n">
        <v>0</v>
      </c>
      <c r="J77" s="7" t="n">
        <v>0</v>
      </c>
      <c r="K77" s="2" t="inlineStr">
        <is>
          <t>PENDING</t>
        </is>
      </c>
      <c r="L77" s="2" t="inlineStr">
        <is>
          <t>Swing Scanner (STATE 3: Capitulation Bottom)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57">
      <c r="A78" s="2" t="inlineStr">
        <is>
          <t>2026-08-28</t>
        </is>
      </c>
      <c r="B78" s="2" t="inlineStr">
        <is>
          <t>DALBHARAT</t>
        </is>
      </c>
      <c r="C78" s="2" t="inlineStr">
        <is>
          <t>Dalmia Bharat Limited</t>
        </is>
      </c>
      <c r="D78" s="2" t="inlineStr">
        <is>
          <t>98/100</t>
        </is>
      </c>
      <c r="E78" s="7" t="n">
        <v>1898</v>
      </c>
      <c r="F78" s="7" t="n">
        <v>1804.699968610491</v>
      </c>
      <c r="G78" s="7" t="n">
        <v>2131.250078473772</v>
      </c>
      <c r="H78" s="2" t="inlineStr">
        <is>
          <t>1:2.5</t>
        </is>
      </c>
      <c r="I78" s="2" t="n">
        <v>0</v>
      </c>
      <c r="J78" s="7" t="n">
        <v>0</v>
      </c>
      <c r="K78" s="2" t="inlineStr">
        <is>
          <t>PENDING</t>
        </is>
      </c>
      <c r="L78" s="2" t="inlineStr">
        <is>
          <t>Swing Scanner (STATE 3: Capitulation Bottom)</t>
        </is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57">
      <c r="A79" s="2" t="inlineStr">
        <is>
          <t>2026-08-28</t>
        </is>
      </c>
      <c r="B79" s="2" t="inlineStr">
        <is>
          <t>APARINDS</t>
        </is>
      </c>
      <c r="C79" s="2" t="inlineStr">
        <is>
          <t>APAR Industries Limited</t>
        </is>
      </c>
      <c r="D79" s="2" t="inlineStr">
        <is>
          <t>98/100</t>
        </is>
      </c>
      <c r="E79" s="7" t="n">
        <v>17900</v>
      </c>
      <c r="F79" s="7" t="n">
        <v>16339.85714285714</v>
      </c>
      <c r="G79" s="7" t="n">
        <v>21800.35714285714</v>
      </c>
      <c r="H79" s="2" t="inlineStr">
        <is>
          <t>1:2.5</t>
        </is>
      </c>
      <c r="I79" s="2" t="n">
        <v>0</v>
      </c>
      <c r="J79" s="7" t="n">
        <v>0</v>
      </c>
      <c r="K79" s="2" t="inlineStr">
        <is>
          <t>PENDING</t>
        </is>
      </c>
      <c r="L79" s="2" t="inlineStr">
        <is>
          <t>Swing Scanner (STATE 3: Capitulation Bottom)</t>
        </is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57">
      <c r="A80" s="2" t="inlineStr">
        <is>
          <t>2026-08-28</t>
        </is>
      </c>
      <c r="B80" s="2" t="inlineStr">
        <is>
          <t>JSWSTEEL</t>
        </is>
      </c>
      <c r="C80" s="2" t="inlineStr">
        <is>
          <t>JSW Steel Limited</t>
        </is>
      </c>
      <c r="D80" s="2" t="inlineStr">
        <is>
          <t>98/100</t>
        </is>
      </c>
      <c r="E80" s="7" t="n">
        <v>1341</v>
      </c>
      <c r="F80" s="7" t="n">
        <v>1293.114275251116</v>
      </c>
      <c r="G80" s="7" t="n">
        <v>1460.71431187221</v>
      </c>
      <c r="H80" s="2" t="inlineStr">
        <is>
          <t>1:2.5</t>
        </is>
      </c>
      <c r="I80" s="2" t="n">
        <v>0</v>
      </c>
      <c r="J80" s="7" t="n">
        <v>0</v>
      </c>
      <c r="K80" s="2" t="inlineStr">
        <is>
          <t>PENDING</t>
        </is>
      </c>
      <c r="L80" s="2" t="inlineStr">
        <is>
          <t>Swing Scanner (STATE 3: Capitulation Bottom)</t>
        </is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57">
      <c r="A81" s="2" t="inlineStr">
        <is>
          <t>2026-08-28</t>
        </is>
      </c>
      <c r="B81" s="2" t="inlineStr">
        <is>
          <t>TATACHEM</t>
        </is>
      </c>
      <c r="C81" s="2" t="inlineStr">
        <is>
          <t>Tata Chemicals Limited</t>
        </is>
      </c>
      <c r="D81" s="2" t="inlineStr">
        <is>
          <t>100/100</t>
        </is>
      </c>
      <c r="E81" s="7" t="n">
        <v>644.4</v>
      </c>
      <c r="F81" s="7" t="n">
        <v>637.45</v>
      </c>
      <c r="G81" s="7" t="n">
        <v>661.8</v>
      </c>
      <c r="H81" s="2" t="inlineStr">
        <is>
          <t>1:2.5</t>
        </is>
      </c>
      <c r="I81" s="2" t="n">
        <v>0</v>
      </c>
      <c r="J81" s="7" t="n">
        <v>0</v>
      </c>
      <c r="K81" s="2" t="inlineStr">
        <is>
          <t>PENDING</t>
        </is>
      </c>
      <c r="L81" s="2" t="inlineStr">
        <is>
          <t>Intraday Scanner (STATE 3: Capitulation Bottom)</t>
        </is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57">
      <c r="A82" s="2" t="inlineStr">
        <is>
          <t>2026-08-28</t>
        </is>
      </c>
      <c r="B82" s="2" t="inlineStr">
        <is>
          <t>MANKIND</t>
        </is>
      </c>
      <c r="C82" s="2" t="inlineStr">
        <is>
          <t>Mankind Pharma Limited</t>
        </is>
      </c>
      <c r="D82" s="2" t="inlineStr">
        <is>
          <t>100/100</t>
        </is>
      </c>
      <c r="E82" s="7" t="n">
        <v>2417.5</v>
      </c>
      <c r="F82" s="7" t="n">
        <v>2391.65</v>
      </c>
      <c r="G82" s="7" t="n">
        <v>2482.15</v>
      </c>
      <c r="H82" s="2" t="inlineStr">
        <is>
          <t>1:2.5</t>
        </is>
      </c>
      <c r="I82" s="2" t="n">
        <v>0</v>
      </c>
      <c r="J82" s="7" t="n">
        <v>0</v>
      </c>
      <c r="K82" s="2" t="inlineStr">
        <is>
          <t>PENDING</t>
        </is>
      </c>
      <c r="L82" s="2" t="inlineStr">
        <is>
          <t>Intraday Scanner (STATE 3: Capitulation Bottom)</t>
        </is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57">
      <c r="A83" s="2" t="inlineStr">
        <is>
          <t>2026-08-28</t>
        </is>
      </c>
      <c r="B83" s="2" t="inlineStr">
        <is>
          <t>LAURUSLABS</t>
        </is>
      </c>
      <c r="C83" s="2" t="inlineStr">
        <is>
          <t>Laurus Labs Limited</t>
        </is>
      </c>
      <c r="D83" s="2" t="inlineStr">
        <is>
          <t>100/100</t>
        </is>
      </c>
      <c r="E83" s="7" t="n">
        <v>1929.4</v>
      </c>
      <c r="F83" s="7" t="n">
        <v>1887.4</v>
      </c>
      <c r="G83" s="7" t="n">
        <v>2034.4</v>
      </c>
      <c r="H83" s="2" t="inlineStr">
        <is>
          <t>1:2.5</t>
        </is>
      </c>
      <c r="I83" s="2" t="n">
        <v>0</v>
      </c>
      <c r="J83" s="7" t="n">
        <v>0</v>
      </c>
      <c r="K83" s="2" t="inlineStr">
        <is>
          <t>PENDING</t>
        </is>
      </c>
      <c r="L83" s="2" t="inlineStr">
        <is>
          <t>Intraday Scanner (STATE 3: Capitulation Bottom)</t>
        </is>
      </c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57">
      <c r="A84" s="2" t="inlineStr">
        <is>
          <t>2026-08-28</t>
        </is>
      </c>
      <c r="B84" s="2" t="inlineStr">
        <is>
          <t>SCHNEIDER</t>
        </is>
      </c>
      <c r="C84" s="2" t="inlineStr">
        <is>
          <t>Schneider Electric Infrastructure Limited</t>
        </is>
      </c>
      <c r="D84" s="2" t="inlineStr">
        <is>
          <t>100/100</t>
        </is>
      </c>
      <c r="E84" s="7" t="n">
        <v>1207</v>
      </c>
      <c r="F84" s="7" t="n">
        <v>1169.25</v>
      </c>
      <c r="G84" s="7" t="n">
        <v>1301.45</v>
      </c>
      <c r="H84" s="2" t="inlineStr">
        <is>
          <t>1:2.5</t>
        </is>
      </c>
      <c r="I84" s="2" t="n">
        <v>0</v>
      </c>
      <c r="J84" s="7" t="n">
        <v>0</v>
      </c>
      <c r="K84" s="2" t="inlineStr">
        <is>
          <t>PENDING</t>
        </is>
      </c>
      <c r="L84" s="2" t="inlineStr">
        <is>
          <t>Intraday Scanner (STATE 3: Capitulation Bottom)</t>
        </is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57">
      <c r="A85" s="2" t="inlineStr">
        <is>
          <t>2026-08-28</t>
        </is>
      </c>
      <c r="B85" s="2" t="inlineStr">
        <is>
          <t>FINEORG</t>
        </is>
      </c>
      <c r="C85" s="2" t="inlineStr">
        <is>
          <t>Fine Organic Industries Limited</t>
        </is>
      </c>
      <c r="D85" s="2" t="inlineStr">
        <is>
          <t>100/100</t>
        </is>
      </c>
      <c r="E85" s="7" t="n">
        <v>5258.2</v>
      </c>
      <c r="F85" s="7" t="n">
        <v>5148.65</v>
      </c>
      <c r="G85" s="7" t="n">
        <v>5532.1</v>
      </c>
      <c r="H85" s="2" t="inlineStr">
        <is>
          <t>1:2.5</t>
        </is>
      </c>
      <c r="I85" s="2" t="n">
        <v>0</v>
      </c>
      <c r="J85" s="7" t="n">
        <v>0</v>
      </c>
      <c r="K85" s="2" t="inlineStr">
        <is>
          <t>PENDING</t>
        </is>
      </c>
      <c r="L85" s="2" t="inlineStr">
        <is>
          <t>Intraday Scanner (STATE 3: Capitulation Bottom)</t>
        </is>
      </c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57">
      <c r="A86" s="2" t="inlineStr">
        <is>
          <t>2026-08-29</t>
        </is>
      </c>
      <c r="B86" s="2" t="inlineStr">
        <is>
          <t>JAIBALAJI</t>
        </is>
      </c>
      <c r="C86" s="2" t="inlineStr">
        <is>
          <t>Jai Balaji Industries Limited</t>
        </is>
      </c>
      <c r="D86" s="2" t="inlineStr">
        <is>
          <t>100/100</t>
        </is>
      </c>
      <c r="E86" s="7" t="n">
        <v>70.16000366210938</v>
      </c>
      <c r="F86" s="7" t="n">
        <v>62.67143249511719</v>
      </c>
      <c r="G86" s="7" t="n">
        <v>88.88143157958984</v>
      </c>
      <c r="H86" s="2" t="inlineStr">
        <is>
          <t>1:2.5</t>
        </is>
      </c>
      <c r="I86" s="2" t="n">
        <v>0</v>
      </c>
      <c r="J86" s="7" t="n">
        <v>0</v>
      </c>
      <c r="K86" s="2" t="inlineStr">
        <is>
          <t>PENDING</t>
        </is>
      </c>
      <c r="L86" s="2" t="inlineStr">
        <is>
          <t>Swing Scanner (STATE 3: Capitulation Bottom)</t>
        </is>
      </c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57">
      <c r="A87" s="2" t="inlineStr">
        <is>
          <t>2026-08-29</t>
        </is>
      </c>
      <c r="B87" s="2" t="inlineStr">
        <is>
          <t>APARINDS</t>
        </is>
      </c>
      <c r="C87" s="2" t="inlineStr">
        <is>
          <t>APAR Industries Limited</t>
        </is>
      </c>
      <c r="D87" s="2" t="inlineStr">
        <is>
          <t>98/100</t>
        </is>
      </c>
      <c r="E87" s="7" t="n">
        <v>17900</v>
      </c>
      <c r="F87" s="7" t="n">
        <v>16339.85714285714</v>
      </c>
      <c r="G87" s="7" t="n">
        <v>21800.35714285714</v>
      </c>
      <c r="H87" s="2" t="inlineStr">
        <is>
          <t>1:2.5</t>
        </is>
      </c>
      <c r="I87" s="2" t="n">
        <v>0</v>
      </c>
      <c r="J87" s="7" t="n">
        <v>0</v>
      </c>
      <c r="K87" s="2" t="inlineStr">
        <is>
          <t>PENDING</t>
        </is>
      </c>
      <c r="L87" s="2" t="inlineStr">
        <is>
          <t>Swing Scanner (STATE 3: Capitulation Bottom)</t>
        </is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57">
      <c r="A88" s="2" t="inlineStr">
        <is>
          <t>2026-08-29</t>
        </is>
      </c>
      <c r="B88" s="2" t="inlineStr">
        <is>
          <t>SHYAMMETL</t>
        </is>
      </c>
      <c r="C88" s="2" t="inlineStr">
        <is>
          <t>Shyam Metalics and Energy Limited</t>
        </is>
      </c>
      <c r="D88" s="2" t="inlineStr">
        <is>
          <t>98/100</t>
        </is>
      </c>
      <c r="E88" s="7" t="n">
        <v>1042.400024414062</v>
      </c>
      <c r="F88" s="7" t="n">
        <v>994.9857177734375</v>
      </c>
      <c r="G88" s="7" t="n">
        <v>1160.935791015625</v>
      </c>
      <c r="H88" s="2" t="inlineStr">
        <is>
          <t>1:2.5</t>
        </is>
      </c>
      <c r="I88" s="2" t="n">
        <v>0</v>
      </c>
      <c r="J88" s="7" t="n">
        <v>0</v>
      </c>
      <c r="K88" s="2" t="inlineStr">
        <is>
          <t>PENDING</t>
        </is>
      </c>
      <c r="L88" s="2" t="inlineStr">
        <is>
          <t>Swing Scanner (STATE 3: Capitulation Bottom)</t>
        </is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57">
      <c r="A89" s="2" t="inlineStr">
        <is>
          <t>2026-08-29</t>
        </is>
      </c>
      <c r="B89" s="2" t="inlineStr">
        <is>
          <t>AHCL</t>
        </is>
      </c>
      <c r="C89" s="2" t="inlineStr">
        <is>
          <t>AHCL</t>
        </is>
      </c>
      <c r="D89" s="2" t="inlineStr">
        <is>
          <t>98/100</t>
        </is>
      </c>
      <c r="E89" s="7" t="n">
        <v>15.60000038146973</v>
      </c>
      <c r="F89" s="7" t="n">
        <v>14.66428620474679</v>
      </c>
      <c r="G89" s="7" t="n">
        <v>17.93928582327706</v>
      </c>
      <c r="H89" s="2" t="inlineStr">
        <is>
          <t>1:2.5</t>
        </is>
      </c>
      <c r="I89" s="2" t="n">
        <v>3</v>
      </c>
      <c r="J89" s="7" t="n">
        <v>46.80000114440918</v>
      </c>
      <c r="K89" s="2" t="inlineStr">
        <is>
          <t>PENDING</t>
        </is>
      </c>
      <c r="L89" s="2" t="inlineStr">
        <is>
          <t>Swing Scanner (STATE 3: Capitulation Bottom)</t>
        </is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57">
      <c r="A90" s="2" t="inlineStr">
        <is>
          <t>2026-08-29</t>
        </is>
      </c>
      <c r="B90" s="2" t="inlineStr">
        <is>
          <t>BHEL</t>
        </is>
      </c>
      <c r="C90" s="2" t="inlineStr">
        <is>
          <t>Bharat Heavy Electricals Limited</t>
        </is>
      </c>
      <c r="D90" s="2" t="inlineStr">
        <is>
          <t>98/100</t>
        </is>
      </c>
      <c r="E90" s="7" t="n">
        <v>433.9500122070312</v>
      </c>
      <c r="F90" s="7" t="n">
        <v>411.3428649902344</v>
      </c>
      <c r="G90" s="7" t="n">
        <v>490.4678802490234</v>
      </c>
      <c r="H90" s="2" t="inlineStr">
        <is>
          <t>1:2.5</t>
        </is>
      </c>
      <c r="I90" s="2" t="n">
        <v>0</v>
      </c>
      <c r="J90" s="7" t="n">
        <v>0</v>
      </c>
      <c r="K90" s="2" t="inlineStr">
        <is>
          <t>PENDING</t>
        </is>
      </c>
      <c r="L90" s="2" t="inlineStr">
        <is>
          <t>Swing Scanner (STATE 3: Capitulation Bottom)</t>
        </is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57">
      <c r="A91" s="2" t="inlineStr">
        <is>
          <t>2026-08-29</t>
        </is>
      </c>
      <c r="B91" s="2" t="inlineStr">
        <is>
          <t>NESTLEIND</t>
        </is>
      </c>
      <c r="C91" s="2" t="inlineStr">
        <is>
          <t>Nestle India Limited</t>
        </is>
      </c>
      <c r="D91" s="2" t="inlineStr">
        <is>
          <t>100/100</t>
        </is>
      </c>
      <c r="E91" s="7" t="n">
        <v>1454.6</v>
      </c>
      <c r="F91" s="7" t="n">
        <v>1442.5</v>
      </c>
      <c r="G91" s="7" t="n">
        <v>1484.85</v>
      </c>
      <c r="H91" s="2" t="inlineStr">
        <is>
          <t>1:2.5</t>
        </is>
      </c>
      <c r="I91" s="2" t="n">
        <v>0</v>
      </c>
      <c r="J91" s="7" t="n">
        <v>0</v>
      </c>
      <c r="K91" s="2" t="inlineStr">
        <is>
          <t>PENDING</t>
        </is>
      </c>
      <c r="L91" s="2" t="inlineStr">
        <is>
          <t>Intraday Scanner (STATE 3: Capitulation Bottom)</t>
        </is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57">
      <c r="A92" s="2" t="inlineStr">
        <is>
          <t>2026-08-29</t>
        </is>
      </c>
      <c r="B92" s="2" t="inlineStr">
        <is>
          <t>CIPLA</t>
        </is>
      </c>
      <c r="C92" s="2" t="inlineStr">
        <is>
          <t>Cipla Limited</t>
        </is>
      </c>
      <c r="D92" s="2" t="inlineStr">
        <is>
          <t>100/100</t>
        </is>
      </c>
      <c r="E92" s="7" t="n">
        <v>1423.5</v>
      </c>
      <c r="F92" s="7" t="n">
        <v>1411.6</v>
      </c>
      <c r="G92" s="7" t="n">
        <v>1453.25</v>
      </c>
      <c r="H92" s="2" t="inlineStr">
        <is>
          <t>1:2.5</t>
        </is>
      </c>
      <c r="I92" s="2" t="n">
        <v>0</v>
      </c>
      <c r="J92" s="7" t="n">
        <v>0</v>
      </c>
      <c r="K92" s="2" t="inlineStr">
        <is>
          <t>PENDING</t>
        </is>
      </c>
      <c r="L92" s="2" t="inlineStr">
        <is>
          <t>Intraday Scanner (STATE 3: Capitulation Bottom)</t>
        </is>
      </c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57">
      <c r="A93" s="2" t="inlineStr">
        <is>
          <t>2026-08-29</t>
        </is>
      </c>
      <c r="B93" s="2" t="inlineStr">
        <is>
          <t>ZYDUSLIFE</t>
        </is>
      </c>
      <c r="C93" s="2" t="inlineStr">
        <is>
          <t>Zydus Lifesciences Limited</t>
        </is>
      </c>
      <c r="D93" s="2" t="inlineStr">
        <is>
          <t>100/100</t>
        </is>
      </c>
      <c r="E93" s="7" t="n">
        <v>1191</v>
      </c>
      <c r="F93" s="7" t="n">
        <v>1159.4</v>
      </c>
      <c r="G93" s="7" t="n">
        <v>1270</v>
      </c>
      <c r="H93" s="2" t="inlineStr">
        <is>
          <t>1:2.5</t>
        </is>
      </c>
      <c r="I93" s="2" t="n">
        <v>0</v>
      </c>
      <c r="J93" s="7" t="n">
        <v>0</v>
      </c>
      <c r="K93" s="2" t="inlineStr">
        <is>
          <t>PENDING</t>
        </is>
      </c>
      <c r="L93" s="2" t="inlineStr">
        <is>
          <t>Intraday Scanner (STATE 3: Capitulation Bottom)</t>
        </is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57">
      <c r="A94" s="2" t="inlineStr">
        <is>
          <t>2026-08-29</t>
        </is>
      </c>
      <c r="B94" s="2" t="inlineStr">
        <is>
          <t>KEI</t>
        </is>
      </c>
      <c r="C94" s="2" t="inlineStr">
        <is>
          <t>KEI Industries Limited</t>
        </is>
      </c>
      <c r="D94" s="2" t="inlineStr">
        <is>
          <t>100/100</t>
        </is>
      </c>
      <c r="E94" s="7" t="n">
        <v>5570</v>
      </c>
      <c r="F94" s="7" t="n">
        <v>5526.55</v>
      </c>
      <c r="G94" s="7" t="n">
        <v>5678.6</v>
      </c>
      <c r="H94" s="2" t="inlineStr">
        <is>
          <t>1:2.5</t>
        </is>
      </c>
      <c r="I94" s="2" t="n">
        <v>0</v>
      </c>
      <c r="J94" s="7" t="n">
        <v>0</v>
      </c>
      <c r="K94" s="2" t="inlineStr">
        <is>
          <t>PENDING</t>
        </is>
      </c>
      <c r="L94" s="2" t="inlineStr">
        <is>
          <t>Intraday Scanner (STATE 3: Capitulation Bottom)</t>
        </is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57">
      <c r="A95" s="2" t="inlineStr">
        <is>
          <t>2026-08-29</t>
        </is>
      </c>
      <c r="B95" s="2" t="inlineStr">
        <is>
          <t>GLENMARK</t>
        </is>
      </c>
      <c r="C95" s="2" t="inlineStr">
        <is>
          <t>Glenmark Pharmaceuticals Limited</t>
        </is>
      </c>
      <c r="D95" s="2" t="inlineStr">
        <is>
          <t>100/100</t>
        </is>
      </c>
      <c r="E95" s="7" t="n">
        <v>2515</v>
      </c>
      <c r="F95" s="7" t="n">
        <v>2442.65</v>
      </c>
      <c r="G95" s="7" t="n">
        <v>2695.9</v>
      </c>
      <c r="H95" s="2" t="inlineStr">
        <is>
          <t>1:2.5</t>
        </is>
      </c>
      <c r="I95" s="2" t="n">
        <v>0</v>
      </c>
      <c r="J95" s="7" t="n">
        <v>0</v>
      </c>
      <c r="K95" s="2" t="inlineStr">
        <is>
          <t>PENDING</t>
        </is>
      </c>
      <c r="L95" s="2" t="inlineStr">
        <is>
          <t>Intraday Scanner (STATE 3: Capitulation Bottom)</t>
        </is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57">
      <c r="A96" s="2" t="inlineStr">
        <is>
          <t>2026-08-31</t>
        </is>
      </c>
      <c r="B96" s="2" t="inlineStr">
        <is>
          <t>LAURUSLABS</t>
        </is>
      </c>
      <c r="C96" s="2" t="inlineStr">
        <is>
          <t>Laurus Labs Limited</t>
        </is>
      </c>
      <c r="D96" s="2" t="inlineStr">
        <is>
          <t>100/100</t>
        </is>
      </c>
      <c r="E96" s="7" t="n">
        <v>1938.5</v>
      </c>
      <c r="F96" s="7" t="n">
        <v>1859.085710797991</v>
      </c>
      <c r="G96" s="7" t="n">
        <v>2137.035723005022</v>
      </c>
      <c r="H96" s="2" t="inlineStr">
        <is>
          <t>1:2.5</t>
        </is>
      </c>
      <c r="I96" s="2" t="n">
        <v>0</v>
      </c>
      <c r="J96" s="7" t="n">
        <v>0</v>
      </c>
      <c r="K96" s="2" t="inlineStr">
        <is>
          <t>PENDING</t>
        </is>
      </c>
      <c r="L96" s="2" t="inlineStr">
        <is>
          <t>Swing Scanner (STATE 3: Capitulation Bottom)</t>
        </is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57">
      <c r="A97" s="2" t="inlineStr">
        <is>
          <t>2026-08-31</t>
        </is>
      </c>
      <c r="B97" s="2" t="inlineStr">
        <is>
          <t>GHCLTEXTIL</t>
        </is>
      </c>
      <c r="C97" s="2" t="inlineStr">
        <is>
          <t>GHCL Textiles Limited</t>
        </is>
      </c>
      <c r="D97" s="2" t="inlineStr">
        <is>
          <t>98/100</t>
        </is>
      </c>
      <c r="E97" s="7" t="n">
        <v>130.7899932861328</v>
      </c>
      <c r="F97" s="7" t="n">
        <v>119.39856501988</v>
      </c>
      <c r="G97" s="7" t="n">
        <v>159.2685639517648</v>
      </c>
      <c r="H97" s="2" t="inlineStr">
        <is>
          <t>1:2.5</t>
        </is>
      </c>
      <c r="I97" s="2" t="n">
        <v>0</v>
      </c>
      <c r="J97" s="7" t="n">
        <v>0</v>
      </c>
      <c r="K97" s="2" t="inlineStr">
        <is>
          <t>PENDING</t>
        </is>
      </c>
      <c r="L97" s="2" t="inlineStr">
        <is>
          <t>Swing Scanner (STATE 3: Capitulation Bottom)</t>
        </is>
      </c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57">
      <c r="A98" s="2" t="inlineStr">
        <is>
          <t>2026-08-31</t>
        </is>
      </c>
      <c r="B98" s="2" t="inlineStr">
        <is>
          <t>INOXINDIA</t>
        </is>
      </c>
      <c r="C98" s="2" t="inlineStr">
        <is>
          <t>INOX India Limited</t>
        </is>
      </c>
      <c r="D98" s="2" t="inlineStr">
        <is>
          <t>98/100</t>
        </is>
      </c>
      <c r="E98" s="7" t="n">
        <v>2126.199951171875</v>
      </c>
      <c r="F98" s="7" t="n">
        <v>1963.67138671875</v>
      </c>
      <c r="G98" s="7" t="n">
        <v>2532.521362304688</v>
      </c>
      <c r="H98" s="2" t="inlineStr">
        <is>
          <t>1:2.5</t>
        </is>
      </c>
      <c r="I98" s="2" t="n">
        <v>0</v>
      </c>
      <c r="J98" s="7" t="n">
        <v>0</v>
      </c>
      <c r="K98" s="2" t="inlineStr">
        <is>
          <t>PENDING</t>
        </is>
      </c>
      <c r="L98" s="2" t="inlineStr">
        <is>
          <t>Swing Scanner (STATE 3: Capitulation Bottom)</t>
        </is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57">
      <c r="A99" s="2" t="inlineStr">
        <is>
          <t>2026-08-31</t>
        </is>
      </c>
      <c r="B99" s="2" t="inlineStr">
        <is>
          <t>PTCIL</t>
        </is>
      </c>
      <c r="C99" s="2" t="inlineStr">
        <is>
          <t>PTC Industries Limited</t>
        </is>
      </c>
      <c r="D99" s="2" t="inlineStr">
        <is>
          <t>98/100</t>
        </is>
      </c>
      <c r="E99" s="7" t="n">
        <v>22110</v>
      </c>
      <c r="F99" s="7" t="n">
        <v>20406.28571428571</v>
      </c>
      <c r="G99" s="7" t="n">
        <v>26369.28571428571</v>
      </c>
      <c r="H99" s="2" t="inlineStr">
        <is>
          <t>1:2.5</t>
        </is>
      </c>
      <c r="I99" s="2" t="n">
        <v>0</v>
      </c>
      <c r="J99" s="7" t="n">
        <v>0</v>
      </c>
      <c r="K99" s="2" t="inlineStr">
        <is>
          <t>PENDING</t>
        </is>
      </c>
      <c r="L99" s="2" t="inlineStr">
        <is>
          <t>Swing Scanner (STATE 3: Capitulation Bottom)</t>
        </is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57">
      <c r="A100" s="2" t="inlineStr">
        <is>
          <t>2026-08-31</t>
        </is>
      </c>
      <c r="B100" s="2" t="inlineStr">
        <is>
          <t>SAGILITY</t>
        </is>
      </c>
      <c r="C100" s="2" t="inlineStr">
        <is>
          <t>Sagility Limited</t>
        </is>
      </c>
      <c r="D100" s="2" t="inlineStr">
        <is>
          <t>98/100</t>
        </is>
      </c>
      <c r="E100" s="7" t="n">
        <v>46.34000015258789</v>
      </c>
      <c r="F100" s="7" t="n">
        <v>43.83428628104074</v>
      </c>
      <c r="G100" s="7" t="n">
        <v>52.60428483145578</v>
      </c>
      <c r="H100" s="2" t="inlineStr">
        <is>
          <t>1:2.5</t>
        </is>
      </c>
      <c r="I100" s="2" t="n">
        <v>1</v>
      </c>
      <c r="J100" s="7" t="n">
        <v>46.34000015258789</v>
      </c>
      <c r="K100" s="2" t="inlineStr">
        <is>
          <t>PENDING</t>
        </is>
      </c>
      <c r="L100" s="2" t="inlineStr">
        <is>
          <t>Swing Scanner (STATE 3: Capitulation Bottom)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57">
      <c r="A101" s="2" t="inlineStr">
        <is>
          <t>2026-08-31</t>
        </is>
      </c>
      <c r="B101" s="2" t="inlineStr">
        <is>
          <t>TCS</t>
        </is>
      </c>
      <c r="C101" s="2" t="inlineStr">
        <is>
          <t>Tata Consultancy Services</t>
        </is>
      </c>
      <c r="D101" s="2" t="inlineStr">
        <is>
          <t>100/100</t>
        </is>
      </c>
      <c r="E101" s="7" t="n">
        <v>2399.3</v>
      </c>
      <c r="F101" s="7" t="n">
        <v>2352.75</v>
      </c>
      <c r="G101" s="7" t="n">
        <v>2515.7</v>
      </c>
      <c r="H101" s="2" t="inlineStr">
        <is>
          <t>1:2.5</t>
        </is>
      </c>
      <c r="I101" s="2" t="n">
        <v>0</v>
      </c>
      <c r="J101" s="7" t="n">
        <v>0</v>
      </c>
      <c r="K101" s="2" t="inlineStr">
        <is>
          <t>PENDING</t>
        </is>
      </c>
      <c r="L101" s="2" t="inlineStr">
        <is>
          <t>Intraday Scanner (STATE 3: Capitulation Bottom)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57">
      <c r="A102" s="2" t="inlineStr">
        <is>
          <t>2026-08-31</t>
        </is>
      </c>
      <c r="B102" s="2" t="inlineStr">
        <is>
          <t>SUNPHARMA</t>
        </is>
      </c>
      <c r="C102" s="2" t="inlineStr">
        <is>
          <t>Sun Pharmaceutical Industries Limited</t>
        </is>
      </c>
      <c r="D102" s="2" t="inlineStr">
        <is>
          <t>100/100</t>
        </is>
      </c>
      <c r="E102" s="7" t="n">
        <v>1984.8</v>
      </c>
      <c r="F102" s="7" t="n">
        <v>1958.65</v>
      </c>
      <c r="G102" s="7" t="n">
        <v>2050.2</v>
      </c>
      <c r="H102" s="2" t="inlineStr">
        <is>
          <t>1:2.5</t>
        </is>
      </c>
      <c r="I102" s="2" t="n">
        <v>0</v>
      </c>
      <c r="J102" s="7" t="n">
        <v>0</v>
      </c>
      <c r="K102" s="2" t="inlineStr">
        <is>
          <t>PENDING</t>
        </is>
      </c>
      <c r="L102" s="2" t="inlineStr">
        <is>
          <t>Intraday Scanner (STATE 3: Capitulation Bottom)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57">
      <c r="A103" s="2" t="inlineStr">
        <is>
          <t>2026-08-31</t>
        </is>
      </c>
      <c r="B103" s="2" t="inlineStr">
        <is>
          <t>ASIANPAINT</t>
        </is>
      </c>
      <c r="C103" s="2" t="inlineStr">
        <is>
          <t>Asian Paints Limited</t>
        </is>
      </c>
      <c r="D103" s="2" t="inlineStr">
        <is>
          <t>100/100</t>
        </is>
      </c>
      <c r="E103" s="7" t="n">
        <v>2653.6</v>
      </c>
      <c r="F103" s="7" t="n">
        <v>2620.2</v>
      </c>
      <c r="G103" s="7" t="n">
        <v>2737.15</v>
      </c>
      <c r="H103" s="2" t="inlineStr">
        <is>
          <t>1:2.5</t>
        </is>
      </c>
      <c r="I103" s="2" t="n">
        <v>0</v>
      </c>
      <c r="J103" s="7" t="n">
        <v>0</v>
      </c>
      <c r="K103" s="2" t="inlineStr">
        <is>
          <t>PENDING</t>
        </is>
      </c>
      <c r="L103" s="2" t="inlineStr">
        <is>
          <t>Intraday Scanner (STATE 3: Capitulation Bottom)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57">
      <c r="A104" s="2" t="inlineStr">
        <is>
          <t>2026-08-31</t>
        </is>
      </c>
      <c r="B104" s="2" t="inlineStr">
        <is>
          <t>NESTLEIND</t>
        </is>
      </c>
      <c r="C104" s="2" t="inlineStr">
        <is>
          <t>Nestle India Limited</t>
        </is>
      </c>
      <c r="D104" s="2" t="inlineStr">
        <is>
          <t>100/100</t>
        </is>
      </c>
      <c r="E104" s="7" t="n">
        <v>1496.5</v>
      </c>
      <c r="F104" s="7" t="n">
        <v>1475.95</v>
      </c>
      <c r="G104" s="7" t="n">
        <v>1547.9</v>
      </c>
      <c r="H104" s="2" t="inlineStr">
        <is>
          <t>1:2.5</t>
        </is>
      </c>
      <c r="I104" s="2" t="n">
        <v>0</v>
      </c>
      <c r="J104" s="7" t="n">
        <v>0</v>
      </c>
      <c r="K104" s="2" t="inlineStr">
        <is>
          <t>PENDING</t>
        </is>
      </c>
      <c r="L104" s="2" t="inlineStr">
        <is>
          <t>Intraday Scanner (STATE 3: Capitulation Bottom)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57">
      <c r="A105" s="2" t="inlineStr">
        <is>
          <t>2026-08-31</t>
        </is>
      </c>
      <c r="B105" s="2" t="inlineStr">
        <is>
          <t>GRASIM</t>
        </is>
      </c>
      <c r="C105" s="2" t="inlineStr">
        <is>
          <t>Grasim Industries Limited</t>
        </is>
      </c>
      <c r="D105" s="2" t="inlineStr">
        <is>
          <t>100/100</t>
        </is>
      </c>
      <c r="E105" s="7" t="n">
        <v>3371</v>
      </c>
      <c r="F105" s="7" t="n">
        <v>3326.35</v>
      </c>
      <c r="G105" s="7" t="n">
        <v>3482.65</v>
      </c>
      <c r="H105" s="2" t="inlineStr">
        <is>
          <t>1:2.5</t>
        </is>
      </c>
      <c r="I105" s="2" t="n">
        <v>0</v>
      </c>
      <c r="J105" s="7" t="n">
        <v>0</v>
      </c>
      <c r="K105" s="2" t="inlineStr">
        <is>
          <t>PENDING</t>
        </is>
      </c>
      <c r="L105" s="2" t="inlineStr">
        <is>
          <t>Intraday Scanner (STATE 3: Capitulation Bottom)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57">
      <c r="A106" s="2" t="inlineStr">
        <is>
          <t>2026-09-01</t>
        </is>
      </c>
      <c r="B106" s="2" t="inlineStr">
        <is>
          <t>JAIBALAJI</t>
        </is>
      </c>
      <c r="C106" s="2" t="inlineStr">
        <is>
          <t>Jai Balaji Industries Limited</t>
        </is>
      </c>
      <c r="D106" s="2" t="inlineStr">
        <is>
          <t>100/100</t>
        </is>
      </c>
      <c r="E106" s="7" t="n">
        <v>72.16000366210938</v>
      </c>
      <c r="F106" s="7" t="n">
        <v>65.01714651925224</v>
      </c>
      <c r="G106" s="7" t="n">
        <v>90.01714651925224</v>
      </c>
      <c r="H106" s="2" t="inlineStr">
        <is>
          <t>1:2.5</t>
        </is>
      </c>
      <c r="I106" s="2" t="n">
        <v>0</v>
      </c>
      <c r="J106" s="7" t="n">
        <v>0</v>
      </c>
      <c r="K106" s="2" t="inlineStr">
        <is>
          <t>PENDING</t>
        </is>
      </c>
      <c r="L106" s="2" t="inlineStr">
        <is>
          <t>Swing Scanner (STATE 3: Capitulation Bottom)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57">
      <c r="A107" s="2" t="inlineStr">
        <is>
          <t>2026-09-01</t>
        </is>
      </c>
      <c r="B107" s="2" t="inlineStr">
        <is>
          <t>KPRMILL</t>
        </is>
      </c>
      <c r="C107" s="2" t="inlineStr">
        <is>
          <t>K.P.R. Mill Limited</t>
        </is>
      </c>
      <c r="D107" s="2" t="inlineStr">
        <is>
          <t>98/100</t>
        </is>
      </c>
      <c r="E107" s="7" t="n">
        <v>1177.599975585938</v>
      </c>
      <c r="F107" s="7" t="n">
        <v>1113.442836216518</v>
      </c>
      <c r="G107" s="7" t="n">
        <v>1337.992824009487</v>
      </c>
      <c r="H107" s="2" t="inlineStr">
        <is>
          <t>1:2.5</t>
        </is>
      </c>
      <c r="I107" s="2" t="n">
        <v>0</v>
      </c>
      <c r="J107" s="7" t="n">
        <v>0</v>
      </c>
      <c r="K107" s="2" t="inlineStr">
        <is>
          <t>PENDING</t>
        </is>
      </c>
      <c r="L107" s="2" t="inlineStr">
        <is>
          <t>Swing Scanner (STATE 3: Capitulation Bottom)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57">
      <c r="A108" s="2" t="inlineStr">
        <is>
          <t>2026-09-01</t>
        </is>
      </c>
      <c r="B108" s="2" t="inlineStr">
        <is>
          <t>ATLANTAELE</t>
        </is>
      </c>
      <c r="C108" s="2" t="inlineStr">
        <is>
          <t>ATLANTAELE</t>
        </is>
      </c>
      <c r="D108" s="2" t="inlineStr">
        <is>
          <t>98/100</t>
        </is>
      </c>
      <c r="E108" s="7" t="n">
        <v>1830.400024414062</v>
      </c>
      <c r="F108" s="7" t="n">
        <v>1636.614292689732</v>
      </c>
      <c r="G108" s="7" t="n">
        <v>2314.864353724889</v>
      </c>
      <c r="H108" s="2" t="inlineStr">
        <is>
          <t>1:2.5</t>
        </is>
      </c>
      <c r="I108" s="2" t="n">
        <v>0</v>
      </c>
      <c r="J108" s="7" t="n">
        <v>0</v>
      </c>
      <c r="K108" s="2" t="inlineStr">
        <is>
          <t>PENDING</t>
        </is>
      </c>
      <c r="L108" s="2" t="inlineStr">
        <is>
          <t>Swing Scanner (STATE 3: Capitulation Bottom)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57">
      <c r="A109" s="2" t="inlineStr">
        <is>
          <t>2026-09-01</t>
        </is>
      </c>
      <c r="B109" s="2" t="inlineStr">
        <is>
          <t>GHCLTEXTIL</t>
        </is>
      </c>
      <c r="C109" s="2" t="inlineStr">
        <is>
          <t>GHCL Textiles Limited</t>
        </is>
      </c>
      <c r="D109" s="2" t="inlineStr">
        <is>
          <t>98/100</t>
        </is>
      </c>
      <c r="E109" s="7" t="n">
        <v>134.7700042724609</v>
      </c>
      <c r="F109" s="7" t="n">
        <v>123.0071465628488</v>
      </c>
      <c r="G109" s="7" t="n">
        <v>164.1771485464913</v>
      </c>
      <c r="H109" s="2" t="inlineStr">
        <is>
          <t>1:2.5</t>
        </is>
      </c>
      <c r="I109" s="2" t="n">
        <v>0</v>
      </c>
      <c r="J109" s="7" t="n">
        <v>0</v>
      </c>
      <c r="K109" s="2" t="inlineStr">
        <is>
          <t>PENDING</t>
        </is>
      </c>
      <c r="L109" s="2" t="inlineStr">
        <is>
          <t>Swing Scanner (STATE 3: Capitulation Bottom)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57">
      <c r="A110" s="2" t="inlineStr">
        <is>
          <t>2026-09-01</t>
        </is>
      </c>
      <c r="B110" s="2" t="inlineStr">
        <is>
          <t>EPL</t>
        </is>
      </c>
      <c r="C110" s="2" t="inlineStr">
        <is>
          <t>EPL Limited</t>
        </is>
      </c>
      <c r="D110" s="2" t="inlineStr">
        <is>
          <t>98/100</t>
        </is>
      </c>
      <c r="E110" s="7" t="n">
        <v>262.0599975585938</v>
      </c>
      <c r="F110" s="7" t="n">
        <v>237.7642800467355</v>
      </c>
      <c r="G110" s="7" t="n">
        <v>322.7992913382394</v>
      </c>
      <c r="H110" s="2" t="inlineStr">
        <is>
          <t>1:2.5</t>
        </is>
      </c>
      <c r="I110" s="2" t="n">
        <v>0</v>
      </c>
      <c r="J110" s="7" t="n">
        <v>0</v>
      </c>
      <c r="K110" s="2" t="inlineStr">
        <is>
          <t>PENDING</t>
        </is>
      </c>
      <c r="L110" s="2" t="inlineStr">
        <is>
          <t>Swing Scanner (STATE 3: Capitulation Bottom)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57">
      <c r="A111" s="2" t="inlineStr">
        <is>
          <t>2026-09-01</t>
        </is>
      </c>
      <c r="B111" s="2" t="inlineStr">
        <is>
          <t>ONGC</t>
        </is>
      </c>
      <c r="C111" s="2" t="inlineStr">
        <is>
          <t>Oil and Natural Gas Corporation Limited</t>
        </is>
      </c>
      <c r="D111" s="2" t="inlineStr">
        <is>
          <t>100/100</t>
        </is>
      </c>
      <c r="E111" s="7" t="n">
        <v>236.45</v>
      </c>
      <c r="F111" s="7" t="n">
        <v>234.8</v>
      </c>
      <c r="G111" s="7" t="n">
        <v>240.6</v>
      </c>
      <c r="H111" s="2" t="inlineStr">
        <is>
          <t>1:2.5</t>
        </is>
      </c>
      <c r="I111" s="2" t="n">
        <v>0</v>
      </c>
      <c r="J111" s="7" t="n">
        <v>0</v>
      </c>
      <c r="K111" s="2" t="inlineStr">
        <is>
          <t>PENDING</t>
        </is>
      </c>
      <c r="L111" s="2" t="inlineStr">
        <is>
          <t>Intraday Scanner (STATE 3: Capitulation Bottom)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57">
      <c r="A112" s="2" t="inlineStr">
        <is>
          <t>2026-09-01</t>
        </is>
      </c>
      <c r="B112" s="2" t="inlineStr">
        <is>
          <t>ZENSARTECH</t>
        </is>
      </c>
      <c r="C112" s="2" t="inlineStr">
        <is>
          <t>Zensar Technologies Limited</t>
        </is>
      </c>
      <c r="D112" s="2" t="inlineStr">
        <is>
          <t>100/100</t>
        </is>
      </c>
      <c r="E112" s="7" t="n">
        <v>472.95</v>
      </c>
      <c r="F112" s="7" t="n">
        <v>466</v>
      </c>
      <c r="G112" s="7" t="n">
        <v>490.25</v>
      </c>
      <c r="H112" s="2" t="inlineStr">
        <is>
          <t>1:2.5</t>
        </is>
      </c>
      <c r="I112" s="2" t="n">
        <v>0</v>
      </c>
      <c r="J112" s="7" t="n">
        <v>0</v>
      </c>
      <c r="K112" s="2" t="inlineStr">
        <is>
          <t>PENDING</t>
        </is>
      </c>
      <c r="L112" s="2" t="inlineStr">
        <is>
          <t>Intraday Scanner (STATE 3: Capitulation Bottom)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57">
      <c r="A113" s="2" t="inlineStr">
        <is>
          <t>2026-09-01</t>
        </is>
      </c>
      <c r="B113" s="2" t="inlineStr">
        <is>
          <t>PRESTIGE</t>
        </is>
      </c>
      <c r="C113" s="2" t="inlineStr">
        <is>
          <t>Prestige Estates Projects Limited</t>
        </is>
      </c>
      <c r="D113" s="2" t="inlineStr">
        <is>
          <t>100/100</t>
        </is>
      </c>
      <c r="E113" s="7" t="n">
        <v>1570</v>
      </c>
      <c r="F113" s="7" t="n">
        <v>1538.45</v>
      </c>
      <c r="G113" s="7" t="n">
        <v>1648.9</v>
      </c>
      <c r="H113" s="2" t="inlineStr">
        <is>
          <t>1:2.5</t>
        </is>
      </c>
      <c r="I113" s="2" t="n">
        <v>0</v>
      </c>
      <c r="J113" s="7" t="n">
        <v>0</v>
      </c>
      <c r="K113" s="2" t="inlineStr">
        <is>
          <t>PENDING</t>
        </is>
      </c>
      <c r="L113" s="2" t="inlineStr">
        <is>
          <t>Intraday Scanner (STATE 3: Capitulation Bottom)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57">
      <c r="A114" s="2" t="inlineStr">
        <is>
          <t>2026-09-01</t>
        </is>
      </c>
      <c r="B114" s="2" t="inlineStr">
        <is>
          <t>GRANULES</t>
        </is>
      </c>
      <c r="C114" s="2" t="inlineStr">
        <is>
          <t>Granules India Limited</t>
        </is>
      </c>
      <c r="D114" s="2" t="inlineStr">
        <is>
          <t>88/100</t>
        </is>
      </c>
      <c r="E114" s="7" t="n">
        <v>837.2</v>
      </c>
      <c r="F114" s="7" t="n">
        <v>828.55</v>
      </c>
      <c r="G114" s="7" t="n">
        <v>858.8</v>
      </c>
      <c r="H114" s="2" t="inlineStr">
        <is>
          <t>1:2.5</t>
        </is>
      </c>
      <c r="I114" s="2" t="n">
        <v>0</v>
      </c>
      <c r="J114" s="7" t="n">
        <v>0</v>
      </c>
      <c r="K114" s="2" t="inlineStr">
        <is>
          <t>PENDING</t>
        </is>
      </c>
      <c r="L114" s="2" t="inlineStr">
        <is>
          <t>Intraday Scanner (STATE 3: Capitulation Bottom)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57">
      <c r="A115" s="2" t="inlineStr">
        <is>
          <t>2026-09-02</t>
        </is>
      </c>
      <c r="B115" s="2" t="inlineStr">
        <is>
          <t>COHANCE</t>
        </is>
      </c>
      <c r="C115" s="2" t="inlineStr">
        <is>
          <t>COHANCE</t>
        </is>
      </c>
      <c r="D115" s="2" t="inlineStr">
        <is>
          <t>100/100</t>
        </is>
      </c>
      <c r="E115" s="7" t="n">
        <v>460</v>
      </c>
      <c r="F115" s="7" t="n">
        <v>424.8999938964844</v>
      </c>
      <c r="G115" s="7" t="n">
        <v>547.7500152587891</v>
      </c>
      <c r="H115" s="2" t="inlineStr">
        <is>
          <t>1:2.5</t>
        </is>
      </c>
      <c r="I115" s="2" t="n">
        <v>0</v>
      </c>
      <c r="J115" s="7" t="n">
        <v>0</v>
      </c>
      <c r="K115" s="2" t="inlineStr">
        <is>
          <t>PENDING</t>
        </is>
      </c>
      <c r="L115" s="2" t="inlineStr">
        <is>
          <t>Swing Scanner (STATE 3: Capitulation Bottom)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57">
      <c r="A116" s="2" t="inlineStr">
        <is>
          <t>2026-09-02</t>
        </is>
      </c>
      <c r="B116" s="2" t="inlineStr">
        <is>
          <t>METROPOLIS</t>
        </is>
      </c>
      <c r="C116" s="2" t="inlineStr">
        <is>
          <t>Metropolis Healthcare Limited</t>
        </is>
      </c>
      <c r="D116" s="2" t="inlineStr">
        <is>
          <t>98/100</t>
        </is>
      </c>
      <c r="E116" s="7" t="n">
        <v>582.25</v>
      </c>
      <c r="F116" s="7" t="n">
        <v>551.1428571428571</v>
      </c>
      <c r="G116" s="7" t="n">
        <v>660.0178571428571</v>
      </c>
      <c r="H116" s="2" t="inlineStr">
        <is>
          <t>1:2.5</t>
        </is>
      </c>
      <c r="I116" s="2" t="n">
        <v>0</v>
      </c>
      <c r="J116" s="7" t="n">
        <v>0</v>
      </c>
      <c r="K116" s="2" t="inlineStr">
        <is>
          <t>PENDING</t>
        </is>
      </c>
      <c r="L116" s="2" t="inlineStr">
        <is>
          <t>Swing Scanner (STATE 3: Capitulation Bottom)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57">
      <c r="A117" s="2" t="inlineStr">
        <is>
          <t>2026-09-02</t>
        </is>
      </c>
      <c r="B117" s="2" t="inlineStr">
        <is>
          <t>GARFIBRES</t>
        </is>
      </c>
      <c r="C117" s="2" t="inlineStr">
        <is>
          <t>Garware Technical Fibres Limited</t>
        </is>
      </c>
      <c r="D117" s="2" t="inlineStr">
        <is>
          <t>98/100</t>
        </is>
      </c>
      <c r="E117" s="7" t="n">
        <v>842.7000122070312</v>
      </c>
      <c r="F117" s="7" t="n">
        <v>781.5461229472841</v>
      </c>
      <c r="G117" s="7" t="n">
        <v>995.5847353563992</v>
      </c>
      <c r="H117" s="2" t="inlineStr">
        <is>
          <t>1:2.5</t>
        </is>
      </c>
      <c r="I117" s="2" t="n">
        <v>0</v>
      </c>
      <c r="J117" s="7" t="n">
        <v>0</v>
      </c>
      <c r="K117" s="2" t="inlineStr">
        <is>
          <t>PENDING</t>
        </is>
      </c>
      <c r="L117" s="2" t="inlineStr">
        <is>
          <t>Swing Scanner (STATE 3: Capitulation Bottom)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57">
      <c r="A118" s="2" t="inlineStr">
        <is>
          <t>2026-09-02</t>
        </is>
      </c>
      <c r="B118" s="2" t="inlineStr">
        <is>
          <t>ANTHEM</t>
        </is>
      </c>
      <c r="C118" s="2" t="inlineStr">
        <is>
          <t>ANTHEM</t>
        </is>
      </c>
      <c r="D118" s="2" t="inlineStr">
        <is>
          <t>98/100</t>
        </is>
      </c>
      <c r="E118" s="7" t="n">
        <v>924.5</v>
      </c>
      <c r="F118" s="7" t="n">
        <v>871.1000017438616</v>
      </c>
      <c r="G118" s="7" t="n">
        <v>1057.999995640346</v>
      </c>
      <c r="H118" s="2" t="inlineStr">
        <is>
          <t>1:2.5</t>
        </is>
      </c>
      <c r="I118" s="2" t="n">
        <v>0</v>
      </c>
      <c r="J118" s="7" t="n">
        <v>0</v>
      </c>
      <c r="K118" s="2" t="inlineStr">
        <is>
          <t>PENDING</t>
        </is>
      </c>
      <c r="L118" s="2" t="inlineStr">
        <is>
          <t>Swing Scanner (STATE 3: Capitulation Bottom)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57">
      <c r="A119" s="2" t="inlineStr">
        <is>
          <t>2026-09-02</t>
        </is>
      </c>
      <c r="B119" s="2" t="inlineStr">
        <is>
          <t>BHAGERIA</t>
        </is>
      </c>
      <c r="C119" s="2" t="inlineStr">
        <is>
          <t>Bhageria Industries Limited</t>
        </is>
      </c>
      <c r="D119" s="2" t="inlineStr">
        <is>
          <t>97/100</t>
        </is>
      </c>
      <c r="E119" s="7" t="n">
        <v>263.2000122070312</v>
      </c>
      <c r="F119" s="7" t="n">
        <v>243.0571550641741</v>
      </c>
      <c r="G119" s="7" t="n">
        <v>313.5571550641741</v>
      </c>
      <c r="H119" s="2" t="inlineStr">
        <is>
          <t>1:2.5</t>
        </is>
      </c>
      <c r="I119" s="2" t="n">
        <v>0</v>
      </c>
      <c r="J119" s="7" t="n">
        <v>0</v>
      </c>
      <c r="K119" s="2" t="inlineStr">
        <is>
          <t>PENDING</t>
        </is>
      </c>
      <c r="L119" s="2" t="inlineStr">
        <is>
          <t>Swing Scanner (STATE 3: Capitulation Bottom)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57">
      <c r="A120" s="2" t="inlineStr">
        <is>
          <t>2026-09-02</t>
        </is>
      </c>
      <c r="B120" s="2" t="inlineStr">
        <is>
          <t>ULTRACEMCO</t>
        </is>
      </c>
      <c r="C120" s="2" t="inlineStr">
        <is>
          <t>UltraTech Cement Limited</t>
        </is>
      </c>
      <c r="D120" s="2" t="inlineStr">
        <is>
          <t>100/100</t>
        </is>
      </c>
      <c r="E120" s="7" t="n">
        <v>11393</v>
      </c>
      <c r="F120" s="7" t="n">
        <v>11202.8</v>
      </c>
      <c r="G120" s="7" t="n">
        <v>11868.5</v>
      </c>
      <c r="H120" s="2" t="inlineStr">
        <is>
          <t>1:2.5</t>
        </is>
      </c>
      <c r="I120" s="2" t="n">
        <v>0</v>
      </c>
      <c r="J120" s="7" t="n">
        <v>0</v>
      </c>
      <c r="K120" s="2" t="inlineStr">
        <is>
          <t>PENDING</t>
        </is>
      </c>
      <c r="L120" s="2" t="inlineStr">
        <is>
          <t>Intraday Scanner (STATE 3: Capitulation Bottom)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57">
      <c r="A121" s="2" t="inlineStr">
        <is>
          <t>2026-09-02</t>
        </is>
      </c>
      <c r="B121" s="2" t="inlineStr">
        <is>
          <t>GRASIM</t>
        </is>
      </c>
      <c r="C121" s="2" t="inlineStr">
        <is>
          <t>Grasim Industries Limited</t>
        </is>
      </c>
      <c r="D121" s="2" t="inlineStr">
        <is>
          <t>100/100</t>
        </is>
      </c>
      <c r="E121" s="7" t="n">
        <v>3294.9</v>
      </c>
      <c r="F121" s="7" t="n">
        <v>3252.3</v>
      </c>
      <c r="G121" s="7" t="n">
        <v>3401.4</v>
      </c>
      <c r="H121" s="2" t="inlineStr">
        <is>
          <t>1:2.5</t>
        </is>
      </c>
      <c r="I121" s="2" t="n">
        <v>0</v>
      </c>
      <c r="J121" s="7" t="n">
        <v>0</v>
      </c>
      <c r="K121" s="2" t="inlineStr">
        <is>
          <t>PENDING</t>
        </is>
      </c>
      <c r="L121" s="2" t="inlineStr">
        <is>
          <t>Intraday Scanner (STATE 3: Capitulation Bottom)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57">
      <c r="A122" s="2" t="inlineStr">
        <is>
          <t>2026-09-02</t>
        </is>
      </c>
      <c r="B122" s="2" t="inlineStr">
        <is>
          <t>BRITANNIA</t>
        </is>
      </c>
      <c r="C122" s="2" t="inlineStr">
        <is>
          <t>Britannia Industries Limited</t>
        </is>
      </c>
      <c r="D122" s="2" t="inlineStr">
        <is>
          <t>100/100</t>
        </is>
      </c>
      <c r="E122" s="7" t="n">
        <v>5154</v>
      </c>
      <c r="F122" s="7" t="n">
        <v>5059.8</v>
      </c>
      <c r="G122" s="7" t="n">
        <v>5389.5</v>
      </c>
      <c r="H122" s="2" t="inlineStr">
        <is>
          <t>1:2.5</t>
        </is>
      </c>
      <c r="I122" s="2" t="n">
        <v>0</v>
      </c>
      <c r="J122" s="7" t="n">
        <v>0</v>
      </c>
      <c r="K122" s="2" t="inlineStr">
        <is>
          <t>PENDING</t>
        </is>
      </c>
      <c r="L122" s="2" t="inlineStr">
        <is>
          <t>Intraday Scanner (STATE 3: Capitulation Bottom)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57">
      <c r="A123" s="2" t="inlineStr">
        <is>
          <t>2026-09-02</t>
        </is>
      </c>
      <c r="B123" s="2" t="inlineStr">
        <is>
          <t>TITAN</t>
        </is>
      </c>
      <c r="C123" s="2" t="inlineStr">
        <is>
          <t>Titan Company Limited</t>
        </is>
      </c>
      <c r="D123" s="2" t="inlineStr">
        <is>
          <t>100/100</t>
        </is>
      </c>
      <c r="E123" s="7" t="n">
        <v>5074</v>
      </c>
      <c r="F123" s="7" t="n">
        <v>5011.7</v>
      </c>
      <c r="G123" s="7" t="n">
        <v>5229.8</v>
      </c>
      <c r="H123" s="2" t="inlineStr">
        <is>
          <t>1:2.5</t>
        </is>
      </c>
      <c r="I123" s="2" t="n">
        <v>0</v>
      </c>
      <c r="J123" s="7" t="n">
        <v>0</v>
      </c>
      <c r="K123" s="2" t="inlineStr">
        <is>
          <t>PENDING</t>
        </is>
      </c>
      <c r="L123" s="2" t="inlineStr">
        <is>
          <t>Intraday Scanner (STATE 3: Capitulation Bottom)</t>
        </is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57">
      <c r="A124" s="2" t="inlineStr">
        <is>
          <t>2026-09-02</t>
        </is>
      </c>
      <c r="B124" s="2" t="inlineStr">
        <is>
          <t>TATAELXSI</t>
        </is>
      </c>
      <c r="C124" s="2" t="inlineStr">
        <is>
          <t>Tata Elxsi Limited</t>
        </is>
      </c>
      <c r="D124" s="2" t="inlineStr">
        <is>
          <t>100/100</t>
        </is>
      </c>
      <c r="E124" s="7" t="n">
        <v>3609</v>
      </c>
      <c r="F124" s="7" t="n">
        <v>3557.2</v>
      </c>
      <c r="G124" s="7" t="n">
        <v>3738.5</v>
      </c>
      <c r="H124" s="2" t="inlineStr">
        <is>
          <t>1:2.5</t>
        </is>
      </c>
      <c r="I124" s="2" t="n">
        <v>0</v>
      </c>
      <c r="J124" s="7" t="n">
        <v>0</v>
      </c>
      <c r="K124" s="2" t="inlineStr">
        <is>
          <t>PENDING</t>
        </is>
      </c>
      <c r="L124" s="2" t="inlineStr">
        <is>
          <t>Intraday Scanner (STATE 3: Capitulation Bottom)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57">
      <c r="A125" s="2" t="inlineStr">
        <is>
          <t>2026-09-03</t>
        </is>
      </c>
      <c r="B125" s="2" t="inlineStr">
        <is>
          <t>OIL</t>
        </is>
      </c>
      <c r="C125" s="2" t="inlineStr">
        <is>
          <t>Oil India Limited</t>
        </is>
      </c>
      <c r="D125" s="2" t="inlineStr">
        <is>
          <t>100/100</t>
        </is>
      </c>
      <c r="E125" s="7" t="n">
        <v>498.1499938964844</v>
      </c>
      <c r="F125" s="7" t="n">
        <v>473.0499877929688</v>
      </c>
      <c r="G125" s="7" t="n">
        <v>560.9000091552734</v>
      </c>
      <c r="H125" s="2" t="inlineStr">
        <is>
          <t>1:2.5</t>
        </is>
      </c>
      <c r="I125" s="2" t="n">
        <v>0</v>
      </c>
      <c r="J125" s="7" t="n">
        <v>0</v>
      </c>
      <c r="K125" s="2" t="inlineStr">
        <is>
          <t>PENDING</t>
        </is>
      </c>
      <c r="L125" s="2" t="inlineStr">
        <is>
          <t>Swing Scanner (STATE 3: Capitulation Bottom)</t>
        </is>
      </c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57">
      <c r="A126" s="2" t="inlineStr">
        <is>
          <t>2026-09-03</t>
        </is>
      </c>
      <c r="B126" s="2" t="inlineStr">
        <is>
          <t>CAPLIPOINT</t>
        </is>
      </c>
      <c r="C126" s="2" t="inlineStr">
        <is>
          <t>Caplin Point Laboratories Limited</t>
        </is>
      </c>
      <c r="D126" s="2" t="inlineStr">
        <is>
          <t>100/100</t>
        </is>
      </c>
      <c r="E126" s="7" t="n">
        <v>2720.5</v>
      </c>
      <c r="F126" s="7" t="n">
        <v>2553.928571428572</v>
      </c>
      <c r="G126" s="7" t="n">
        <v>3136.928571428572</v>
      </c>
      <c r="H126" s="2" t="inlineStr">
        <is>
          <t>1:2.5</t>
        </is>
      </c>
      <c r="I126" s="2" t="n">
        <v>0</v>
      </c>
      <c r="J126" s="7" t="n">
        <v>0</v>
      </c>
      <c r="K126" s="2" t="inlineStr">
        <is>
          <t>PENDING</t>
        </is>
      </c>
      <c r="L126" s="2" t="inlineStr">
        <is>
          <t>Swing Scanner (STATE 3: Capitulation Bottom)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57">
      <c r="A127" s="2" t="inlineStr">
        <is>
          <t>2026-09-03</t>
        </is>
      </c>
      <c r="B127" s="2" t="inlineStr">
        <is>
          <t>CLEAN</t>
        </is>
      </c>
      <c r="C127" s="2" t="inlineStr">
        <is>
          <t>Clean Science and Technology Limited</t>
        </is>
      </c>
      <c r="D127" s="2" t="inlineStr">
        <is>
          <t>98/100</t>
        </is>
      </c>
      <c r="E127" s="7" t="n">
        <v>863.1500244140625</v>
      </c>
      <c r="F127" s="7" t="n">
        <v>817.1928623744419</v>
      </c>
      <c r="G127" s="7" t="n">
        <v>978.0429295131138</v>
      </c>
      <c r="H127" s="2" t="inlineStr">
        <is>
          <t>1:2.5</t>
        </is>
      </c>
      <c r="I127" s="2" t="n">
        <v>0</v>
      </c>
      <c r="J127" s="7" t="n">
        <v>0</v>
      </c>
      <c r="K127" s="2" t="inlineStr">
        <is>
          <t>PENDING</t>
        </is>
      </c>
      <c r="L127" s="2" t="inlineStr">
        <is>
          <t>Swing Scanner (STATE 3: Capitulation Bottom)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57">
      <c r="A128" s="2" t="inlineStr">
        <is>
          <t>2026-09-03</t>
        </is>
      </c>
      <c r="B128" s="2" t="inlineStr">
        <is>
          <t>ANTHEM</t>
        </is>
      </c>
      <c r="C128" s="2" t="inlineStr">
        <is>
          <t>ANTHEM</t>
        </is>
      </c>
      <c r="D128" s="2" t="inlineStr">
        <is>
          <t>98/100</t>
        </is>
      </c>
      <c r="E128" s="7" t="n">
        <v>934.5</v>
      </c>
      <c r="F128" s="7" t="n">
        <v>878.8071550641741</v>
      </c>
      <c r="G128" s="7" t="n">
        <v>1073.732112339565</v>
      </c>
      <c r="H128" s="2" t="inlineStr">
        <is>
          <t>1:2.5</t>
        </is>
      </c>
      <c r="I128" s="2" t="n">
        <v>0</v>
      </c>
      <c r="J128" s="7" t="n">
        <v>0</v>
      </c>
      <c r="K128" s="2" t="inlineStr">
        <is>
          <t>PENDING</t>
        </is>
      </c>
      <c r="L128" s="2" t="inlineStr">
        <is>
          <t>Swing Scanner (STATE 3: Capitulation Bottom)</t>
        </is>
      </c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57">
      <c r="A129" s="2" t="inlineStr">
        <is>
          <t>2026-09-03</t>
        </is>
      </c>
      <c r="B129" s="2" t="inlineStr">
        <is>
          <t>BEML</t>
        </is>
      </c>
      <c r="C129" s="2" t="inlineStr">
        <is>
          <t>BEML Limited</t>
        </is>
      </c>
      <c r="D129" s="2" t="inlineStr">
        <is>
          <t>98/100</t>
        </is>
      </c>
      <c r="E129" s="7" t="n">
        <v>2032.400024414062</v>
      </c>
      <c r="F129" s="7" t="n">
        <v>1916.242885044643</v>
      </c>
      <c r="G129" s="7" t="n">
        <v>2322.792872837611</v>
      </c>
      <c r="H129" s="2" t="inlineStr">
        <is>
          <t>1:2.5</t>
        </is>
      </c>
      <c r="I129" s="2" t="n">
        <v>0</v>
      </c>
      <c r="J129" s="7" t="n">
        <v>0</v>
      </c>
      <c r="K129" s="2" t="inlineStr">
        <is>
          <t>PENDING</t>
        </is>
      </c>
      <c r="L129" s="2" t="inlineStr">
        <is>
          <t>Swing Scanner (STATE 3: Capitulation Bottom)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57">
      <c r="A130" s="2" t="inlineStr">
        <is>
          <t>2026-09-03</t>
        </is>
      </c>
      <c r="B130" s="2" t="inlineStr">
        <is>
          <t>ASIANPAINT</t>
        </is>
      </c>
      <c r="C130" s="2" t="inlineStr">
        <is>
          <t>Asian Paints Limited</t>
        </is>
      </c>
      <c r="D130" s="2" t="inlineStr">
        <is>
          <t>100/100</t>
        </is>
      </c>
      <c r="E130" s="7" t="n">
        <v>2541.6</v>
      </c>
      <c r="F130" s="7" t="n">
        <v>2498.75</v>
      </c>
      <c r="G130" s="7" t="n">
        <v>2648.7</v>
      </c>
      <c r="H130" s="2" t="inlineStr">
        <is>
          <t>1:2.5</t>
        </is>
      </c>
      <c r="I130" s="2" t="n">
        <v>0</v>
      </c>
      <c r="J130" s="7" t="n">
        <v>0</v>
      </c>
      <c r="K130" s="2" t="inlineStr">
        <is>
          <t>PENDING</t>
        </is>
      </c>
      <c r="L130" s="2" t="inlineStr">
        <is>
          <t>Intraday Scanner (STATE 3: Capitulation Bottom)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57">
      <c r="A131" s="2" t="inlineStr">
        <is>
          <t>2026-09-03</t>
        </is>
      </c>
      <c r="B131" s="2" t="inlineStr">
        <is>
          <t>TATACHEM</t>
        </is>
      </c>
      <c r="C131" s="2" t="inlineStr">
        <is>
          <t>Tata Chemicals Limited</t>
        </is>
      </c>
      <c r="D131" s="2" t="inlineStr">
        <is>
          <t>100/100</t>
        </is>
      </c>
      <c r="E131" s="7" t="n">
        <v>641.35</v>
      </c>
      <c r="F131" s="7" t="n">
        <v>626.75</v>
      </c>
      <c r="G131" s="7" t="n">
        <v>677.9</v>
      </c>
      <c r="H131" s="2" t="inlineStr">
        <is>
          <t>1:2.5</t>
        </is>
      </c>
      <c r="I131" s="2" t="n">
        <v>0</v>
      </c>
      <c r="J131" s="7" t="n">
        <v>0</v>
      </c>
      <c r="K131" s="2" t="inlineStr">
        <is>
          <t>PENDING</t>
        </is>
      </c>
      <c r="L131" s="2" t="inlineStr">
        <is>
          <t>Intraday Scanner (STATE 3: Capitulation Bottom)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57">
      <c r="A132" s="2" t="inlineStr">
        <is>
          <t>2026-09-03</t>
        </is>
      </c>
      <c r="B132" s="2" t="inlineStr">
        <is>
          <t>MASTEK</t>
        </is>
      </c>
      <c r="C132" s="2" t="inlineStr">
        <is>
          <t>Mastek Limited</t>
        </is>
      </c>
      <c r="D132" s="2" t="inlineStr">
        <is>
          <t>100/100</t>
        </is>
      </c>
      <c r="E132" s="7" t="n">
        <v>1792.6</v>
      </c>
      <c r="F132" s="7" t="n">
        <v>1697.45</v>
      </c>
      <c r="G132" s="7" t="n">
        <v>2030.4</v>
      </c>
      <c r="H132" s="2" t="inlineStr">
        <is>
          <t>1:2.5</t>
        </is>
      </c>
      <c r="I132" s="2" t="n">
        <v>0</v>
      </c>
      <c r="J132" s="7" t="n">
        <v>0</v>
      </c>
      <c r="K132" s="2" t="inlineStr">
        <is>
          <t>PENDING</t>
        </is>
      </c>
      <c r="L132" s="2" t="inlineStr">
        <is>
          <t>Intraday Scanner (STATE 3: Capitulation Bottom)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57">
      <c r="A133" s="2" t="inlineStr">
        <is>
          <t>2026-09-03</t>
        </is>
      </c>
      <c r="B133" s="2" t="inlineStr">
        <is>
          <t>BRIGADE</t>
        </is>
      </c>
      <c r="C133" s="2" t="inlineStr">
        <is>
          <t>Brigade Enterprises Limited</t>
        </is>
      </c>
      <c r="D133" s="2" t="inlineStr">
        <is>
          <t>100/100</t>
        </is>
      </c>
      <c r="E133" s="7" t="n">
        <v>712.3</v>
      </c>
      <c r="F133" s="7" t="n">
        <v>680</v>
      </c>
      <c r="G133" s="7" t="n">
        <v>793.05</v>
      </c>
      <c r="H133" s="2" t="inlineStr">
        <is>
          <t>1:2.5</t>
        </is>
      </c>
      <c r="I133" s="2" t="n">
        <v>0</v>
      </c>
      <c r="J133" s="7" t="n">
        <v>0</v>
      </c>
      <c r="K133" s="2" t="inlineStr">
        <is>
          <t>PENDING</t>
        </is>
      </c>
      <c r="L133" s="2" t="inlineStr">
        <is>
          <t>Intraday Scanner (STATE 3: Capitulation Bottom)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57">
      <c r="A134" s="2" t="inlineStr">
        <is>
          <t>2026-09-03</t>
        </is>
      </c>
      <c r="B134" s="2" t="inlineStr">
        <is>
          <t>UNOMINDA</t>
        </is>
      </c>
      <c r="C134" s="2" t="inlineStr">
        <is>
          <t>Uno Minda Limited</t>
        </is>
      </c>
      <c r="D134" s="2" t="inlineStr">
        <is>
          <t>94/100</t>
        </is>
      </c>
      <c r="E134" s="7" t="n">
        <v>1269</v>
      </c>
      <c r="F134" s="7" t="n">
        <v>1245.6</v>
      </c>
      <c r="G134" s="7" t="n">
        <v>1327.5</v>
      </c>
      <c r="H134" s="2" t="inlineStr">
        <is>
          <t>1:2.5</t>
        </is>
      </c>
      <c r="I134" s="2" t="n">
        <v>0</v>
      </c>
      <c r="J134" s="7" t="n">
        <v>0</v>
      </c>
      <c r="K134" s="2" t="inlineStr">
        <is>
          <t>PENDING</t>
        </is>
      </c>
      <c r="L134" s="2" t="inlineStr">
        <is>
          <t>Intraday Scanner (STATE 3: Capitulation Bottom)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57">
      <c r="A135" s="2" t="inlineStr">
        <is>
          <t>2026-09-04</t>
        </is>
      </c>
      <c r="B135" s="2" t="inlineStr">
        <is>
          <t>ATLANTAELE</t>
        </is>
      </c>
      <c r="C135" s="2" t="inlineStr">
        <is>
          <t>ATLANTAELE</t>
        </is>
      </c>
      <c r="D135" s="2" t="inlineStr">
        <is>
          <t>98/100</t>
        </is>
      </c>
      <c r="E135" s="7" t="n">
        <v>1886.400024414062</v>
      </c>
      <c r="F135" s="7" t="n">
        <v>1701.257149832589</v>
      </c>
      <c r="G135" s="7" t="n">
        <v>2349.257210867745</v>
      </c>
      <c r="H135" s="2" t="inlineStr">
        <is>
          <t>1:2.5</t>
        </is>
      </c>
      <c r="I135" s="2" t="n">
        <v>0</v>
      </c>
      <c r="J135" s="7" t="n">
        <v>0</v>
      </c>
      <c r="K135" s="2" t="inlineStr">
        <is>
          <t>PENDING</t>
        </is>
      </c>
      <c r="L135" s="2" t="inlineStr">
        <is>
          <t>Swing Scanner (STATE 3: Capitulation Bottom)</t>
        </is>
      </c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57">
      <c r="A136" s="2" t="inlineStr">
        <is>
          <t>2026-09-04</t>
        </is>
      </c>
      <c r="B136" s="2" t="inlineStr">
        <is>
          <t>CENTENKA</t>
        </is>
      </c>
      <c r="C136" s="2" t="inlineStr">
        <is>
          <t>Century Enka Limited</t>
        </is>
      </c>
      <c r="D136" s="2" t="inlineStr">
        <is>
          <t>98/100</t>
        </is>
      </c>
      <c r="E136" s="7" t="n">
        <v>616.6500244140625</v>
      </c>
      <c r="F136" s="7" t="n">
        <v>577.2143031529018</v>
      </c>
      <c r="G136" s="7" t="n">
        <v>715.2393275669643</v>
      </c>
      <c r="H136" s="2" t="inlineStr">
        <is>
          <t>1:2.5</t>
        </is>
      </c>
      <c r="I136" s="2" t="n">
        <v>0</v>
      </c>
      <c r="J136" s="7" t="n">
        <v>0</v>
      </c>
      <c r="K136" s="2" t="inlineStr">
        <is>
          <t>PENDING</t>
        </is>
      </c>
      <c r="L136" s="2" t="inlineStr">
        <is>
          <t>Swing Scanner (STATE 3: Capitulation Bottom)</t>
        </is>
      </c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57">
      <c r="A137" s="2" t="inlineStr">
        <is>
          <t>2026-09-04</t>
        </is>
      </c>
      <c r="B137" s="2" t="inlineStr">
        <is>
          <t>SOLARINDS</t>
        </is>
      </c>
      <c r="C137" s="2" t="inlineStr">
        <is>
          <t>Solar Industries India Limited</t>
        </is>
      </c>
      <c r="D137" s="2" t="inlineStr">
        <is>
          <t>98/100</t>
        </is>
      </c>
      <c r="E137" s="7" t="n">
        <v>21500</v>
      </c>
      <c r="F137" s="7" t="n">
        <v>20424.28571428571</v>
      </c>
      <c r="G137" s="7" t="n">
        <v>24189.28571428571</v>
      </c>
      <c r="H137" s="2" t="inlineStr">
        <is>
          <t>1:2.5</t>
        </is>
      </c>
      <c r="I137" s="2" t="n">
        <v>0</v>
      </c>
      <c r="J137" s="7" t="n">
        <v>0</v>
      </c>
      <c r="K137" s="2" t="inlineStr">
        <is>
          <t>PENDING</t>
        </is>
      </c>
      <c r="L137" s="2" t="inlineStr">
        <is>
          <t>Swing Scanner (STATE 3: Capitulation Bottom)</t>
        </is>
      </c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57">
      <c r="A138" s="2" t="inlineStr">
        <is>
          <t>2026-09-04</t>
        </is>
      </c>
      <c r="B138" s="2" t="inlineStr">
        <is>
          <t>BESTAGRO</t>
        </is>
      </c>
      <c r="C138" s="2" t="inlineStr">
        <is>
          <t>Best Agrolife Limited</t>
        </is>
      </c>
      <c r="D138" s="2" t="inlineStr">
        <is>
          <t>98/100</t>
        </is>
      </c>
      <c r="E138" s="7" t="n">
        <v>20.34000015258789</v>
      </c>
      <c r="F138" s="7" t="n">
        <v>18.74428558349609</v>
      </c>
      <c r="G138" s="7" t="n">
        <v>24.32928657531738</v>
      </c>
      <c r="H138" s="2" t="inlineStr">
        <is>
          <t>1:2.5</t>
        </is>
      </c>
      <c r="I138" s="2" t="n">
        <v>2</v>
      </c>
      <c r="J138" s="7" t="n">
        <v>40.68000030517578</v>
      </c>
      <c r="K138" s="2" t="inlineStr">
        <is>
          <t>PENDING</t>
        </is>
      </c>
      <c r="L138" s="2" t="inlineStr">
        <is>
          <t>Swing Scanner (STATE 3: Capitulation Bottom)</t>
        </is>
      </c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57">
      <c r="A139" s="2" t="inlineStr">
        <is>
          <t>2026-09-04</t>
        </is>
      </c>
      <c r="B139" s="2" t="inlineStr">
        <is>
          <t>AHCL</t>
        </is>
      </c>
      <c r="C139" s="2" t="inlineStr">
        <is>
          <t>AHCL</t>
        </is>
      </c>
      <c r="D139" s="2" t="inlineStr">
        <is>
          <t>98/100</t>
        </is>
      </c>
      <c r="E139" s="7" t="n">
        <v>15.60000038146973</v>
      </c>
      <c r="F139" s="7" t="n">
        <v>14.36285740988595</v>
      </c>
      <c r="G139" s="7" t="n">
        <v>18.69285781042916</v>
      </c>
      <c r="H139" s="2" t="inlineStr">
        <is>
          <t>1:2.5</t>
        </is>
      </c>
      <c r="I139" s="2" t="n">
        <v>3</v>
      </c>
      <c r="J139" s="7" t="n">
        <v>46.80000114440918</v>
      </c>
      <c r="K139" s="2" t="inlineStr">
        <is>
          <t>PENDING</t>
        </is>
      </c>
      <c r="L139" s="2" t="inlineStr">
        <is>
          <t>Swing Scanner (STATE 3: Capitulation Bottom)</t>
        </is>
      </c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57">
      <c r="A140" s="2" t="inlineStr">
        <is>
          <t>2026-09-04</t>
        </is>
      </c>
      <c r="B140" s="2" t="inlineStr">
        <is>
          <t>SCHNEIDER</t>
        </is>
      </c>
      <c r="C140" s="2" t="inlineStr">
        <is>
          <t>Schneider Electric Infrastructure Limited</t>
        </is>
      </c>
      <c r="D140" s="2" t="inlineStr">
        <is>
          <t>100/100</t>
        </is>
      </c>
      <c r="E140" s="7" t="n">
        <v>1232.4</v>
      </c>
      <c r="F140" s="7" t="n">
        <v>1203.7</v>
      </c>
      <c r="G140" s="7" t="n">
        <v>1304.1</v>
      </c>
      <c r="H140" s="2" t="inlineStr">
        <is>
          <t>1:2.5</t>
        </is>
      </c>
      <c r="I140" s="2" t="n">
        <v>0</v>
      </c>
      <c r="J140" s="7" t="n">
        <v>0</v>
      </c>
      <c r="K140" s="2" t="inlineStr">
        <is>
          <t>PENDING</t>
        </is>
      </c>
      <c r="L140" s="2" t="inlineStr">
        <is>
          <t>Intraday Scanner (STATE 3: Capitulation Bottom)</t>
        </is>
      </c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57">
      <c r="A141" s="2" t="inlineStr">
        <is>
          <t>2026-09-04</t>
        </is>
      </c>
      <c r="B141" s="2" t="inlineStr">
        <is>
          <t>HEG</t>
        </is>
      </c>
      <c r="C141" s="2" t="inlineStr">
        <is>
          <t>HEG Limited</t>
        </is>
      </c>
      <c r="D141" s="2" t="inlineStr">
        <is>
          <t>100/100</t>
        </is>
      </c>
      <c r="E141" s="7" t="n">
        <v>725.4</v>
      </c>
      <c r="F141" s="7" t="n">
        <v>708.05</v>
      </c>
      <c r="G141" s="7" t="n">
        <v>768.8</v>
      </c>
      <c r="H141" s="2" t="inlineStr">
        <is>
          <t>1:2.5</t>
        </is>
      </c>
      <c r="I141" s="2" t="n">
        <v>0</v>
      </c>
      <c r="J141" s="7" t="n">
        <v>0</v>
      </c>
      <c r="K141" s="2" t="inlineStr">
        <is>
          <t>PENDING</t>
        </is>
      </c>
      <c r="L141" s="2" t="inlineStr">
        <is>
          <t>Intraday Scanner (STATE 3: Capitulation Bottom)</t>
        </is>
      </c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57">
      <c r="A142" s="2" t="inlineStr">
        <is>
          <t>2026-09-04</t>
        </is>
      </c>
      <c r="B142" s="2" t="inlineStr">
        <is>
          <t>SJVN</t>
        </is>
      </c>
      <c r="C142" s="2" t="inlineStr">
        <is>
          <t>SJVN Limited</t>
        </is>
      </c>
      <c r="D142" s="2" t="inlineStr">
        <is>
          <t>100/100</t>
        </is>
      </c>
      <c r="E142" s="7" t="n">
        <v>65.5</v>
      </c>
      <c r="F142" s="7" t="n">
        <v>64.8</v>
      </c>
      <c r="G142" s="7" t="n">
        <v>67.2</v>
      </c>
      <c r="H142" s="2" t="inlineStr">
        <is>
          <t>1:2.4</t>
        </is>
      </c>
      <c r="I142" s="2" t="n">
        <v>0</v>
      </c>
      <c r="J142" s="7" t="n">
        <v>0</v>
      </c>
      <c r="K142" s="2" t="inlineStr">
        <is>
          <t>PENDING</t>
        </is>
      </c>
      <c r="L142" s="2" t="inlineStr">
        <is>
          <t>Intraday Scanner (STATE 3: Capitulation Bottom)</t>
        </is>
      </c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57">
      <c r="A143" s="2" t="inlineStr">
        <is>
          <t>2026-09-04</t>
        </is>
      </c>
      <c r="B143" s="2" t="inlineStr">
        <is>
          <t>KEC</t>
        </is>
      </c>
      <c r="C143" s="2" t="inlineStr">
        <is>
          <t>KEC International Limited</t>
        </is>
      </c>
      <c r="D143" s="2" t="inlineStr">
        <is>
          <t>98/100</t>
        </is>
      </c>
      <c r="E143" s="7" t="n">
        <v>410.1</v>
      </c>
      <c r="F143" s="7" t="n">
        <v>402.65</v>
      </c>
      <c r="G143" s="7" t="n">
        <v>428.7</v>
      </c>
      <c r="H143" s="2" t="inlineStr">
        <is>
          <t>1:2.5</t>
        </is>
      </c>
      <c r="I143" s="2" t="n">
        <v>0</v>
      </c>
      <c r="J143" s="7" t="n">
        <v>0</v>
      </c>
      <c r="K143" s="2" t="inlineStr">
        <is>
          <t>PENDING</t>
        </is>
      </c>
      <c r="L143" s="2" t="inlineStr">
        <is>
          <t>Intraday Scanner (STATE 3: Capitulation Bottom)</t>
        </is>
      </c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57">
      <c r="A144" s="2" t="inlineStr">
        <is>
          <t>2026-09-04</t>
        </is>
      </c>
      <c r="B144" s="2" t="inlineStr">
        <is>
          <t>RATNAMANI</t>
        </is>
      </c>
      <c r="C144" s="2" t="inlineStr">
        <is>
          <t>Ratnamani Metals &amp; Tubes Limited</t>
        </is>
      </c>
      <c r="D144" s="2" t="inlineStr">
        <is>
          <t>92/100</t>
        </is>
      </c>
      <c r="E144" s="7" t="n">
        <v>2727</v>
      </c>
      <c r="F144" s="7" t="n">
        <v>2664.1</v>
      </c>
      <c r="G144" s="7" t="n">
        <v>2884.2</v>
      </c>
      <c r="H144" s="2" t="inlineStr">
        <is>
          <t>1:2.5</t>
        </is>
      </c>
      <c r="I144" s="2" t="n">
        <v>0</v>
      </c>
      <c r="J144" s="7" t="n">
        <v>0</v>
      </c>
      <c r="K144" s="2" t="inlineStr">
        <is>
          <t>PENDING</t>
        </is>
      </c>
      <c r="L144" s="2" t="inlineStr">
        <is>
          <t>Intraday Scanner (STATE 3: Capitulation Bottom)</t>
        </is>
      </c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57">
      <c r="A145" s="2" t="inlineStr">
        <is>
          <t>2026-09-07</t>
        </is>
      </c>
      <c r="B145" s="2" t="inlineStr">
        <is>
          <t>GSFC</t>
        </is>
      </c>
      <c r="C145" s="2" t="inlineStr">
        <is>
          <t>Gujarat State Fertilizers &amp; Chemicals Limited</t>
        </is>
      </c>
      <c r="D145" s="2" t="inlineStr">
        <is>
          <t>100/100</t>
        </is>
      </c>
      <c r="E145" s="7" t="n">
        <v>162.8800048828125</v>
      </c>
      <c r="F145" s="7" t="n">
        <v>156.7000078473772</v>
      </c>
      <c r="G145" s="7" t="n">
        <v>178.3299974714007</v>
      </c>
      <c r="H145" s="2" t="inlineStr">
        <is>
          <t>1:2.5</t>
        </is>
      </c>
      <c r="I145" s="2" t="n">
        <v>0</v>
      </c>
      <c r="J145" s="7" t="n">
        <v>0</v>
      </c>
      <c r="K145" s="2" t="inlineStr">
        <is>
          <t>PENDING</t>
        </is>
      </c>
      <c r="L145" s="2" t="inlineStr">
        <is>
          <t>Swing Scanner (STATE 3: Capitulation Bottom)</t>
        </is>
      </c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57">
      <c r="A146" s="2" t="inlineStr">
        <is>
          <t>2026-09-07</t>
        </is>
      </c>
      <c r="B146" s="2" t="inlineStr">
        <is>
          <t>GMMPFAUDLR</t>
        </is>
      </c>
      <c r="C146" s="2" t="inlineStr">
        <is>
          <t>GMM Pfaudler Limited</t>
        </is>
      </c>
      <c r="D146" s="2" t="inlineStr">
        <is>
          <t>98/100</t>
        </is>
      </c>
      <c r="E146" s="7" t="n">
        <v>1147.900024414062</v>
      </c>
      <c r="F146" s="7" t="n">
        <v>1062.785766601562</v>
      </c>
      <c r="G146" s="7" t="n">
        <v>1360.685668945312</v>
      </c>
      <c r="H146" s="2" t="inlineStr">
        <is>
          <t>1:2.5</t>
        </is>
      </c>
      <c r="I146" s="2" t="n">
        <v>0</v>
      </c>
      <c r="J146" s="7" t="n">
        <v>0</v>
      </c>
      <c r="K146" s="2" t="inlineStr">
        <is>
          <t>PENDING</t>
        </is>
      </c>
      <c r="L146" s="2" t="inlineStr">
        <is>
          <t>Swing Scanner (STATE 3: Capitulation Bottom)</t>
        </is>
      </c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57">
      <c r="A147" s="2" t="inlineStr">
        <is>
          <t>2026-09-07</t>
        </is>
      </c>
      <c r="B147" s="2" t="inlineStr">
        <is>
          <t>GREENPLY</t>
        </is>
      </c>
      <c r="C147" s="2" t="inlineStr">
        <is>
          <t>Greenply Industries Limited</t>
        </is>
      </c>
      <c r="D147" s="2" t="inlineStr">
        <is>
          <t>98/100</t>
        </is>
      </c>
      <c r="E147" s="7" t="n">
        <v>304.7000122070312</v>
      </c>
      <c r="F147" s="7" t="n">
        <v>285.942875453404</v>
      </c>
      <c r="G147" s="7" t="n">
        <v>351.5928540910994</v>
      </c>
      <c r="H147" s="2" t="inlineStr">
        <is>
          <t>1:2.5</t>
        </is>
      </c>
      <c r="I147" s="2" t="n">
        <v>0</v>
      </c>
      <c r="J147" s="7" t="n">
        <v>0</v>
      </c>
      <c r="K147" s="2" t="inlineStr">
        <is>
          <t>PENDING</t>
        </is>
      </c>
      <c r="L147" s="2" t="inlineStr">
        <is>
          <t>Swing Scanner (STATE 3: Capitulation Bottom)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57">
      <c r="A148" s="2" t="inlineStr">
        <is>
          <t>2026-09-07</t>
        </is>
      </c>
      <c r="B148" s="2" t="inlineStr">
        <is>
          <t>JINDALSTEL</t>
        </is>
      </c>
      <c r="C148" s="2" t="inlineStr">
        <is>
          <t>Jindal Steel &amp; Power Limited</t>
        </is>
      </c>
      <c r="D148" s="2" t="inlineStr">
        <is>
          <t>98/100</t>
        </is>
      </c>
      <c r="E148" s="7" t="n">
        <v>1165</v>
      </c>
      <c r="F148" s="7" t="n">
        <v>1106.920357335481</v>
      </c>
      <c r="G148" s="7" t="n">
        <v>1310.199106661297</v>
      </c>
      <c r="H148" s="2" t="inlineStr">
        <is>
          <t>1:2.5</t>
        </is>
      </c>
      <c r="I148" s="2" t="n">
        <v>0</v>
      </c>
      <c r="J148" s="7" t="n">
        <v>0</v>
      </c>
      <c r="K148" s="2" t="inlineStr">
        <is>
          <t>PENDING</t>
        </is>
      </c>
      <c r="L148" s="2" t="inlineStr">
        <is>
          <t>Swing Scanner (STATE 3: Capitulation Bottom)</t>
        </is>
      </c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57">
      <c r="A149" s="2" t="inlineStr">
        <is>
          <t>2026-09-07</t>
        </is>
      </c>
      <c r="B149" s="2" t="inlineStr">
        <is>
          <t>BLKASHYAP</t>
        </is>
      </c>
      <c r="C149" s="2" t="inlineStr">
        <is>
          <t>B.L. Kashyap and Sons Limited</t>
        </is>
      </c>
      <c r="D149" s="2" t="inlineStr">
        <is>
          <t>98/100</t>
        </is>
      </c>
      <c r="E149" s="7" t="n">
        <v>59.34000015258789</v>
      </c>
      <c r="F149" s="7" t="n">
        <v>53.3985721043178</v>
      </c>
      <c r="G149" s="7" t="n">
        <v>74.19357027326312</v>
      </c>
      <c r="H149" s="2" t="inlineStr">
        <is>
          <t>1:2.5</t>
        </is>
      </c>
      <c r="I149" s="2" t="n">
        <v>1</v>
      </c>
      <c r="J149" s="7" t="n">
        <v>59.34000015258789</v>
      </c>
      <c r="K149" s="2" t="inlineStr">
        <is>
          <t>PENDING</t>
        </is>
      </c>
      <c r="L149" s="2" t="inlineStr">
        <is>
          <t>Swing Scanner (STATE 3: Capitulation Bottom)</t>
        </is>
      </c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57">
      <c r="A150" s="2" t="inlineStr">
        <is>
          <t>2026-09-07</t>
        </is>
      </c>
      <c r="B150" s="2" t="inlineStr">
        <is>
          <t>HCLTECH</t>
        </is>
      </c>
      <c r="C150" s="2" t="inlineStr">
        <is>
          <t>HCL Technologies Limited</t>
        </is>
      </c>
      <c r="D150" s="2" t="inlineStr">
        <is>
          <t>100/100</t>
        </is>
      </c>
      <c r="E150" s="7" t="n">
        <v>1282.8</v>
      </c>
      <c r="F150" s="7" t="n">
        <v>1251.4</v>
      </c>
      <c r="G150" s="7" t="n">
        <v>1361.35</v>
      </c>
      <c r="H150" s="2" t="inlineStr">
        <is>
          <t>1:2.5</t>
        </is>
      </c>
      <c r="I150" s="2" t="n">
        <v>0</v>
      </c>
      <c r="J150" s="7" t="n">
        <v>0</v>
      </c>
      <c r="K150" s="2" t="inlineStr">
        <is>
          <t>PENDING</t>
        </is>
      </c>
      <c r="L150" s="2" t="inlineStr">
        <is>
          <t>Intraday Scanner (STATE 3: Capitulation Bottom)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57">
      <c r="A151" s="2" t="inlineStr">
        <is>
          <t>2026-09-07</t>
        </is>
      </c>
      <c r="B151" s="2" t="inlineStr">
        <is>
          <t>CIPLA</t>
        </is>
      </c>
      <c r="C151" s="2" t="inlineStr">
        <is>
          <t>Cipla Limited</t>
        </is>
      </c>
      <c r="D151" s="2" t="inlineStr">
        <is>
          <t>100/100</t>
        </is>
      </c>
      <c r="E151" s="7" t="n">
        <v>1395</v>
      </c>
      <c r="F151" s="7" t="n">
        <v>1380.4</v>
      </c>
      <c r="G151" s="7" t="n">
        <v>1431.45</v>
      </c>
      <c r="H151" s="2" t="inlineStr">
        <is>
          <t>1:2.5</t>
        </is>
      </c>
      <c r="I151" s="2" t="n">
        <v>0</v>
      </c>
      <c r="J151" s="7" t="n">
        <v>0</v>
      </c>
      <c r="K151" s="2" t="inlineStr">
        <is>
          <t>PENDING</t>
        </is>
      </c>
      <c r="L151" s="2" t="inlineStr">
        <is>
          <t>Intraday Scanner (STATE 3: Capitulation Bottom)</t>
        </is>
      </c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57">
      <c r="A152" s="2" t="inlineStr">
        <is>
          <t>2026-09-07</t>
        </is>
      </c>
      <c r="B152" s="2" t="inlineStr">
        <is>
          <t>ALKEM</t>
        </is>
      </c>
      <c r="C152" s="2" t="inlineStr">
        <is>
          <t>Alkem Laboratories Limited</t>
        </is>
      </c>
      <c r="D152" s="2" t="inlineStr">
        <is>
          <t>100/100</t>
        </is>
      </c>
      <c r="E152" s="7" t="n">
        <v>5242.5</v>
      </c>
      <c r="F152" s="7" t="n">
        <v>5167.05</v>
      </c>
      <c r="G152" s="7" t="n">
        <v>5431.1</v>
      </c>
      <c r="H152" s="2" t="inlineStr">
        <is>
          <t>1:2.5</t>
        </is>
      </c>
      <c r="I152" s="2" t="n">
        <v>0</v>
      </c>
      <c r="J152" s="7" t="n">
        <v>0</v>
      </c>
      <c r="K152" s="2" t="inlineStr">
        <is>
          <t>PENDING</t>
        </is>
      </c>
      <c r="L152" s="2" t="inlineStr">
        <is>
          <t>Intraday Scanner (STATE 3: Capitulation Bottom)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57">
      <c r="A153" s="2" t="inlineStr">
        <is>
          <t>2026-09-07</t>
        </is>
      </c>
      <c r="B153" s="2" t="inlineStr">
        <is>
          <t>LAURUSLABS</t>
        </is>
      </c>
      <c r="C153" s="2" t="inlineStr">
        <is>
          <t>Laurus Labs Limited</t>
        </is>
      </c>
      <c r="D153" s="2" t="inlineStr">
        <is>
          <t>100/100</t>
        </is>
      </c>
      <c r="E153" s="7" t="n">
        <v>1876.7</v>
      </c>
      <c r="F153" s="7" t="n">
        <v>1852.6</v>
      </c>
      <c r="G153" s="7" t="n">
        <v>1936.95</v>
      </c>
      <c r="H153" s="2" t="inlineStr">
        <is>
          <t>1:2.5</t>
        </is>
      </c>
      <c r="I153" s="2" t="n">
        <v>0</v>
      </c>
      <c r="J153" s="7" t="n">
        <v>0</v>
      </c>
      <c r="K153" s="2" t="inlineStr">
        <is>
          <t>PENDING</t>
        </is>
      </c>
      <c r="L153" s="2" t="inlineStr">
        <is>
          <t>Intraday Scanner (STATE 3: Capitulation Bottom)</t>
        </is>
      </c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57">
      <c r="A154" s="2" t="inlineStr">
        <is>
          <t>2026-09-07</t>
        </is>
      </c>
      <c r="B154" s="2" t="inlineStr">
        <is>
          <t>EXIDEIND</t>
        </is>
      </c>
      <c r="C154" s="2" t="inlineStr">
        <is>
          <t>Exide Industries Limited</t>
        </is>
      </c>
      <c r="D154" s="2" t="inlineStr">
        <is>
          <t>100/100</t>
        </is>
      </c>
      <c r="E154" s="7" t="n">
        <v>425.75</v>
      </c>
      <c r="F154" s="7" t="n">
        <v>417.4</v>
      </c>
      <c r="G154" s="7" t="n">
        <v>446.65</v>
      </c>
      <c r="H154" s="2" t="inlineStr">
        <is>
          <t>1:2.5</t>
        </is>
      </c>
      <c r="I154" s="2" t="n">
        <v>0</v>
      </c>
      <c r="J154" s="7" t="n">
        <v>0</v>
      </c>
      <c r="K154" s="2" t="inlineStr">
        <is>
          <t>PENDING</t>
        </is>
      </c>
      <c r="L154" s="2" t="inlineStr">
        <is>
          <t>Intraday Scanner (STATE 3: Capitulation Bottom)</t>
        </is>
      </c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57">
      <c r="A155" s="2" t="inlineStr">
        <is>
          <t>2026-09-08</t>
        </is>
      </c>
      <c r="B155" s="2" t="inlineStr">
        <is>
          <t>WSTCSTPAPR</t>
        </is>
      </c>
      <c r="C155" s="2" t="inlineStr">
        <is>
          <t>West Coast Paper Mills Limited</t>
        </is>
      </c>
      <c r="D155" s="2" t="inlineStr">
        <is>
          <t>98/100</t>
        </is>
      </c>
      <c r="E155" s="7" t="n">
        <v>687.5</v>
      </c>
      <c r="F155" s="7" t="n">
        <v>633.5642700195312</v>
      </c>
      <c r="G155" s="7" t="n">
        <v>822.3393249511719</v>
      </c>
      <c r="H155" s="2" t="inlineStr">
        <is>
          <t>1:2.5</t>
        </is>
      </c>
      <c r="I155" s="2" t="n">
        <v>0</v>
      </c>
      <c r="J155" s="7" t="n">
        <v>0</v>
      </c>
      <c r="K155" s="2" t="inlineStr">
        <is>
          <t>PENDING</t>
        </is>
      </c>
      <c r="L155" s="2" t="inlineStr">
        <is>
          <t>Swing Scanner (STATE 3: Capitulation Bottom)</t>
        </is>
      </c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57">
      <c r="A156" s="2" t="inlineStr">
        <is>
          <t>2026-09-08</t>
        </is>
      </c>
      <c r="B156" s="2" t="inlineStr">
        <is>
          <t>BLKASHYAP</t>
        </is>
      </c>
      <c r="C156" s="2" t="inlineStr">
        <is>
          <t>B.L. Kashyap and Sons Limited</t>
        </is>
      </c>
      <c r="D156" s="2" t="inlineStr">
        <is>
          <t>98/100</t>
        </is>
      </c>
      <c r="E156" s="7" t="n">
        <v>59.34000015258789</v>
      </c>
      <c r="F156" s="7" t="n">
        <v>53.3985721043178</v>
      </c>
      <c r="G156" s="7" t="n">
        <v>74.19357027326312</v>
      </c>
      <c r="H156" s="2" t="inlineStr">
        <is>
          <t>1:2.5</t>
        </is>
      </c>
      <c r="I156" s="2" t="n">
        <v>1</v>
      </c>
      <c r="J156" s="7" t="n">
        <v>59.34000015258789</v>
      </c>
      <c r="K156" s="2" t="inlineStr">
        <is>
          <t>PENDING</t>
        </is>
      </c>
      <c r="L156" s="2" t="inlineStr">
        <is>
          <t>Swing Scanner (STATE 3: Capitulation Bottom)</t>
        </is>
      </c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57">
      <c r="A157" s="2" t="inlineStr">
        <is>
          <t>2026-09-08</t>
        </is>
      </c>
      <c r="B157" s="2" t="inlineStr">
        <is>
          <t>JINDALSTEL</t>
        </is>
      </c>
      <c r="C157" s="2" t="inlineStr">
        <is>
          <t>Jindal Steel &amp; Power Limited</t>
        </is>
      </c>
      <c r="D157" s="2" t="inlineStr">
        <is>
          <t>98/100</t>
        </is>
      </c>
      <c r="E157" s="7" t="n">
        <v>1165</v>
      </c>
      <c r="F157" s="7" t="n">
        <v>1106.920357335481</v>
      </c>
      <c r="G157" s="7" t="n">
        <v>1310.199106661297</v>
      </c>
      <c r="H157" s="2" t="inlineStr">
        <is>
          <t>1:2.5</t>
        </is>
      </c>
      <c r="I157" s="2" t="n">
        <v>0</v>
      </c>
      <c r="J157" s="7" t="n">
        <v>0</v>
      </c>
      <c r="K157" s="2" t="inlineStr">
        <is>
          <t>PENDING</t>
        </is>
      </c>
      <c r="L157" s="2" t="inlineStr">
        <is>
          <t>Swing Scanner (STATE 3: Capitulation Bottom)</t>
        </is>
      </c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57">
      <c r="A158" s="2" t="inlineStr">
        <is>
          <t>2026-09-08</t>
        </is>
      </c>
      <c r="B158" s="2" t="inlineStr">
        <is>
          <t>ANTELOPUS</t>
        </is>
      </c>
      <c r="C158" s="2" t="inlineStr">
        <is>
          <t>ANTELOPUS</t>
        </is>
      </c>
      <c r="D158" s="2" t="inlineStr">
        <is>
          <t>98/100</t>
        </is>
      </c>
      <c r="E158" s="7" t="n">
        <v>985.2999877929688</v>
      </c>
      <c r="F158" s="7" t="n">
        <v>880.4285452706473</v>
      </c>
      <c r="G158" s="7" t="n">
        <v>1247.478594098772</v>
      </c>
      <c r="H158" s="2" t="inlineStr">
        <is>
          <t>1:2.5</t>
        </is>
      </c>
      <c r="I158" s="2" t="n">
        <v>0</v>
      </c>
      <c r="J158" s="7" t="n">
        <v>0</v>
      </c>
      <c r="K158" s="2" t="inlineStr">
        <is>
          <t>PENDING</t>
        </is>
      </c>
      <c r="L158" s="2" t="inlineStr">
        <is>
          <t>Swing Scanner (STATE 3: Capitulation Bottom)</t>
        </is>
      </c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57">
      <c r="A159" s="2" t="inlineStr">
        <is>
          <t>2026-09-08</t>
        </is>
      </c>
      <c r="B159" s="2" t="inlineStr">
        <is>
          <t>GPTHEALTH</t>
        </is>
      </c>
      <c r="C159" s="2" t="inlineStr">
        <is>
          <t>GPT Healthcare Limited</t>
        </is>
      </c>
      <c r="D159" s="2" t="inlineStr">
        <is>
          <t>98/100</t>
        </is>
      </c>
      <c r="E159" s="7" t="n">
        <v>161.3699951171875</v>
      </c>
      <c r="F159" s="7" t="n">
        <v>153.6171395438058</v>
      </c>
      <c r="G159" s="7" t="n">
        <v>180.7521340506417</v>
      </c>
      <c r="H159" s="2" t="inlineStr">
        <is>
          <t>1:2.5</t>
        </is>
      </c>
      <c r="I159" s="2" t="n">
        <v>0</v>
      </c>
      <c r="J159" s="7" t="n">
        <v>0</v>
      </c>
      <c r="K159" s="2" t="inlineStr">
        <is>
          <t>PENDING</t>
        </is>
      </c>
      <c r="L159" s="2" t="inlineStr">
        <is>
          <t>Swing Scanner (STATE 3: Capitulation Bottom)</t>
        </is>
      </c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57">
      <c r="A160" s="2" t="inlineStr">
        <is>
          <t>2026-09-08</t>
        </is>
      </c>
      <c r="B160" s="2" t="inlineStr">
        <is>
          <t>BAJAJ-AUTO</t>
        </is>
      </c>
      <c r="C160" s="2" t="inlineStr">
        <is>
          <t>Bajaj Auto Limited</t>
        </is>
      </c>
      <c r="D160" s="2" t="inlineStr">
        <is>
          <t>100/100</t>
        </is>
      </c>
      <c r="E160" s="7" t="n">
        <v>11880</v>
      </c>
      <c r="F160" s="7" t="n">
        <v>11717.4</v>
      </c>
      <c r="G160" s="7" t="n">
        <v>12286.5</v>
      </c>
      <c r="H160" s="2" t="inlineStr">
        <is>
          <t>1:2.5</t>
        </is>
      </c>
      <c r="I160" s="2" t="n">
        <v>0</v>
      </c>
      <c r="J160" s="7" t="n">
        <v>0</v>
      </c>
      <c r="K160" s="2" t="inlineStr">
        <is>
          <t>PENDING</t>
        </is>
      </c>
      <c r="L160" s="2" t="inlineStr">
        <is>
          <t>Intraday Scanner (STATE 3: Capitulation Bottom)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57">
      <c r="A161" s="2" t="inlineStr">
        <is>
          <t>2026-09-08</t>
        </is>
      </c>
      <c r="B161" s="2" t="inlineStr">
        <is>
          <t>EICHERMOT</t>
        </is>
      </c>
      <c r="C161" s="2" t="inlineStr">
        <is>
          <t>Eicher Motors Limited</t>
        </is>
      </c>
      <c r="D161" s="2" t="inlineStr">
        <is>
          <t>100/100</t>
        </is>
      </c>
      <c r="E161" s="7" t="n">
        <v>7747.5</v>
      </c>
      <c r="F161" s="7" t="n">
        <v>7640.1</v>
      </c>
      <c r="G161" s="7" t="n">
        <v>8016</v>
      </c>
      <c r="H161" s="2" t="inlineStr">
        <is>
          <t>1:2.5</t>
        </is>
      </c>
      <c r="I161" s="2" t="n">
        <v>0</v>
      </c>
      <c r="J161" s="7" t="n">
        <v>0</v>
      </c>
      <c r="K161" s="2" t="inlineStr">
        <is>
          <t>PENDING</t>
        </is>
      </c>
      <c r="L161" s="2" t="inlineStr">
        <is>
          <t>Intraday Scanner (STATE 3: Capitulation Bottom)</t>
        </is>
      </c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57">
      <c r="A162" s="2" t="inlineStr">
        <is>
          <t>2026-09-08</t>
        </is>
      </c>
      <c r="B162" s="2" t="inlineStr">
        <is>
          <t>COFORGE</t>
        </is>
      </c>
      <c r="C162" s="2" t="inlineStr">
        <is>
          <t>Coforge Limited</t>
        </is>
      </c>
      <c r="D162" s="2" t="inlineStr">
        <is>
          <t>100/100</t>
        </is>
      </c>
      <c r="E162" s="7" t="n">
        <v>1950</v>
      </c>
      <c r="F162" s="7" t="n">
        <v>1926.4</v>
      </c>
      <c r="G162" s="7" t="n">
        <v>2008.95</v>
      </c>
      <c r="H162" s="2" t="inlineStr">
        <is>
          <t>1:2.5</t>
        </is>
      </c>
      <c r="I162" s="2" t="n">
        <v>0</v>
      </c>
      <c r="J162" s="7" t="n">
        <v>0</v>
      </c>
      <c r="K162" s="2" t="inlineStr">
        <is>
          <t>PENDING</t>
        </is>
      </c>
      <c r="L162" s="2" t="inlineStr">
        <is>
          <t>Intraday Scanner (STATE 3: Capitulation Bottom)</t>
        </is>
      </c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57">
      <c r="A163" s="2" t="inlineStr">
        <is>
          <t>2026-09-08</t>
        </is>
      </c>
      <c r="B163" s="2" t="inlineStr">
        <is>
          <t>LALPATHLAB</t>
        </is>
      </c>
      <c r="C163" s="2" t="inlineStr">
        <is>
          <t>Dr. Lal PathLab Limited</t>
        </is>
      </c>
      <c r="D163" s="2" t="inlineStr">
        <is>
          <t>100/100</t>
        </is>
      </c>
      <c r="E163" s="7" t="n">
        <v>1912.5</v>
      </c>
      <c r="F163" s="7" t="n">
        <v>1889.8</v>
      </c>
      <c r="G163" s="7" t="n">
        <v>1969.25</v>
      </c>
      <c r="H163" s="2" t="inlineStr">
        <is>
          <t>1:2.5</t>
        </is>
      </c>
      <c r="I163" s="2" t="n">
        <v>0</v>
      </c>
      <c r="J163" s="7" t="n">
        <v>0</v>
      </c>
      <c r="K163" s="2" t="inlineStr">
        <is>
          <t>PENDING</t>
        </is>
      </c>
      <c r="L163" s="2" t="inlineStr">
        <is>
          <t>Intraday Scanner (STATE 3: Capitulation Bottom)</t>
        </is>
      </c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57">
      <c r="A164" s="2" t="inlineStr">
        <is>
          <t>2026-09-08</t>
        </is>
      </c>
      <c r="B164" s="2" t="inlineStr">
        <is>
          <t>SCHNEIDER</t>
        </is>
      </c>
      <c r="C164" s="2" t="inlineStr">
        <is>
          <t>Schneider Electric Infrastructure Limited</t>
        </is>
      </c>
      <c r="D164" s="2" t="inlineStr">
        <is>
          <t>100/100</t>
        </is>
      </c>
      <c r="E164" s="7" t="n">
        <v>1229.7</v>
      </c>
      <c r="F164" s="7" t="n">
        <v>1204</v>
      </c>
      <c r="G164" s="7" t="n">
        <v>1293.95</v>
      </c>
      <c r="H164" s="2" t="inlineStr">
        <is>
          <t>1:2.5</t>
        </is>
      </c>
      <c r="I164" s="2" t="n">
        <v>0</v>
      </c>
      <c r="J164" s="7" t="n">
        <v>0</v>
      </c>
      <c r="K164" s="2" t="inlineStr">
        <is>
          <t>PENDING</t>
        </is>
      </c>
      <c r="L164" s="2" t="inlineStr">
        <is>
          <t>Intraday Scanner (STATE 3: Capitulation Bottom)</t>
        </is>
      </c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57">
      <c r="A165" s="2" t="inlineStr">
        <is>
          <t>2026-09-09</t>
        </is>
      </c>
      <c r="B165" s="2" t="inlineStr">
        <is>
          <t>HIKAL</t>
        </is>
      </c>
      <c r="C165" s="2" t="inlineStr">
        <is>
          <t>Hikal Limited</t>
        </is>
      </c>
      <c r="D165" s="2" t="inlineStr">
        <is>
          <t>100/100</t>
        </is>
      </c>
      <c r="E165" s="7" t="n">
        <v>246.0099945068359</v>
      </c>
      <c r="F165" s="7" t="n">
        <v>220.0029455552726</v>
      </c>
      <c r="G165" s="7" t="n">
        <v>311.0276168857443</v>
      </c>
      <c r="H165" s="2" t="inlineStr">
        <is>
          <t>1:2.5</t>
        </is>
      </c>
      <c r="I165" s="2" t="n">
        <v>0</v>
      </c>
      <c r="J165" s="7" t="n">
        <v>0</v>
      </c>
      <c r="K165" s="2" t="inlineStr">
        <is>
          <t>PENDING</t>
        </is>
      </c>
      <c r="L165" s="2" t="inlineStr">
        <is>
          <t>Swing Scanner (STATE 3: Capitulation Bottom)</t>
        </is>
      </c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57">
      <c r="A166" s="2" t="inlineStr">
        <is>
          <t>2026-09-09</t>
        </is>
      </c>
      <c r="B166" s="2" t="inlineStr">
        <is>
          <t>GAYAPROJ</t>
        </is>
      </c>
      <c r="C166" s="2" t="inlineStr">
        <is>
          <t>Gayatri Projects Limited</t>
        </is>
      </c>
      <c r="D166" s="2" t="inlineStr">
        <is>
          <t>98/100</t>
        </is>
      </c>
      <c r="E166" s="7" t="n">
        <v>23.26000022888184</v>
      </c>
      <c r="F166" s="7" t="n">
        <v>20.88000052315848</v>
      </c>
      <c r="G166" s="7" t="n">
        <v>29.20999949319022</v>
      </c>
      <c r="H166" s="2" t="inlineStr">
        <is>
          <t>1:2.5</t>
        </is>
      </c>
      <c r="I166" s="2" t="n">
        <v>2</v>
      </c>
      <c r="J166" s="7" t="n">
        <v>46.52000045776367</v>
      </c>
      <c r="K166" s="2" t="inlineStr">
        <is>
          <t>PENDING</t>
        </is>
      </c>
      <c r="L166" s="2" t="inlineStr">
        <is>
          <t>Swing Scanner (STATE 3: Capitulation Bottom)</t>
        </is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7">
      <c r="A167" s="2" t="inlineStr">
        <is>
          <t>2026-09-09</t>
        </is>
      </c>
      <c r="B167" s="2" t="inlineStr">
        <is>
          <t>GRANULES</t>
        </is>
      </c>
      <c r="C167" s="2" t="inlineStr">
        <is>
          <t>Granules India Limited</t>
        </is>
      </c>
      <c r="D167" s="2" t="inlineStr">
        <is>
          <t>98/100</t>
        </is>
      </c>
      <c r="E167" s="7" t="n">
        <v>895.3499755859375</v>
      </c>
      <c r="F167" s="7" t="n">
        <v>847.0356794084821</v>
      </c>
      <c r="G167" s="7" t="n">
        <v>1016.135716029576</v>
      </c>
      <c r="H167" s="2" t="inlineStr">
        <is>
          <t>1:2.5</t>
        </is>
      </c>
      <c r="I167" s="2" t="n">
        <v>0</v>
      </c>
      <c r="J167" s="7" t="n">
        <v>0</v>
      </c>
      <c r="K167" s="2" t="inlineStr">
        <is>
          <t>PENDING</t>
        </is>
      </c>
      <c r="L167" s="2" t="inlineStr">
        <is>
          <t>Swing Scanner (STATE 3: Capitulation Bottom)</t>
        </is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7">
      <c r="A168" s="2" t="inlineStr">
        <is>
          <t>2026-09-09</t>
        </is>
      </c>
      <c r="B168" s="2" t="inlineStr">
        <is>
          <t>AEROFLEX</t>
        </is>
      </c>
      <c r="C168" s="2" t="inlineStr">
        <is>
          <t>Aeroflex Industries Limited</t>
        </is>
      </c>
      <c r="D168" s="2" t="inlineStr">
        <is>
          <t>98/100</t>
        </is>
      </c>
      <c r="E168" s="7" t="n">
        <v>573.5</v>
      </c>
      <c r="F168" s="7" t="n">
        <v>517.7928423200335</v>
      </c>
      <c r="G168" s="7" t="n">
        <v>712.7678941999163</v>
      </c>
      <c r="H168" s="2" t="inlineStr">
        <is>
          <t>1:2.5</t>
        </is>
      </c>
      <c r="I168" s="2" t="n">
        <v>0</v>
      </c>
      <c r="J168" s="7" t="n">
        <v>0</v>
      </c>
      <c r="K168" s="2" t="inlineStr">
        <is>
          <t>PENDING</t>
        </is>
      </c>
      <c r="L168" s="2" t="inlineStr">
        <is>
          <t>Swing Scanner (STATE 3: Capitulation Bottom)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7">
      <c r="A169" s="2" t="inlineStr">
        <is>
          <t>2026-09-09</t>
        </is>
      </c>
      <c r="B169" s="2" t="inlineStr">
        <is>
          <t>BEPL</t>
        </is>
      </c>
      <c r="C169" s="2" t="inlineStr">
        <is>
          <t>Bhansali Engineering Polymers Limited</t>
        </is>
      </c>
      <c r="D169" s="2" t="inlineStr">
        <is>
          <t>98/100</t>
        </is>
      </c>
      <c r="E169" s="7" t="n">
        <v>133.8399963378906</v>
      </c>
      <c r="F169" s="7" t="n">
        <v>123.3999971662249</v>
      </c>
      <c r="G169" s="7" t="n">
        <v>159.939994267055</v>
      </c>
      <c r="H169" s="2" t="inlineStr">
        <is>
          <t>1:2.5</t>
        </is>
      </c>
      <c r="I169" s="2" t="n">
        <v>0</v>
      </c>
      <c r="J169" s="7" t="n">
        <v>0</v>
      </c>
      <c r="K169" s="2" t="inlineStr">
        <is>
          <t>PENDING</t>
        </is>
      </c>
      <c r="L169" s="2" t="inlineStr">
        <is>
          <t>Swing Scanner (STATE 3: Capitulation Bottom)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57">
      <c r="A170" s="2" t="inlineStr">
        <is>
          <t>2026-09-09</t>
        </is>
      </c>
      <c r="B170" s="2" t="inlineStr">
        <is>
          <t>ASIANPAINT</t>
        </is>
      </c>
      <c r="C170" s="2" t="inlineStr">
        <is>
          <t>Asian Paints Limited</t>
        </is>
      </c>
      <c r="D170" s="2" t="inlineStr">
        <is>
          <t>100/100</t>
        </is>
      </c>
      <c r="E170" s="7" t="n">
        <v>2489</v>
      </c>
      <c r="F170" s="7" t="n">
        <v>2460.55</v>
      </c>
      <c r="G170" s="7" t="n">
        <v>2560.1</v>
      </c>
      <c r="H170" s="2" t="inlineStr">
        <is>
          <t>1:2.5</t>
        </is>
      </c>
      <c r="I170" s="2" t="n">
        <v>0</v>
      </c>
      <c r="J170" s="7" t="n">
        <v>0</v>
      </c>
      <c r="K170" s="2" t="inlineStr">
        <is>
          <t>PENDING</t>
        </is>
      </c>
      <c r="L170" s="2" t="inlineStr">
        <is>
          <t>Intraday Scanner (STATE 3: Capitulation Bottom)</t>
        </is>
      </c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7">
      <c r="A171" s="2" t="inlineStr">
        <is>
          <t>2026-09-09</t>
        </is>
      </c>
      <c r="B171" s="2" t="inlineStr">
        <is>
          <t>METROPOLIS</t>
        </is>
      </c>
      <c r="C171" s="2" t="inlineStr">
        <is>
          <t>Metropolis Healthcare Limited</t>
        </is>
      </c>
      <c r="D171" s="2" t="inlineStr">
        <is>
          <t>100/100</t>
        </is>
      </c>
      <c r="E171" s="7" t="n">
        <v>602.1</v>
      </c>
      <c r="F171" s="7" t="n">
        <v>592.95</v>
      </c>
      <c r="G171" s="7" t="n">
        <v>625</v>
      </c>
      <c r="H171" s="2" t="inlineStr">
        <is>
          <t>1:2.5</t>
        </is>
      </c>
      <c r="I171" s="2" t="n">
        <v>0</v>
      </c>
      <c r="J171" s="7" t="n">
        <v>0</v>
      </c>
      <c r="K171" s="2" t="inlineStr">
        <is>
          <t>PENDING</t>
        </is>
      </c>
      <c r="L171" s="2" t="inlineStr">
        <is>
          <t>Intraday Scanner (STATE 3: Capitulation Bottom)</t>
        </is>
      </c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57">
      <c r="A172" s="2" t="inlineStr">
        <is>
          <t>2026-09-09</t>
        </is>
      </c>
      <c r="B172" s="2" t="inlineStr">
        <is>
          <t>DALBHARAT</t>
        </is>
      </c>
      <c r="C172" s="2" t="inlineStr">
        <is>
          <t>Dalmia Bharat Limited</t>
        </is>
      </c>
      <c r="D172" s="2" t="inlineStr">
        <is>
          <t>100/100</t>
        </is>
      </c>
      <c r="E172" s="7" t="n">
        <v>1733.6</v>
      </c>
      <c r="F172" s="7" t="n">
        <v>1697.65</v>
      </c>
      <c r="G172" s="7" t="n">
        <v>1823.55</v>
      </c>
      <c r="H172" s="2" t="inlineStr">
        <is>
          <t>1:2.5</t>
        </is>
      </c>
      <c r="I172" s="2" t="n">
        <v>0</v>
      </c>
      <c r="J172" s="7" t="n">
        <v>0</v>
      </c>
      <c r="K172" s="2" t="inlineStr">
        <is>
          <t>PENDING</t>
        </is>
      </c>
      <c r="L172" s="2" t="inlineStr">
        <is>
          <t>Intraday Scanner (STATE 3: Capitulation Bottom)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57">
      <c r="A173" s="2" t="inlineStr">
        <is>
          <t>2026-09-09</t>
        </is>
      </c>
      <c r="B173" s="2" t="inlineStr">
        <is>
          <t>COROMANDEL</t>
        </is>
      </c>
      <c r="C173" s="2" t="inlineStr">
        <is>
          <t>Coromandel International Limited</t>
        </is>
      </c>
      <c r="D173" s="2" t="inlineStr">
        <is>
          <t>98/100</t>
        </is>
      </c>
      <c r="E173" s="7" t="n">
        <v>1962.7</v>
      </c>
      <c r="F173" s="7" t="n">
        <v>1942.95</v>
      </c>
      <c r="G173" s="7" t="n">
        <v>2012.05</v>
      </c>
      <c r="H173" s="2" t="inlineStr">
        <is>
          <t>1:2.5</t>
        </is>
      </c>
      <c r="I173" s="2" t="n">
        <v>0</v>
      </c>
      <c r="J173" s="7" t="n">
        <v>0</v>
      </c>
      <c r="K173" s="2" t="inlineStr">
        <is>
          <t>PENDING</t>
        </is>
      </c>
      <c r="L173" s="2" t="inlineStr">
        <is>
          <t>Intraday Scanner (STATE 3: Capitulation Bottom)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57">
      <c r="A174" s="2" t="inlineStr">
        <is>
          <t>2026-09-09</t>
        </is>
      </c>
      <c r="B174" s="2" t="inlineStr">
        <is>
          <t>JSL</t>
        </is>
      </c>
      <c r="C174" s="2" t="inlineStr">
        <is>
          <t>Jindal Stainless Limited</t>
        </is>
      </c>
      <c r="D174" s="2" t="inlineStr">
        <is>
          <t>96/100</t>
        </is>
      </c>
      <c r="E174" s="7" t="n">
        <v>783.3</v>
      </c>
      <c r="F174" s="7" t="n">
        <v>762.9</v>
      </c>
      <c r="G174" s="7" t="n">
        <v>834.3</v>
      </c>
      <c r="H174" s="2" t="inlineStr">
        <is>
          <t>1:2.5</t>
        </is>
      </c>
      <c r="I174" s="2" t="n">
        <v>0</v>
      </c>
      <c r="J174" s="7" t="n">
        <v>0</v>
      </c>
      <c r="K174" s="2" t="inlineStr">
        <is>
          <t>PENDING</t>
        </is>
      </c>
      <c r="L174" s="2" t="inlineStr">
        <is>
          <t>Intraday Scanner (STATE 3: Capitulation Bottom)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57">
      <c r="A175" s="2" t="inlineStr">
        <is>
          <t>2026-09-10</t>
        </is>
      </c>
      <c r="B175" s="2" t="inlineStr">
        <is>
          <t>GAYAPROJ</t>
        </is>
      </c>
      <c r="C175" s="2" t="inlineStr">
        <is>
          <t>Gayatri Projects Limited</t>
        </is>
      </c>
      <c r="D175" s="2" t="inlineStr">
        <is>
          <t>98/100</t>
        </is>
      </c>
      <c r="E175" s="7" t="n">
        <v>23.63999938964844</v>
      </c>
      <c r="F175" s="7" t="n">
        <v>21.27857099260603</v>
      </c>
      <c r="G175" s="7" t="n">
        <v>29.54357038225447</v>
      </c>
      <c r="H175" s="2" t="inlineStr">
        <is>
          <t>1:2.5</t>
        </is>
      </c>
      <c r="I175" s="2" t="n">
        <v>2</v>
      </c>
      <c r="J175" s="7" t="n">
        <v>47.27999877929688</v>
      </c>
      <c r="K175" s="2" t="inlineStr">
        <is>
          <t>PENDING</t>
        </is>
      </c>
      <c r="L175" s="2" t="inlineStr">
        <is>
          <t>Swing Scanner (STATE 3: Capitulation Bottom)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57">
      <c r="A176" s="2" t="inlineStr">
        <is>
          <t>2026-09-10</t>
        </is>
      </c>
      <c r="B176" s="2" t="inlineStr">
        <is>
          <t>BEPL</t>
        </is>
      </c>
      <c r="C176" s="2" t="inlineStr">
        <is>
          <t>Bhansali Engineering Polymers Limited</t>
        </is>
      </c>
      <c r="D176" s="2" t="inlineStr">
        <is>
          <t>98/100</t>
        </is>
      </c>
      <c r="E176" s="7" t="n">
        <v>133.5599975585938</v>
      </c>
      <c r="F176" s="7" t="n">
        <v>123.1842836652483</v>
      </c>
      <c r="G176" s="7" t="n">
        <v>159.4992822919573</v>
      </c>
      <c r="H176" s="2" t="inlineStr">
        <is>
          <t>1:2.5</t>
        </is>
      </c>
      <c r="I176" s="2" t="n">
        <v>0</v>
      </c>
      <c r="J176" s="7" t="n">
        <v>0</v>
      </c>
      <c r="K176" s="2" t="inlineStr">
        <is>
          <t>PENDING</t>
        </is>
      </c>
      <c r="L176" s="2" t="inlineStr">
        <is>
          <t>Swing Scanner (STATE 3: Capitulation Bottom)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57">
      <c r="A177" s="2" t="inlineStr">
        <is>
          <t>2026-09-10</t>
        </is>
      </c>
      <c r="B177" s="2" t="inlineStr">
        <is>
          <t>CGPOWER</t>
        </is>
      </c>
      <c r="C177" s="2" t="inlineStr">
        <is>
          <t>CG Power and Industrial Solutions Limited</t>
        </is>
      </c>
      <c r="D177" s="2" t="inlineStr">
        <is>
          <t>98/100</t>
        </is>
      </c>
      <c r="E177" s="7" t="n">
        <v>926.9500122070312</v>
      </c>
      <c r="F177" s="7" t="n">
        <v>883.1000017438616</v>
      </c>
      <c r="G177" s="7" t="n">
        <v>1036.575038364955</v>
      </c>
      <c r="H177" s="2" t="inlineStr">
        <is>
          <t>1:2.5</t>
        </is>
      </c>
      <c r="I177" s="2" t="n">
        <v>0</v>
      </c>
      <c r="J177" s="7" t="n">
        <v>0</v>
      </c>
      <c r="K177" s="2" t="inlineStr">
        <is>
          <t>PENDING</t>
        </is>
      </c>
      <c r="L177" s="2" t="inlineStr">
        <is>
          <t>Swing Scanner (STATE 3: Capitulation Bottom)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57">
      <c r="A178" s="2" t="inlineStr">
        <is>
          <t>2026-09-10</t>
        </is>
      </c>
      <c r="B178" s="2" t="inlineStr">
        <is>
          <t>SARDAEN</t>
        </is>
      </c>
      <c r="C178" s="2" t="inlineStr">
        <is>
          <t>Sarda Energy &amp; Minerals Limited</t>
        </is>
      </c>
      <c r="D178" s="2" t="inlineStr">
        <is>
          <t>98/100</t>
        </is>
      </c>
      <c r="E178" s="7" t="n">
        <v>545.8499755859375</v>
      </c>
      <c r="F178" s="7" t="n">
        <v>519.4571097237723</v>
      </c>
      <c r="G178" s="7" t="n">
        <v>611.8321402413504</v>
      </c>
      <c r="H178" s="2" t="inlineStr">
        <is>
          <t>1:2.5</t>
        </is>
      </c>
      <c r="I178" s="2" t="n">
        <v>0</v>
      </c>
      <c r="J178" s="7" t="n">
        <v>0</v>
      </c>
      <c r="K178" s="2" t="inlineStr">
        <is>
          <t>PENDING</t>
        </is>
      </c>
      <c r="L178" s="2" t="inlineStr">
        <is>
          <t>Swing Scanner (STATE 3: Capitulation Bottom)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57">
      <c r="A179" s="2" t="inlineStr">
        <is>
          <t>2026-09-10</t>
        </is>
      </c>
      <c r="B179" s="2" t="inlineStr">
        <is>
          <t>AVL</t>
        </is>
      </c>
      <c r="C179" s="2" t="inlineStr">
        <is>
          <t>Aditya Vision Limited</t>
        </is>
      </c>
      <c r="D179" s="2" t="inlineStr">
        <is>
          <t>98/100</t>
        </is>
      </c>
      <c r="E179" s="7" t="n">
        <v>623.0999755859375</v>
      </c>
      <c r="F179" s="7" t="n">
        <v>587.1696734188296</v>
      </c>
      <c r="G179" s="7" t="n">
        <v>712.9257310037074</v>
      </c>
      <c r="H179" s="2" t="inlineStr">
        <is>
          <t>1:2.5</t>
        </is>
      </c>
      <c r="I179" s="2" t="n">
        <v>0</v>
      </c>
      <c r="J179" s="7" t="n">
        <v>0</v>
      </c>
      <c r="K179" s="2" t="inlineStr">
        <is>
          <t>PENDING</t>
        </is>
      </c>
      <c r="L179" s="2" t="inlineStr">
        <is>
          <t>Swing Scanner (STATE 3: Capitulation Bottom)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57">
      <c r="A180" s="2" t="inlineStr">
        <is>
          <t>2026-09-10</t>
        </is>
      </c>
      <c r="B180" s="2" t="inlineStr">
        <is>
          <t>GRASIM</t>
        </is>
      </c>
      <c r="C180" s="2" t="inlineStr">
        <is>
          <t>Grasim Industries Limited</t>
        </is>
      </c>
      <c r="D180" s="2" t="inlineStr">
        <is>
          <t>100/100</t>
        </is>
      </c>
      <c r="E180" s="7" t="n">
        <v>3319</v>
      </c>
      <c r="F180" s="7" t="n">
        <v>3300.7</v>
      </c>
      <c r="G180" s="7" t="n">
        <v>3364.75</v>
      </c>
      <c r="H180" s="2" t="inlineStr">
        <is>
          <t>1:2.5</t>
        </is>
      </c>
      <c r="I180" s="2" t="n">
        <v>0</v>
      </c>
      <c r="J180" s="7" t="n">
        <v>0</v>
      </c>
      <c r="K180" s="2" t="inlineStr">
        <is>
          <t>PENDING</t>
        </is>
      </c>
      <c r="L180" s="2" t="inlineStr">
        <is>
          <t>Intraday Scanner (STATE 3: Capitulation Bottom)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57">
      <c r="A181" s="2" t="inlineStr">
        <is>
          <t>2026-09-10</t>
        </is>
      </c>
      <c r="B181" s="2" t="inlineStr">
        <is>
          <t>DABUR</t>
        </is>
      </c>
      <c r="C181" s="2" t="inlineStr">
        <is>
          <t>Dabur India Limited</t>
        </is>
      </c>
      <c r="D181" s="2" t="inlineStr">
        <is>
          <t>100/100</t>
        </is>
      </c>
      <c r="E181" s="7" t="n">
        <v>376.45</v>
      </c>
      <c r="F181" s="7" t="n">
        <v>371.9</v>
      </c>
      <c r="G181" s="7" t="n">
        <v>387.8</v>
      </c>
      <c r="H181" s="2" t="inlineStr">
        <is>
          <t>1:2.5</t>
        </is>
      </c>
      <c r="I181" s="2" t="n">
        <v>0</v>
      </c>
      <c r="J181" s="7" t="n">
        <v>0</v>
      </c>
      <c r="K181" s="2" t="inlineStr">
        <is>
          <t>PENDING</t>
        </is>
      </c>
      <c r="L181" s="2" t="inlineStr">
        <is>
          <t>Intraday Scanner (STATE 3: Capitulation Bottom)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57">
      <c r="A182" s="2" t="inlineStr">
        <is>
          <t>2026-09-10</t>
        </is>
      </c>
      <c r="B182" s="2" t="inlineStr">
        <is>
          <t>GRANULES</t>
        </is>
      </c>
      <c r="C182" s="2" t="inlineStr">
        <is>
          <t>Granules India Limited</t>
        </is>
      </c>
      <c r="D182" s="2" t="inlineStr">
        <is>
          <t>100/100</t>
        </is>
      </c>
      <c r="E182" s="7" t="n">
        <v>899.25</v>
      </c>
      <c r="F182" s="7" t="n">
        <v>879.45</v>
      </c>
      <c r="G182" s="7" t="n">
        <v>948.8</v>
      </c>
      <c r="H182" s="2" t="inlineStr">
        <is>
          <t>1:2.5</t>
        </is>
      </c>
      <c r="I182" s="2" t="n">
        <v>0</v>
      </c>
      <c r="J182" s="7" t="n">
        <v>0</v>
      </c>
      <c r="K182" s="2" t="inlineStr">
        <is>
          <t>PENDING</t>
        </is>
      </c>
      <c r="L182" s="2" t="inlineStr">
        <is>
          <t>Intraday Scanner (STATE 3: Capitulation Bottom)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57">
      <c r="A183" s="2" t="inlineStr">
        <is>
          <t>2026-09-10</t>
        </is>
      </c>
      <c r="B183" s="2" t="inlineStr">
        <is>
          <t>ERIS</t>
        </is>
      </c>
      <c r="C183" s="2" t="inlineStr">
        <is>
          <t>Eris Lifesciences Limited</t>
        </is>
      </c>
      <c r="D183" s="2" t="inlineStr">
        <is>
          <t>100/100</t>
        </is>
      </c>
      <c r="E183" s="7" t="n">
        <v>1358</v>
      </c>
      <c r="F183" s="7" t="n">
        <v>1340.95</v>
      </c>
      <c r="G183" s="7" t="n">
        <v>1400.7</v>
      </c>
      <c r="H183" s="2" t="inlineStr">
        <is>
          <t>1:2.5</t>
        </is>
      </c>
      <c r="I183" s="2" t="n">
        <v>0</v>
      </c>
      <c r="J183" s="7" t="n">
        <v>0</v>
      </c>
      <c r="K183" s="2" t="inlineStr">
        <is>
          <t>PENDING</t>
        </is>
      </c>
      <c r="L183" s="2" t="inlineStr">
        <is>
          <t>Intraday Scanner (STATE 3: Capitulation Bottom)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57">
      <c r="A184" s="2" t="inlineStr">
        <is>
          <t>2026-09-10</t>
        </is>
      </c>
      <c r="B184" s="2" t="inlineStr">
        <is>
          <t>ATUL</t>
        </is>
      </c>
      <c r="C184" s="2" t="inlineStr">
        <is>
          <t>Atul Limited</t>
        </is>
      </c>
      <c r="D184" s="2" t="inlineStr">
        <is>
          <t>100/100</t>
        </is>
      </c>
      <c r="E184" s="7" t="n">
        <v>6356</v>
      </c>
      <c r="F184" s="7" t="n">
        <v>6263</v>
      </c>
      <c r="G184" s="7" t="n">
        <v>6588.5</v>
      </c>
      <c r="H184" s="2" t="inlineStr">
        <is>
          <t>1:2.5</t>
        </is>
      </c>
      <c r="I184" s="2" t="n">
        <v>0</v>
      </c>
      <c r="J184" s="7" t="n">
        <v>0</v>
      </c>
      <c r="K184" s="2" t="inlineStr">
        <is>
          <t>PENDING</t>
        </is>
      </c>
      <c r="L184" s="2" t="inlineStr">
        <is>
          <t>Intraday Scanner (STATE 3: Capitulation Bottom)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57">
      <c r="A185" s="2" t="inlineStr">
        <is>
          <t>2026-09-11</t>
        </is>
      </c>
      <c r="B185" s="2" t="inlineStr">
        <is>
          <t>AARTIDRUGS</t>
        </is>
      </c>
      <c r="C185" s="2" t="inlineStr">
        <is>
          <t>Aarti Drugs Limited</t>
        </is>
      </c>
      <c r="D185" s="2" t="inlineStr">
        <is>
          <t>98/100</t>
        </is>
      </c>
      <c r="E185" s="7" t="n">
        <v>437</v>
      </c>
      <c r="F185" s="7" t="n">
        <v>410.6428571428572</v>
      </c>
      <c r="G185" s="7" t="n">
        <v>502.8928571428571</v>
      </c>
      <c r="H185" s="2" t="inlineStr">
        <is>
          <t>1:2.5</t>
        </is>
      </c>
      <c r="I185" s="2" t="n">
        <v>0</v>
      </c>
      <c r="J185" s="7" t="n">
        <v>0</v>
      </c>
      <c r="K185" s="2" t="inlineStr">
        <is>
          <t>PENDING</t>
        </is>
      </c>
      <c r="L185" s="2" t="inlineStr">
        <is>
          <t>Swing Scanner (STATE 3: Capitulation Bottom)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57">
      <c r="A186" s="2" t="inlineStr">
        <is>
          <t>2026-09-11</t>
        </is>
      </c>
      <c r="B186" s="2" t="inlineStr">
        <is>
          <t>GRANULES</t>
        </is>
      </c>
      <c r="C186" s="2" t="inlineStr">
        <is>
          <t>Granules India Limited</t>
        </is>
      </c>
      <c r="D186" s="2" t="inlineStr">
        <is>
          <t>98/100</t>
        </is>
      </c>
      <c r="E186" s="7" t="n">
        <v>899.25</v>
      </c>
      <c r="F186" s="7" t="n">
        <v>848.8285609654018</v>
      </c>
      <c r="G186" s="7" t="n">
        <v>1025.303597586495</v>
      </c>
      <c r="H186" s="2" t="inlineStr">
        <is>
          <t>1:2.5</t>
        </is>
      </c>
      <c r="I186" s="2" t="n">
        <v>0</v>
      </c>
      <c r="J186" s="7" t="n">
        <v>0</v>
      </c>
      <c r="K186" s="2" t="inlineStr">
        <is>
          <t>PENDING</t>
        </is>
      </c>
      <c r="L186" s="2" t="inlineStr">
        <is>
          <t>Swing Scanner (STATE 3: Capitulation Bottom)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57">
      <c r="A187" s="2" t="inlineStr">
        <is>
          <t>2026-09-11</t>
        </is>
      </c>
      <c r="B187" s="2" t="inlineStr">
        <is>
          <t>JINDALSAW</t>
        </is>
      </c>
      <c r="C187" s="2" t="inlineStr">
        <is>
          <t>Jindal Saw Limited</t>
        </is>
      </c>
      <c r="D187" s="2" t="inlineStr">
        <is>
          <t>98/100</t>
        </is>
      </c>
      <c r="E187" s="7" t="n">
        <v>317.5</v>
      </c>
      <c r="F187" s="7" t="n">
        <v>294.3285740443638</v>
      </c>
      <c r="G187" s="7" t="n">
        <v>375.4285648890904</v>
      </c>
      <c r="H187" s="2" t="inlineStr">
        <is>
          <t>1:2.5</t>
        </is>
      </c>
      <c r="I187" s="2" t="n">
        <v>0</v>
      </c>
      <c r="J187" s="7" t="n">
        <v>0</v>
      </c>
      <c r="K187" s="2" t="inlineStr">
        <is>
          <t>PENDING</t>
        </is>
      </c>
      <c r="L187" s="2" t="inlineStr">
        <is>
          <t>Swing Scanner (STATE 3: Capitulation Bottom)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57">
      <c r="A188" s="2" t="inlineStr">
        <is>
          <t>2026-09-11</t>
        </is>
      </c>
      <c r="B188" s="2" t="inlineStr">
        <is>
          <t>EMMVEE</t>
        </is>
      </c>
      <c r="C188" s="2" t="inlineStr">
        <is>
          <t>EMMVEE</t>
        </is>
      </c>
      <c r="D188" s="2" t="inlineStr">
        <is>
          <t>98/100</t>
        </is>
      </c>
      <c r="E188" s="7" t="n">
        <v>342.6499938964844</v>
      </c>
      <c r="F188" s="7" t="n">
        <v>323.3214198521205</v>
      </c>
      <c r="G188" s="7" t="n">
        <v>390.971429007394</v>
      </c>
      <c r="H188" s="2" t="inlineStr">
        <is>
          <t>1:2.5</t>
        </is>
      </c>
      <c r="I188" s="2" t="n">
        <v>0</v>
      </c>
      <c r="J188" s="7" t="n">
        <v>0</v>
      </c>
      <c r="K188" s="2" t="inlineStr">
        <is>
          <t>PENDING</t>
        </is>
      </c>
      <c r="L188" s="2" t="inlineStr">
        <is>
          <t>Swing Scanner (STATE 3: Capitulation Bottom)</t>
        </is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57">
      <c r="A189" s="2" t="inlineStr">
        <is>
          <t>2026-09-11</t>
        </is>
      </c>
      <c r="B189" s="2" t="inlineStr">
        <is>
          <t>FINCABLES</t>
        </is>
      </c>
      <c r="C189" s="2" t="inlineStr">
        <is>
          <t>Finolex Cables Limited</t>
        </is>
      </c>
      <c r="D189" s="2" t="inlineStr">
        <is>
          <t>98/100</t>
        </is>
      </c>
      <c r="E189" s="7" t="n">
        <v>1418.400024414062</v>
      </c>
      <c r="F189" s="7" t="n">
        <v>1303.503407176379</v>
      </c>
      <c r="G189" s="7" t="n">
        <v>1705.641567508271</v>
      </c>
      <c r="H189" s="2" t="inlineStr">
        <is>
          <t>1:2.5</t>
        </is>
      </c>
      <c r="I189" s="2" t="n">
        <v>0</v>
      </c>
      <c r="J189" s="7" t="n">
        <v>0</v>
      </c>
      <c r="K189" s="2" t="inlineStr">
        <is>
          <t>PENDING</t>
        </is>
      </c>
      <c r="L189" s="2" t="inlineStr">
        <is>
          <t>Swing Scanner (STATE 3: Capitulation Bottom)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57">
      <c r="A190" s="2" t="inlineStr">
        <is>
          <t>2026-09-11</t>
        </is>
      </c>
      <c r="B190" s="2" t="inlineStr">
        <is>
          <t>ULTRACEMCO</t>
        </is>
      </c>
      <c r="C190" s="2" t="inlineStr">
        <is>
          <t>UltraTech Cement Limited</t>
        </is>
      </c>
      <c r="D190" s="2" t="inlineStr">
        <is>
          <t>100/100</t>
        </is>
      </c>
      <c r="E190" s="7" t="n">
        <v>11000</v>
      </c>
      <c r="F190" s="7" t="n">
        <v>10830.5</v>
      </c>
      <c r="G190" s="7" t="n">
        <v>11423.75</v>
      </c>
      <c r="H190" s="2" t="inlineStr">
        <is>
          <t>1:2.5</t>
        </is>
      </c>
      <c r="I190" s="2" t="n">
        <v>0</v>
      </c>
      <c r="J190" s="7" t="n">
        <v>0</v>
      </c>
      <c r="K190" s="2" t="inlineStr">
        <is>
          <t>PENDING</t>
        </is>
      </c>
      <c r="L190" s="2" t="inlineStr">
        <is>
          <t>Intraday Scanner (STATE 3: Capitulation Bottom)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57">
      <c r="A191" s="2" t="inlineStr">
        <is>
          <t>2026-09-11</t>
        </is>
      </c>
      <c r="B191" s="2" t="inlineStr">
        <is>
          <t>PIDILITIND</t>
        </is>
      </c>
      <c r="C191" s="2" t="inlineStr">
        <is>
          <t>Pidilite Industries Limited</t>
        </is>
      </c>
      <c r="D191" s="2" t="inlineStr">
        <is>
          <t>100/100</t>
        </is>
      </c>
      <c r="E191" s="7" t="n">
        <v>1566.9</v>
      </c>
      <c r="F191" s="7" t="n">
        <v>1540.6</v>
      </c>
      <c r="G191" s="7" t="n">
        <v>1632.65</v>
      </c>
      <c r="H191" s="2" t="inlineStr">
        <is>
          <t>1:2.5</t>
        </is>
      </c>
      <c r="I191" s="2" t="n">
        <v>0</v>
      </c>
      <c r="J191" s="7" t="n">
        <v>0</v>
      </c>
      <c r="K191" s="2" t="inlineStr">
        <is>
          <t>PENDING</t>
        </is>
      </c>
      <c r="L191" s="2" t="inlineStr">
        <is>
          <t>Intraday Scanner (STATE 3: Capitulation Bottom)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57">
      <c r="A192" s="2" t="inlineStr">
        <is>
          <t>2026-09-11</t>
        </is>
      </c>
      <c r="B192" s="2" t="inlineStr">
        <is>
          <t>SIEMENS</t>
        </is>
      </c>
      <c r="C192" s="2" t="inlineStr">
        <is>
          <t>Siemens Limited</t>
        </is>
      </c>
      <c r="D192" s="2" t="inlineStr">
        <is>
          <t>100/100</t>
        </is>
      </c>
      <c r="E192" s="7" t="n">
        <v>3957</v>
      </c>
      <c r="F192" s="7" t="n">
        <v>3913.6</v>
      </c>
      <c r="G192" s="7" t="n">
        <v>4065.45</v>
      </c>
      <c r="H192" s="2" t="inlineStr">
        <is>
          <t>1:2.5</t>
        </is>
      </c>
      <c r="I192" s="2" t="n">
        <v>0</v>
      </c>
      <c r="J192" s="7" t="n">
        <v>0</v>
      </c>
      <c r="K192" s="2" t="inlineStr">
        <is>
          <t>PENDING</t>
        </is>
      </c>
      <c r="L192" s="2" t="inlineStr">
        <is>
          <t>Intraday Scanner (STATE 3: Capitulation Bottom)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57">
      <c r="A193" s="2" t="inlineStr">
        <is>
          <t>2026-09-11</t>
        </is>
      </c>
      <c r="B193" s="2" t="inlineStr">
        <is>
          <t>TATACHEM</t>
        </is>
      </c>
      <c r="C193" s="2" t="inlineStr">
        <is>
          <t>Tata Chemicals Limited</t>
        </is>
      </c>
      <c r="D193" s="2" t="inlineStr">
        <is>
          <t>100/100</t>
        </is>
      </c>
      <c r="E193" s="7" t="n">
        <v>612.45</v>
      </c>
      <c r="F193" s="7" t="n">
        <v>604.7</v>
      </c>
      <c r="G193" s="7" t="n">
        <v>631.9</v>
      </c>
      <c r="H193" s="2" t="inlineStr">
        <is>
          <t>1:2.5</t>
        </is>
      </c>
      <c r="I193" s="2" t="n">
        <v>0</v>
      </c>
      <c r="J193" s="7" t="n">
        <v>0</v>
      </c>
      <c r="K193" s="2" t="inlineStr">
        <is>
          <t>PENDING</t>
        </is>
      </c>
      <c r="L193" s="2" t="inlineStr">
        <is>
          <t>Intraday Scanner (STATE 3: Capitulation Bottom)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57">
      <c r="A194" s="2" t="inlineStr">
        <is>
          <t>2026-09-11</t>
        </is>
      </c>
      <c r="B194" s="2" t="inlineStr">
        <is>
          <t>MANKIND</t>
        </is>
      </c>
      <c r="C194" s="2" t="inlineStr">
        <is>
          <t>Mankind Pharma Limited</t>
        </is>
      </c>
      <c r="D194" s="2" t="inlineStr">
        <is>
          <t>100/100</t>
        </is>
      </c>
      <c r="E194" s="7" t="n">
        <v>2280</v>
      </c>
      <c r="F194" s="7" t="n">
        <v>2247.2</v>
      </c>
      <c r="G194" s="7" t="n">
        <v>2362</v>
      </c>
      <c r="H194" s="2" t="inlineStr">
        <is>
          <t>1:2.5</t>
        </is>
      </c>
      <c r="I194" s="2" t="n">
        <v>0</v>
      </c>
      <c r="J194" s="7" t="n">
        <v>0</v>
      </c>
      <c r="K194" s="2" t="inlineStr">
        <is>
          <t>PENDING</t>
        </is>
      </c>
      <c r="L194" s="2" t="inlineStr">
        <is>
          <t>Intraday Scanner (STATE 3: Capitulation Bottom)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57">
      <c r="A195" s="2" t="inlineStr">
        <is>
          <t>2026-09-14</t>
        </is>
      </c>
      <c r="B195" s="2" t="inlineStr">
        <is>
          <t>EMMVEE</t>
        </is>
      </c>
      <c r="C195" s="2" t="inlineStr">
        <is>
          <t>EMMVEE</t>
        </is>
      </c>
      <c r="D195" s="2" t="inlineStr">
        <is>
          <t>100/100</t>
        </is>
      </c>
      <c r="E195" s="7" t="n">
        <v>346</v>
      </c>
      <c r="F195" s="7" t="n">
        <v>325.3428519112723</v>
      </c>
      <c r="G195" s="7" t="n">
        <v>397.6428702218192</v>
      </c>
      <c r="H195" s="2" t="inlineStr">
        <is>
          <t>1:2.5</t>
        </is>
      </c>
      <c r="I195" s="2" t="n">
        <v>0</v>
      </c>
      <c r="J195" s="7" t="n">
        <v>0</v>
      </c>
      <c r="K195" s="2" t="inlineStr">
        <is>
          <t>PENDING</t>
        </is>
      </c>
      <c r="L195" s="2" t="inlineStr">
        <is>
          <t>Swing Scanner (STATE 3: Capitulation Bottom)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57">
      <c r="A196" s="2" t="inlineStr">
        <is>
          <t>2026-09-14</t>
        </is>
      </c>
      <c r="B196" s="2" t="inlineStr">
        <is>
          <t>PTCIL</t>
        </is>
      </c>
      <c r="C196" s="2" t="inlineStr">
        <is>
          <t>PTC Industries Limited</t>
        </is>
      </c>
      <c r="D196" s="2" t="inlineStr">
        <is>
          <t>98/100</t>
        </is>
      </c>
      <c r="E196" s="7" t="n">
        <v>23630</v>
      </c>
      <c r="F196" s="7" t="n">
        <v>21547.85714285714</v>
      </c>
      <c r="G196" s="7" t="n">
        <v>28835.35714285714</v>
      </c>
      <c r="H196" s="2" t="inlineStr">
        <is>
          <t>1:2.5</t>
        </is>
      </c>
      <c r="I196" s="2" t="n">
        <v>0</v>
      </c>
      <c r="J196" s="7" t="n">
        <v>0</v>
      </c>
      <c r="K196" s="2" t="inlineStr">
        <is>
          <t>PENDING</t>
        </is>
      </c>
      <c r="L196" s="2" t="inlineStr">
        <is>
          <t>Swing Scanner (STATE 3: Capitulation Bottom)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57">
      <c r="A197" s="2" t="inlineStr">
        <is>
          <t>2026-09-14</t>
        </is>
      </c>
      <c r="B197" s="2" t="inlineStr">
        <is>
          <t>HERITGFOOD</t>
        </is>
      </c>
      <c r="C197" s="2" t="inlineStr">
        <is>
          <t>Heritage Foods Limited</t>
        </is>
      </c>
      <c r="D197" s="2" t="inlineStr">
        <is>
          <t>98/100</t>
        </is>
      </c>
      <c r="E197" s="7" t="n">
        <v>417.3999938964844</v>
      </c>
      <c r="F197" s="7" t="n">
        <v>385.2714233398438</v>
      </c>
      <c r="G197" s="7" t="n">
        <v>497.7214202880859</v>
      </c>
      <c r="H197" s="2" t="inlineStr">
        <is>
          <t>1:2.5</t>
        </is>
      </c>
      <c r="I197" s="2" t="n">
        <v>0</v>
      </c>
      <c r="J197" s="7" t="n">
        <v>0</v>
      </c>
      <c r="K197" s="2" t="inlineStr">
        <is>
          <t>PENDING</t>
        </is>
      </c>
      <c r="L197" s="2" t="inlineStr">
        <is>
          <t>Swing Scanner (STATE 3: Capitulation Bottom)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57">
      <c r="A198" s="2" t="inlineStr">
        <is>
          <t>2026-09-14</t>
        </is>
      </c>
      <c r="B198" s="2" t="inlineStr">
        <is>
          <t>BLUESTONE</t>
        </is>
      </c>
      <c r="C198" s="2" t="inlineStr">
        <is>
          <t>BLUESTONE</t>
        </is>
      </c>
      <c r="D198" s="2" t="inlineStr">
        <is>
          <t>98/100</t>
        </is>
      </c>
      <c r="E198" s="7" t="n">
        <v>890.3499755859375</v>
      </c>
      <c r="F198" s="7" t="n">
        <v>817.9928240094866</v>
      </c>
      <c r="G198" s="7" t="n">
        <v>1071.242854527065</v>
      </c>
      <c r="H198" s="2" t="inlineStr">
        <is>
          <t>1:2.5</t>
        </is>
      </c>
      <c r="I198" s="2" t="n">
        <v>0</v>
      </c>
      <c r="J198" s="7" t="n">
        <v>0</v>
      </c>
      <c r="K198" s="2" t="inlineStr">
        <is>
          <t>PENDING</t>
        </is>
      </c>
      <c r="L198" s="2" t="inlineStr">
        <is>
          <t>Swing Scanner (STATE 3: Capitulation Bottom)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57">
      <c r="A199" s="2" t="inlineStr">
        <is>
          <t>2026-09-14</t>
        </is>
      </c>
      <c r="B199" s="2" t="inlineStr">
        <is>
          <t>GRANULES</t>
        </is>
      </c>
      <c r="C199" s="2" t="inlineStr">
        <is>
          <t>Granules India Limited</t>
        </is>
      </c>
      <c r="D199" s="2" t="inlineStr">
        <is>
          <t>98/100</t>
        </is>
      </c>
      <c r="E199" s="7" t="n">
        <v>909.2999877929688</v>
      </c>
      <c r="F199" s="7" t="n">
        <v>857.2499825613839</v>
      </c>
      <c r="G199" s="7" t="n">
        <v>1039.425000871931</v>
      </c>
      <c r="H199" s="2" t="inlineStr">
        <is>
          <t>1:2.5</t>
        </is>
      </c>
      <c r="I199" s="2" t="n">
        <v>0</v>
      </c>
      <c r="J199" s="7" t="n">
        <v>0</v>
      </c>
      <c r="K199" s="2" t="inlineStr">
        <is>
          <t>PENDING</t>
        </is>
      </c>
      <c r="L199" s="2" t="inlineStr">
        <is>
          <t>Swing Scanner (STATE 3: Capitulation Bottom)</t>
        </is>
      </c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57">
      <c r="A200" s="2" t="inlineStr">
        <is>
          <t>2026-09-14</t>
        </is>
      </c>
      <c r="B200" s="2" t="inlineStr">
        <is>
          <t>ULTRACEMCO</t>
        </is>
      </c>
      <c r="C200" s="2" t="inlineStr">
        <is>
          <t>UltraTech Cement Limited</t>
        </is>
      </c>
      <c r="D200" s="2" t="inlineStr">
        <is>
          <t>100/100</t>
        </is>
      </c>
      <c r="E200" s="7" t="n">
        <v>11000</v>
      </c>
      <c r="F200" s="7" t="n">
        <v>10892.9</v>
      </c>
      <c r="G200" s="7" t="n">
        <v>11267.75</v>
      </c>
      <c r="H200" s="2" t="inlineStr">
        <is>
          <t>1:2.5</t>
        </is>
      </c>
      <c r="I200" s="2" t="n">
        <v>0</v>
      </c>
      <c r="J200" s="7" t="n">
        <v>0</v>
      </c>
      <c r="K200" s="2" t="inlineStr">
        <is>
          <t>PENDING</t>
        </is>
      </c>
      <c r="L200" s="2" t="inlineStr">
        <is>
          <t>Intraday Scanner (STATE 3: Capitulation Bottom)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57">
      <c r="A201" s="2" t="inlineStr">
        <is>
          <t>2026-09-14</t>
        </is>
      </c>
      <c r="B201" s="2" t="inlineStr">
        <is>
          <t>PIDILITIND</t>
        </is>
      </c>
      <c r="C201" s="2" t="inlineStr">
        <is>
          <t>Pidilite Industries Limited</t>
        </is>
      </c>
      <c r="D201" s="2" t="inlineStr">
        <is>
          <t>100/100</t>
        </is>
      </c>
      <c r="E201" s="7" t="n">
        <v>1566.9</v>
      </c>
      <c r="F201" s="7" t="n">
        <v>1551.3</v>
      </c>
      <c r="G201" s="7" t="n">
        <v>1605.9</v>
      </c>
      <c r="H201" s="2" t="inlineStr">
        <is>
          <t>1:2.5</t>
        </is>
      </c>
      <c r="I201" s="2" t="n">
        <v>0</v>
      </c>
      <c r="J201" s="7" t="n">
        <v>0</v>
      </c>
      <c r="K201" s="2" t="inlineStr">
        <is>
          <t>PENDING</t>
        </is>
      </c>
      <c r="L201" s="2" t="inlineStr">
        <is>
          <t>Intraday Scanner (STATE 3: Capitulation Bottom)</t>
        </is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57">
      <c r="A202" s="2" t="inlineStr">
        <is>
          <t>2026-09-14</t>
        </is>
      </c>
      <c r="B202" s="2" t="inlineStr">
        <is>
          <t>SIEMENS</t>
        </is>
      </c>
      <c r="C202" s="2" t="inlineStr">
        <is>
          <t>Siemens Limited</t>
        </is>
      </c>
      <c r="D202" s="2" t="inlineStr">
        <is>
          <t>100/100</t>
        </is>
      </c>
      <c r="E202" s="7" t="n">
        <v>3957</v>
      </c>
      <c r="F202" s="7" t="n">
        <v>3913.6</v>
      </c>
      <c r="G202" s="7" t="n">
        <v>4065.45</v>
      </c>
      <c r="H202" s="2" t="inlineStr">
        <is>
          <t>1:2.5</t>
        </is>
      </c>
      <c r="I202" s="2" t="n">
        <v>0</v>
      </c>
      <c r="J202" s="7" t="n">
        <v>0</v>
      </c>
      <c r="K202" s="2" t="inlineStr">
        <is>
          <t>PENDING</t>
        </is>
      </c>
      <c r="L202" s="2" t="inlineStr">
        <is>
          <t>Intraday Scanner (STATE 3: Capitulation Bottom)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57">
      <c r="A203" s="2" t="inlineStr">
        <is>
          <t>2026-09-14</t>
        </is>
      </c>
      <c r="B203" s="2" t="inlineStr">
        <is>
          <t>TATACHEM</t>
        </is>
      </c>
      <c r="C203" s="2" t="inlineStr">
        <is>
          <t>Tata Chemicals Limited</t>
        </is>
      </c>
      <c r="D203" s="2" t="inlineStr">
        <is>
          <t>100/100</t>
        </is>
      </c>
      <c r="E203" s="7" t="n">
        <v>612.45</v>
      </c>
      <c r="F203" s="7" t="n">
        <v>607.4</v>
      </c>
      <c r="G203" s="7" t="n">
        <v>625.15</v>
      </c>
      <c r="H203" s="2" t="inlineStr">
        <is>
          <t>1:2.5</t>
        </is>
      </c>
      <c r="I203" s="2" t="n">
        <v>0</v>
      </c>
      <c r="J203" s="7" t="n">
        <v>0</v>
      </c>
      <c r="K203" s="2" t="inlineStr">
        <is>
          <t>PENDING</t>
        </is>
      </c>
      <c r="L203" s="2" t="inlineStr">
        <is>
          <t>Intraday Scanner (STATE 3: Capitulation Bottom)</t>
        </is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57">
      <c r="A204" s="2" t="inlineStr">
        <is>
          <t>2026-09-14</t>
        </is>
      </c>
      <c r="B204" s="2" t="inlineStr">
        <is>
          <t>MANKIND</t>
        </is>
      </c>
      <c r="C204" s="2" t="inlineStr">
        <is>
          <t>Mankind Pharma Limited</t>
        </is>
      </c>
      <c r="D204" s="2" t="inlineStr">
        <is>
          <t>100/100</t>
        </is>
      </c>
      <c r="E204" s="7" t="n">
        <v>2280</v>
      </c>
      <c r="F204" s="7" t="n">
        <v>2247.45</v>
      </c>
      <c r="G204" s="7" t="n">
        <v>2361.4</v>
      </c>
      <c r="H204" s="2" t="inlineStr">
        <is>
          <t>1:2.5</t>
        </is>
      </c>
      <c r="I204" s="2" t="n">
        <v>0</v>
      </c>
      <c r="J204" s="7" t="n">
        <v>0</v>
      </c>
      <c r="K204" s="2" t="inlineStr">
        <is>
          <t>PENDING</t>
        </is>
      </c>
      <c r="L204" s="2" t="inlineStr">
        <is>
          <t>Intraday Scanner (STATE 3: Capitulation Bottom)</t>
        </is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57">
      <c r="A205" s="2" t="inlineStr">
        <is>
          <t>2026-09-15</t>
        </is>
      </c>
      <c r="B205" s="2" t="inlineStr">
        <is>
          <t>EMMVEE</t>
        </is>
      </c>
      <c r="C205" s="2" t="inlineStr">
        <is>
          <t>EMMVEE</t>
        </is>
      </c>
      <c r="D205" s="2" t="inlineStr">
        <is>
          <t>100/100</t>
        </is>
      </c>
      <c r="E205" s="7" t="n">
        <v>346</v>
      </c>
      <c r="F205" s="7" t="n">
        <v>325.3428519112723</v>
      </c>
      <c r="G205" s="7" t="n">
        <v>397.6428702218192</v>
      </c>
      <c r="H205" s="2" t="inlineStr">
        <is>
          <t>1:2.5</t>
        </is>
      </c>
      <c r="I205" s="2" t="n">
        <v>0</v>
      </c>
      <c r="J205" s="7" t="n">
        <v>0</v>
      </c>
      <c r="K205" s="2" t="inlineStr">
        <is>
          <t>PENDING</t>
        </is>
      </c>
      <c r="L205" s="2" t="inlineStr">
        <is>
          <t>Swing Scanner (STATE 3: Capitulation Bottom)</t>
        </is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57">
      <c r="A206" s="2" t="inlineStr">
        <is>
          <t>2026-09-15</t>
        </is>
      </c>
      <c r="B206" s="2" t="inlineStr">
        <is>
          <t>HERITGFOOD</t>
        </is>
      </c>
      <c r="C206" s="2" t="inlineStr">
        <is>
          <t>Heritage Foods Limited</t>
        </is>
      </c>
      <c r="D206" s="2" t="inlineStr">
        <is>
          <t>98/100</t>
        </is>
      </c>
      <c r="E206" s="7" t="n">
        <v>417.3999938964844</v>
      </c>
      <c r="F206" s="7" t="n">
        <v>385.2714233398438</v>
      </c>
      <c r="G206" s="7" t="n">
        <v>497.7214202880859</v>
      </c>
      <c r="H206" s="2" t="inlineStr">
        <is>
          <t>1:2.5</t>
        </is>
      </c>
      <c r="I206" s="2" t="n">
        <v>0</v>
      </c>
      <c r="J206" s="7" t="n">
        <v>0</v>
      </c>
      <c r="K206" s="2" t="inlineStr">
        <is>
          <t>PENDING</t>
        </is>
      </c>
      <c r="L206" s="2" t="inlineStr">
        <is>
          <t>Swing Scanner (STATE 3: Capitulation Bottom)</t>
        </is>
      </c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57">
      <c r="A207" s="2" t="inlineStr">
        <is>
          <t>2026-09-15</t>
        </is>
      </c>
      <c r="B207" s="2" t="inlineStr">
        <is>
          <t>REDINGTON</t>
        </is>
      </c>
      <c r="C207" s="2" t="inlineStr">
        <is>
          <t>Redington Limited</t>
        </is>
      </c>
      <c r="D207" s="2" t="inlineStr">
        <is>
          <t>98/100</t>
        </is>
      </c>
      <c r="E207" s="7" t="n">
        <v>393.7000122070312</v>
      </c>
      <c r="F207" s="7" t="n">
        <v>365.8214416503906</v>
      </c>
      <c r="G207" s="7" t="n">
        <v>463.3964385986328</v>
      </c>
      <c r="H207" s="2" t="inlineStr">
        <is>
          <t>1:2.5</t>
        </is>
      </c>
      <c r="I207" s="2" t="n">
        <v>0</v>
      </c>
      <c r="J207" s="7" t="n">
        <v>0</v>
      </c>
      <c r="K207" s="2" t="inlineStr">
        <is>
          <t>PENDING</t>
        </is>
      </c>
      <c r="L207" s="2" t="inlineStr">
        <is>
          <t>Swing Scanner (STATE 3: Capitulation Bottom)</t>
        </is>
      </c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57">
      <c r="A208" s="2" t="inlineStr">
        <is>
          <t>2026-09-15</t>
        </is>
      </c>
      <c r="B208" s="2" t="inlineStr">
        <is>
          <t>GRANULES</t>
        </is>
      </c>
      <c r="C208" s="2" t="inlineStr">
        <is>
          <t>Granules India Limited</t>
        </is>
      </c>
      <c r="D208" s="2" t="inlineStr">
        <is>
          <t>98/100</t>
        </is>
      </c>
      <c r="E208" s="7" t="n">
        <v>909.2999877929688</v>
      </c>
      <c r="F208" s="7" t="n">
        <v>857.2499825613839</v>
      </c>
      <c r="G208" s="7" t="n">
        <v>1039.425000871931</v>
      </c>
      <c r="H208" s="2" t="inlineStr">
        <is>
          <t>1:2.5</t>
        </is>
      </c>
      <c r="I208" s="2" t="n">
        <v>0</v>
      </c>
      <c r="J208" s="7" t="n">
        <v>0</v>
      </c>
      <c r="K208" s="2" t="inlineStr">
        <is>
          <t>PENDING</t>
        </is>
      </c>
      <c r="L208" s="2" t="inlineStr">
        <is>
          <t>Swing Scanner (STATE 3: Capitulation Bottom)</t>
        </is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57">
      <c r="A209" s="2" t="inlineStr">
        <is>
          <t>2026-09-15</t>
        </is>
      </c>
      <c r="B209" s="2" t="inlineStr">
        <is>
          <t>BLUESTONE</t>
        </is>
      </c>
      <c r="C209" s="2" t="inlineStr">
        <is>
          <t>BLUESTONE</t>
        </is>
      </c>
      <c r="D209" s="2" t="inlineStr">
        <is>
          <t>98/100</t>
        </is>
      </c>
      <c r="E209" s="7" t="n">
        <v>890.3499755859375</v>
      </c>
      <c r="F209" s="7" t="n">
        <v>817.9928240094866</v>
      </c>
      <c r="G209" s="7" t="n">
        <v>1071.242854527065</v>
      </c>
      <c r="H209" s="2" t="inlineStr">
        <is>
          <t>1:2.5</t>
        </is>
      </c>
      <c r="I209" s="2" t="n">
        <v>0</v>
      </c>
      <c r="J209" s="7" t="n">
        <v>0</v>
      </c>
      <c r="K209" s="2" t="inlineStr">
        <is>
          <t>PENDING</t>
        </is>
      </c>
      <c r="L209" s="2" t="inlineStr">
        <is>
          <t>Swing Scanner (STATE 3: Capitulation Bottom)</t>
        </is>
      </c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57">
      <c r="A210" s="2" t="inlineStr">
        <is>
          <t>2026-09-16</t>
        </is>
      </c>
      <c r="B210" s="2" t="inlineStr">
        <is>
          <t>WSTCSTPAPR</t>
        </is>
      </c>
      <c r="C210" s="2" t="inlineStr">
        <is>
          <t>West Coast Paper Mills Limited</t>
        </is>
      </c>
      <c r="D210" s="2" t="inlineStr">
        <is>
          <t>95/100</t>
        </is>
      </c>
      <c r="E210" s="7" t="n">
        <v>713.2999877929688</v>
      </c>
      <c r="F210" s="7" t="n">
        <v>652.8213936941964</v>
      </c>
      <c r="G210" s="7" t="n">
        <v>864.4964730398996</v>
      </c>
      <c r="H210" s="2" t="inlineStr">
        <is>
          <t>1:2.5</t>
        </is>
      </c>
      <c r="I210" s="2" t="n">
        <v>0</v>
      </c>
      <c r="J210" s="7" t="n">
        <v>0</v>
      </c>
      <c r="K210" s="2" t="inlineStr">
        <is>
          <t>PENDING</t>
        </is>
      </c>
      <c r="L210" s="2" t="inlineStr">
        <is>
          <t>Swing Scanner (STATE 3: Capitulation Bottom)</t>
        </is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57">
      <c r="A211" s="2" t="inlineStr">
        <is>
          <t>2026-09-16</t>
        </is>
      </c>
      <c r="B211" s="2" t="inlineStr">
        <is>
          <t>EMCURE</t>
        </is>
      </c>
      <c r="C211" s="2" t="inlineStr">
        <is>
          <t>EMCURE</t>
        </is>
      </c>
      <c r="D211" s="2" t="inlineStr">
        <is>
          <t>95/100</t>
        </is>
      </c>
      <c r="E211" s="7" t="n">
        <v>1993</v>
      </c>
      <c r="F211" s="7" t="n">
        <v>1901.87120391974</v>
      </c>
      <c r="G211" s="7" t="n">
        <v>2220.821990200651</v>
      </c>
      <c r="H211" s="2" t="inlineStr">
        <is>
          <t>1:2.5</t>
        </is>
      </c>
      <c r="I211" s="2" t="n">
        <v>0</v>
      </c>
      <c r="J211" s="7" t="n">
        <v>0</v>
      </c>
      <c r="K211" s="2" t="inlineStr">
        <is>
          <t>PENDING</t>
        </is>
      </c>
      <c r="L211" s="2" t="inlineStr">
        <is>
          <t>Swing Scanner (STATE 3: Capitulation Bottom)</t>
        </is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57">
      <c r="A212" s="2" t="inlineStr">
        <is>
          <t>2026-09-16</t>
        </is>
      </c>
      <c r="B212" s="2" t="inlineStr">
        <is>
          <t>BALAJITELE</t>
        </is>
      </c>
      <c r="C212" s="2" t="inlineStr">
        <is>
          <t>Balaji Telefilms Limited</t>
        </is>
      </c>
      <c r="D212" s="2" t="inlineStr">
        <is>
          <t>95/100</t>
        </is>
      </c>
      <c r="E212" s="7" t="n">
        <v>95.48000335693359</v>
      </c>
      <c r="F212" s="7" t="n">
        <v>89.01285879952567</v>
      </c>
      <c r="G212" s="7" t="n">
        <v>111.6478647504534</v>
      </c>
      <c r="H212" s="2" t="inlineStr">
        <is>
          <t>1:2.5</t>
        </is>
      </c>
      <c r="I212" s="2" t="n">
        <v>0</v>
      </c>
      <c r="J212" s="7" t="n">
        <v>0</v>
      </c>
      <c r="K212" s="2" t="inlineStr">
        <is>
          <t>PENDING</t>
        </is>
      </c>
      <c r="L212" s="2" t="inlineStr">
        <is>
          <t>Swing Scanner (STATE 3: Capitulation Bottom)</t>
        </is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57">
      <c r="A213" s="2" t="inlineStr">
        <is>
          <t>2026-09-16</t>
        </is>
      </c>
      <c r="B213" s="2" t="inlineStr">
        <is>
          <t>EMUDHRA</t>
        </is>
      </c>
      <c r="C213" s="2" t="inlineStr">
        <is>
          <t>eMudhra Limited</t>
        </is>
      </c>
      <c r="D213" s="2" t="inlineStr">
        <is>
          <t>95/100</t>
        </is>
      </c>
      <c r="E213" s="7" t="n">
        <v>592.8499755859375</v>
      </c>
      <c r="F213" s="7" t="n">
        <v>545.5713980538504</v>
      </c>
      <c r="G213" s="7" t="n">
        <v>711.0464194161551</v>
      </c>
      <c r="H213" s="2" t="inlineStr">
        <is>
          <t>1:2.5</t>
        </is>
      </c>
      <c r="I213" s="2" t="n">
        <v>0</v>
      </c>
      <c r="J213" s="7" t="n">
        <v>0</v>
      </c>
      <c r="K213" s="2" t="inlineStr">
        <is>
          <t>PENDING</t>
        </is>
      </c>
      <c r="L213" s="2" t="inlineStr">
        <is>
          <t>Swing Scanner (STATE 3: Capitulation Bottom)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57">
      <c r="A214" s="2" t="inlineStr">
        <is>
          <t>2026-09-16</t>
        </is>
      </c>
      <c r="B214" s="2" t="inlineStr">
        <is>
          <t>GMMPFAUDLR</t>
        </is>
      </c>
      <c r="C214" s="2" t="inlineStr">
        <is>
          <t>GMM Pfaudler Limited</t>
        </is>
      </c>
      <c r="D214" s="2" t="inlineStr">
        <is>
          <t>95/100</t>
        </is>
      </c>
      <c r="E214" s="7" t="n">
        <v>1348</v>
      </c>
      <c r="F214" s="7" t="n">
        <v>1231.907148088728</v>
      </c>
      <c r="G214" s="7" t="n">
        <v>1638.232129778181</v>
      </c>
      <c r="H214" s="2" t="inlineStr">
        <is>
          <t>1:2.5</t>
        </is>
      </c>
      <c r="I214" s="2" t="n">
        <v>0</v>
      </c>
      <c r="J214" s="7" t="n">
        <v>0</v>
      </c>
      <c r="K214" s="2" t="inlineStr">
        <is>
          <t>PENDING</t>
        </is>
      </c>
      <c r="L214" s="2" t="inlineStr">
        <is>
          <t>Swing Scanner (STATE 3: Capitulation Bottom)</t>
        </is>
      </c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57">
      <c r="A215" s="2" t="inlineStr">
        <is>
          <t>2026-09-16</t>
        </is>
      </c>
      <c r="B215" s="2" t="inlineStr">
        <is>
          <t>ONGC</t>
        </is>
      </c>
      <c r="C215" s="2" t="inlineStr">
        <is>
          <t>Oil and Natural Gas Corporation Limited</t>
        </is>
      </c>
      <c r="D215" s="2" t="inlineStr">
        <is>
          <t>100/100</t>
        </is>
      </c>
      <c r="E215" s="7" t="n">
        <v>236.8</v>
      </c>
      <c r="F215" s="7" t="n">
        <v>233.6</v>
      </c>
      <c r="G215" s="7" t="n">
        <v>244.75</v>
      </c>
      <c r="H215" s="2" t="inlineStr">
        <is>
          <t>1:2.5</t>
        </is>
      </c>
      <c r="I215" s="2" t="n">
        <v>0</v>
      </c>
      <c r="J215" s="7" t="n">
        <v>0</v>
      </c>
      <c r="K215" s="2" t="inlineStr">
        <is>
          <t>PENDING</t>
        </is>
      </c>
      <c r="L215" s="2" t="inlineStr">
        <is>
          <t>Intraday Scanner (STATE 3: Capitulation Bottom)</t>
        </is>
      </c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57">
      <c r="A216" s="2" t="inlineStr">
        <is>
          <t>2026-09-16</t>
        </is>
      </c>
      <c r="B216" s="2" t="inlineStr">
        <is>
          <t>BAJAJ-AUTO</t>
        </is>
      </c>
      <c r="C216" s="2" t="inlineStr">
        <is>
          <t>Bajaj Auto Limited</t>
        </is>
      </c>
      <c r="D216" s="2" t="inlineStr">
        <is>
          <t>100/100</t>
        </is>
      </c>
      <c r="E216" s="7" t="n">
        <v>11593</v>
      </c>
      <c r="F216" s="7" t="n">
        <v>11461.9</v>
      </c>
      <c r="G216" s="7" t="n">
        <v>11920.75</v>
      </c>
      <c r="H216" s="2" t="inlineStr">
        <is>
          <t>1:2.5</t>
        </is>
      </c>
      <c r="I216" s="2" t="n">
        <v>0</v>
      </c>
      <c r="J216" s="7" t="n">
        <v>0</v>
      </c>
      <c r="K216" s="2" t="inlineStr">
        <is>
          <t>PENDING</t>
        </is>
      </c>
      <c r="L216" s="2" t="inlineStr">
        <is>
          <t>Intraday Scanner (STATE 3: Capitulation Bottom)</t>
        </is>
      </c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57">
      <c r="A217" s="2" t="inlineStr">
        <is>
          <t>2026-09-16</t>
        </is>
      </c>
      <c r="B217" s="2" t="inlineStr">
        <is>
          <t>MGL</t>
        </is>
      </c>
      <c r="C217" s="2" t="inlineStr">
        <is>
          <t>Mahanagar Gas Limited</t>
        </is>
      </c>
      <c r="D217" s="2" t="inlineStr">
        <is>
          <t>100/100</t>
        </is>
      </c>
      <c r="E217" s="7" t="n">
        <v>1077</v>
      </c>
      <c r="F217" s="7" t="n">
        <v>1059.05</v>
      </c>
      <c r="G217" s="7" t="n">
        <v>1121.95</v>
      </c>
      <c r="H217" s="2" t="inlineStr">
        <is>
          <t>1:2.5</t>
        </is>
      </c>
      <c r="I217" s="2" t="n">
        <v>0</v>
      </c>
      <c r="J217" s="7" t="n">
        <v>0</v>
      </c>
      <c r="K217" s="2" t="inlineStr">
        <is>
          <t>PENDING</t>
        </is>
      </c>
      <c r="L217" s="2" t="inlineStr">
        <is>
          <t>Intraday Scanner (STATE 3: Capitulation Bottom)</t>
        </is>
      </c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57">
      <c r="A218" s="2" t="inlineStr">
        <is>
          <t>2026-09-16</t>
        </is>
      </c>
      <c r="B218" s="2" t="inlineStr">
        <is>
          <t>CARBORUNIV</t>
        </is>
      </c>
      <c r="C218" s="2" t="inlineStr">
        <is>
          <t>Carborundum Universal Limited</t>
        </is>
      </c>
      <c r="D218" s="2" t="inlineStr">
        <is>
          <t>100/100</t>
        </is>
      </c>
      <c r="E218" s="7" t="n">
        <v>1051.6</v>
      </c>
      <c r="F218" s="7" t="n">
        <v>1020.45</v>
      </c>
      <c r="G218" s="7" t="n">
        <v>1129.55</v>
      </c>
      <c r="H218" s="2" t="inlineStr">
        <is>
          <t>1:2.5</t>
        </is>
      </c>
      <c r="I218" s="2" t="n">
        <v>0</v>
      </c>
      <c r="J218" s="7" t="n">
        <v>0</v>
      </c>
      <c r="K218" s="2" t="inlineStr">
        <is>
          <t>PENDING</t>
        </is>
      </c>
      <c r="L218" s="2" t="inlineStr">
        <is>
          <t>Intraday Scanner (STATE 3: Capitulation Bottom)</t>
        </is>
      </c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57">
      <c r="A219" s="2" t="inlineStr">
        <is>
          <t>2026-09-16</t>
        </is>
      </c>
      <c r="B219" s="2" t="inlineStr">
        <is>
          <t>BRIGADE</t>
        </is>
      </c>
      <c r="C219" s="2" t="inlineStr">
        <is>
          <t>Brigade Enterprises Limited</t>
        </is>
      </c>
      <c r="D219" s="2" t="inlineStr">
        <is>
          <t>98/100</t>
        </is>
      </c>
      <c r="E219" s="7" t="n">
        <v>626.85</v>
      </c>
      <c r="F219" s="7" t="n">
        <v>607.1</v>
      </c>
      <c r="G219" s="7" t="n">
        <v>676.15</v>
      </c>
      <c r="H219" s="2" t="inlineStr">
        <is>
          <t>1:2.5</t>
        </is>
      </c>
      <c r="I219" s="2" t="n">
        <v>0</v>
      </c>
      <c r="J219" s="7" t="n">
        <v>0</v>
      </c>
      <c r="K219" s="2" t="inlineStr">
        <is>
          <t>PENDING</t>
        </is>
      </c>
      <c r="L219" s="2" t="inlineStr">
        <is>
          <t>Intraday Scanner (STATE 3: Capitulation Bottom)</t>
        </is>
      </c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57">
      <c r="A220" s="2" t="inlineStr">
        <is>
          <t>2026-09-17</t>
        </is>
      </c>
      <c r="B220" s="2" t="inlineStr">
        <is>
          <t>EXCELSOFT</t>
        </is>
      </c>
      <c r="C220" s="2" t="inlineStr">
        <is>
          <t>EXCELSOFT</t>
        </is>
      </c>
      <c r="D220" s="2" t="inlineStr">
        <is>
          <t>98/100</t>
        </is>
      </c>
      <c r="E220" s="7" t="n">
        <v>80.16999816894531</v>
      </c>
      <c r="F220" s="7" t="n">
        <v>72.62856946672711</v>
      </c>
      <c r="G220" s="7" t="n">
        <v>99.0235699244908</v>
      </c>
      <c r="H220" s="2" t="inlineStr">
        <is>
          <t>1:2.5</t>
        </is>
      </c>
      <c r="I220" s="2" t="n">
        <v>0</v>
      </c>
      <c r="J220" s="7" t="n">
        <v>0</v>
      </c>
      <c r="K220" s="2" t="inlineStr">
        <is>
          <t>PENDING</t>
        </is>
      </c>
      <c r="L220" s="2" t="inlineStr">
        <is>
          <t>Swing Scanner (STATE 3: Capitulation Bottom)</t>
        </is>
      </c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7">
      <c r="A221" s="2" t="inlineStr">
        <is>
          <t>2026-09-17</t>
        </is>
      </c>
      <c r="B221" s="2" t="inlineStr">
        <is>
          <t>FILATEX</t>
        </is>
      </c>
      <c r="C221" s="2" t="inlineStr">
        <is>
          <t>Filatex India Limited</t>
        </is>
      </c>
      <c r="D221" s="2" t="inlineStr">
        <is>
          <t>98/100</t>
        </is>
      </c>
      <c r="E221" s="7" t="n">
        <v>87.22000122070312</v>
      </c>
      <c r="F221" s="7" t="n">
        <v>78.02662538881161</v>
      </c>
      <c r="G221" s="7" t="n">
        <v>110.2034408004319</v>
      </c>
      <c r="H221" s="2" t="inlineStr">
        <is>
          <t>1:2.5</t>
        </is>
      </c>
      <c r="I221" s="2" t="n">
        <v>0</v>
      </c>
      <c r="J221" s="7" t="n">
        <v>0</v>
      </c>
      <c r="K221" s="2" t="inlineStr">
        <is>
          <t>PENDING</t>
        </is>
      </c>
      <c r="L221" s="2" t="inlineStr">
        <is>
          <t>Swing Scanner (STATE 3: Capitulation Bottom)</t>
        </is>
      </c>
    </row>
    <row r="222" ht="15.75" customHeight="1" s="57">
      <c r="A222" s="2" t="inlineStr">
        <is>
          <t>2026-09-17</t>
        </is>
      </c>
      <c r="B222" s="2" t="inlineStr">
        <is>
          <t>HLEGLAS</t>
        </is>
      </c>
      <c r="C222" s="2" t="inlineStr">
        <is>
          <t>HLE Glascoat Limited</t>
        </is>
      </c>
      <c r="D222" s="2" t="inlineStr">
        <is>
          <t>95/100</t>
        </is>
      </c>
      <c r="E222" s="7" t="n">
        <v>416.8500061035156</v>
      </c>
      <c r="F222" s="7" t="n">
        <v>376.5999973842076</v>
      </c>
      <c r="G222" s="7" t="n">
        <v>517.4750279017857</v>
      </c>
      <c r="H222" s="2" t="inlineStr">
        <is>
          <t>1:2.5</t>
        </is>
      </c>
      <c r="I222" s="2" t="n">
        <v>0</v>
      </c>
      <c r="J222" s="7" t="n">
        <v>0</v>
      </c>
      <c r="K222" s="2" t="inlineStr">
        <is>
          <t>PENDING</t>
        </is>
      </c>
      <c r="L222" s="2" t="inlineStr">
        <is>
          <t>Swing Scanner (STATE 3: Capitulation Bottom)</t>
        </is>
      </c>
    </row>
    <row r="223" ht="15.75" customHeight="1" s="57">
      <c r="A223" s="2" t="inlineStr">
        <is>
          <t>2026-09-17</t>
        </is>
      </c>
      <c r="B223" s="2" t="inlineStr">
        <is>
          <t>TATACOMM</t>
        </is>
      </c>
      <c r="C223" s="2" t="inlineStr">
        <is>
          <t>Tata Communications Limited</t>
        </is>
      </c>
      <c r="D223" s="2" t="inlineStr">
        <is>
          <t>95/100</t>
        </is>
      </c>
      <c r="E223" s="7" t="n">
        <v>1799.300048828125</v>
      </c>
      <c r="F223" s="7" t="n">
        <v>1709.942888532366</v>
      </c>
      <c r="G223" s="7" t="n">
        <v>2022.692949567522</v>
      </c>
      <c r="H223" s="2" t="inlineStr">
        <is>
          <t>1:2.5</t>
        </is>
      </c>
      <c r="I223" s="2" t="n">
        <v>0</v>
      </c>
      <c r="J223" s="7" t="n">
        <v>0</v>
      </c>
      <c r="K223" s="2" t="inlineStr">
        <is>
          <t>PENDING</t>
        </is>
      </c>
      <c r="L223" s="2" t="inlineStr">
        <is>
          <t>Swing Scanner (STATE 3: Capitulation Bottom)</t>
        </is>
      </c>
    </row>
    <row r="224" ht="15.75" customHeight="1" s="57">
      <c r="A224" s="2" t="inlineStr">
        <is>
          <t>2026-09-17</t>
        </is>
      </c>
      <c r="B224" s="2" t="inlineStr">
        <is>
          <t>GPTHEALTH</t>
        </is>
      </c>
      <c r="C224" s="2" t="inlineStr">
        <is>
          <t>GPT Healthcare Limited</t>
        </is>
      </c>
      <c r="D224" s="2" t="inlineStr">
        <is>
          <t>95/100</t>
        </is>
      </c>
      <c r="E224" s="7" t="n">
        <v>163.3000030517578</v>
      </c>
      <c r="F224" s="7" t="n">
        <v>153.5371551513672</v>
      </c>
      <c r="G224" s="7" t="n">
        <v>187.7071228027344</v>
      </c>
      <c r="H224" s="2" t="inlineStr">
        <is>
          <t>1:2.5</t>
        </is>
      </c>
      <c r="I224" s="2" t="n">
        <v>0</v>
      </c>
      <c r="J224" s="7" t="n">
        <v>0</v>
      </c>
      <c r="K224" s="2" t="inlineStr">
        <is>
          <t>PENDING</t>
        </is>
      </c>
      <c r="L224" s="2" t="inlineStr">
        <is>
          <t>Swing Scanner (STATE 3: Capitulation Bottom)</t>
        </is>
      </c>
    </row>
    <row r="225" ht="15.75" customHeight="1" s="57">
      <c r="A225" s="2" t="inlineStr">
        <is>
          <t>2026-09-17</t>
        </is>
      </c>
      <c r="B225" s="2" t="inlineStr">
        <is>
          <t>HCLTECH</t>
        </is>
      </c>
      <c r="C225" s="2" t="inlineStr">
        <is>
          <t>HCL Technologies Limited</t>
        </is>
      </c>
      <c r="D225" s="2" t="inlineStr">
        <is>
          <t>100/100</t>
        </is>
      </c>
      <c r="E225" s="7" t="n">
        <v>1258.3</v>
      </c>
      <c r="F225" s="7" t="n">
        <v>1230.2</v>
      </c>
      <c r="G225" s="7" t="n">
        <v>1328.5</v>
      </c>
      <c r="H225" s="2" t="inlineStr">
        <is>
          <t>1:2.5</t>
        </is>
      </c>
      <c r="I225" s="2" t="n">
        <v>0</v>
      </c>
      <c r="J225" s="7" t="n">
        <v>0</v>
      </c>
      <c r="K225" s="2" t="inlineStr">
        <is>
          <t>PENDING</t>
        </is>
      </c>
      <c r="L225" s="2" t="inlineStr">
        <is>
          <t>Intraday Scanner (STATE 3: Capitulation Bottom)</t>
        </is>
      </c>
    </row>
    <row r="226" ht="15.75" customHeight="1" s="57">
      <c r="A226" s="2" t="inlineStr">
        <is>
          <t>2026-09-17</t>
        </is>
      </c>
      <c r="B226" s="2" t="inlineStr">
        <is>
          <t>ASIANPAINT</t>
        </is>
      </c>
      <c r="C226" s="2" t="inlineStr">
        <is>
          <t>Asian Paints Limited</t>
        </is>
      </c>
      <c r="D226" s="2" t="inlineStr">
        <is>
          <t>100/100</t>
        </is>
      </c>
      <c r="E226" s="7" t="n">
        <v>2454</v>
      </c>
      <c r="F226" s="7" t="n">
        <v>2431.65</v>
      </c>
      <c r="G226" s="7" t="n">
        <v>2509.9</v>
      </c>
      <c r="H226" s="2" t="inlineStr">
        <is>
          <t>1:2.5</t>
        </is>
      </c>
      <c r="I226" s="2" t="n">
        <v>0</v>
      </c>
      <c r="J226" s="7" t="n">
        <v>0</v>
      </c>
      <c r="K226" s="2" t="inlineStr">
        <is>
          <t>PENDING</t>
        </is>
      </c>
      <c r="L226" s="2" t="inlineStr">
        <is>
          <t>Intraday Scanner (STATE 3: Capitulation Bottom)</t>
        </is>
      </c>
    </row>
    <row r="227" ht="15.75" customHeight="1" s="57">
      <c r="A227" s="2" t="inlineStr">
        <is>
          <t>2026-09-17</t>
        </is>
      </c>
      <c r="B227" s="2" t="inlineStr">
        <is>
          <t>ABB</t>
        </is>
      </c>
      <c r="C227" s="2" t="inlineStr">
        <is>
          <t>ABB India Limited</t>
        </is>
      </c>
      <c r="D227" s="2" t="inlineStr">
        <is>
          <t>100/100</t>
        </is>
      </c>
      <c r="E227" s="7" t="n">
        <v>7130.5</v>
      </c>
      <c r="F227" s="7" t="n">
        <v>7004.95</v>
      </c>
      <c r="G227" s="7" t="n">
        <v>7444.4</v>
      </c>
      <c r="H227" s="2" t="inlineStr">
        <is>
          <t>1:2.5</t>
        </is>
      </c>
      <c r="I227" s="2" t="n">
        <v>0</v>
      </c>
      <c r="J227" s="7" t="n">
        <v>0</v>
      </c>
      <c r="K227" s="2" t="inlineStr">
        <is>
          <t>PENDING</t>
        </is>
      </c>
      <c r="L227" s="2" t="inlineStr">
        <is>
          <t>Intraday Scanner (STATE 3: Capitulation Bottom)</t>
        </is>
      </c>
    </row>
    <row r="228" ht="15.75" customHeight="1" s="57">
      <c r="A228" s="2" t="inlineStr">
        <is>
          <t>2026-09-17</t>
        </is>
      </c>
      <c r="B228" s="2" t="inlineStr">
        <is>
          <t>COCHINSHIP</t>
        </is>
      </c>
      <c r="C228" s="2" t="inlineStr">
        <is>
          <t>Cochin Shipyard Limited</t>
        </is>
      </c>
      <c r="D228" s="2" t="inlineStr">
        <is>
          <t>100/100</t>
        </is>
      </c>
      <c r="E228" s="7" t="n">
        <v>1334.3</v>
      </c>
      <c r="F228" s="7" t="n">
        <v>1274.05</v>
      </c>
      <c r="G228" s="7" t="n">
        <v>1485</v>
      </c>
      <c r="H228" s="2" t="inlineStr">
        <is>
          <t>1:2.5</t>
        </is>
      </c>
      <c r="I228" s="2" t="n">
        <v>0</v>
      </c>
      <c r="J228" s="7" t="n">
        <v>0</v>
      </c>
      <c r="K228" s="2" t="inlineStr">
        <is>
          <t>PENDING</t>
        </is>
      </c>
      <c r="L228" s="2" t="inlineStr">
        <is>
          <t>Intraday Scanner (STATE 3: Capitulation Bottom)</t>
        </is>
      </c>
    </row>
    <row r="229" ht="15.75" customHeight="1" s="57">
      <c r="A229" s="2" t="inlineStr">
        <is>
          <t>2026-09-17</t>
        </is>
      </c>
      <c r="B229" s="2" t="inlineStr">
        <is>
          <t>BIOCON</t>
        </is>
      </c>
      <c r="C229" s="2" t="inlineStr">
        <is>
          <t>Biocon Limited</t>
        </is>
      </c>
      <c r="D229" s="2" t="inlineStr">
        <is>
          <t>100/100</t>
        </is>
      </c>
      <c r="E229" s="7" t="n">
        <v>380</v>
      </c>
      <c r="F229" s="7" t="n">
        <v>372.2</v>
      </c>
      <c r="G229" s="7" t="n">
        <v>399.55</v>
      </c>
      <c r="H229" s="2" t="inlineStr">
        <is>
          <t>1:2.5</t>
        </is>
      </c>
      <c r="I229" s="2" t="n">
        <v>0</v>
      </c>
      <c r="J229" s="7" t="n">
        <v>0</v>
      </c>
      <c r="K229" s="2" t="inlineStr">
        <is>
          <t>PENDING</t>
        </is>
      </c>
      <c r="L229" s="2" t="inlineStr">
        <is>
          <t>Intraday Scanner (STATE 3: Capitulation Bottom)</t>
        </is>
      </c>
    </row>
    <row r="230" ht="15.75" customHeight="1" s="57">
      <c r="A230" s="2" t="inlineStr">
        <is>
          <t>2026-09-18</t>
        </is>
      </c>
      <c r="B230" s="2" t="inlineStr">
        <is>
          <t>SYRMA</t>
        </is>
      </c>
      <c r="C230" s="2" t="inlineStr">
        <is>
          <t>Syrma SGS Technology Limited</t>
        </is>
      </c>
      <c r="D230" s="2" t="inlineStr">
        <is>
          <t>98/100</t>
        </is>
      </c>
      <c r="E230" s="7" t="n">
        <v>1617.699951171875</v>
      </c>
      <c r="F230" s="7" t="n">
        <v>1476.457066127232</v>
      </c>
      <c r="G230" s="7" t="n">
        <v>1970.807163783482</v>
      </c>
      <c r="H230" s="2" t="inlineStr">
        <is>
          <t>1:2.5</t>
        </is>
      </c>
      <c r="I230" s="2" t="n">
        <v>0</v>
      </c>
      <c r="J230" s="7" t="n">
        <v>0</v>
      </c>
      <c r="K230" s="2" t="inlineStr">
        <is>
          <t>PENDING</t>
        </is>
      </c>
      <c r="L230" s="2" t="inlineStr">
        <is>
          <t>Swing Scanner (STATE 3: Capitulation Bottom)</t>
        </is>
      </c>
    </row>
    <row r="231" ht="15.75" customHeight="1" s="57">
      <c r="A231" s="2" t="inlineStr">
        <is>
          <t>2026-09-18</t>
        </is>
      </c>
      <c r="B231" s="2" t="inlineStr">
        <is>
          <t>BALAJITELE</t>
        </is>
      </c>
      <c r="C231" s="2" t="inlineStr">
        <is>
          <t>Balaji Telefilms Limited</t>
        </is>
      </c>
      <c r="D231" s="2" t="inlineStr">
        <is>
          <t>98/100</t>
        </is>
      </c>
      <c r="E231" s="7" t="n">
        <v>95.97000122070312</v>
      </c>
      <c r="F231" s="7" t="n">
        <v>88.48285675048828</v>
      </c>
      <c r="G231" s="7" t="n">
        <v>114.6878623962402</v>
      </c>
      <c r="H231" s="2" t="inlineStr">
        <is>
          <t>1:2.5</t>
        </is>
      </c>
      <c r="I231" s="2" t="n">
        <v>0</v>
      </c>
      <c r="J231" s="7" t="n">
        <v>0</v>
      </c>
      <c r="K231" s="2" t="inlineStr">
        <is>
          <t>PENDING</t>
        </is>
      </c>
      <c r="L231" s="2" t="inlineStr">
        <is>
          <t>Swing Scanner (STATE 3: Capitulation Bottom)</t>
        </is>
      </c>
    </row>
    <row r="232" ht="15.75" customHeight="1" s="57">
      <c r="A232" s="2" t="inlineStr">
        <is>
          <t>2026-09-18</t>
        </is>
      </c>
      <c r="B232" s="2" t="inlineStr">
        <is>
          <t>FILATEX</t>
        </is>
      </c>
      <c r="C232" s="2" t="inlineStr">
        <is>
          <t>Filatex India Limited</t>
        </is>
      </c>
      <c r="D232" s="2" t="inlineStr">
        <is>
          <t>98/100</t>
        </is>
      </c>
      <c r="E232" s="7" t="n">
        <v>90.34999847412109</v>
      </c>
      <c r="F232" s="7" t="n">
        <v>80.57835195773787</v>
      </c>
      <c r="G232" s="7" t="n">
        <v>114.7791147650792</v>
      </c>
      <c r="H232" s="2" t="inlineStr">
        <is>
          <t>1:2.5</t>
        </is>
      </c>
      <c r="I232" s="2" t="n">
        <v>0</v>
      </c>
      <c r="J232" s="7" t="n">
        <v>0</v>
      </c>
      <c r="K232" s="2" t="inlineStr">
        <is>
          <t>PENDING</t>
        </is>
      </c>
      <c r="L232" s="2" t="inlineStr">
        <is>
          <t>Swing Scanner (STATE 3: Capitulation Bottom)</t>
        </is>
      </c>
    </row>
    <row r="233" ht="15.75" customHeight="1" s="57">
      <c r="A233" s="2" t="inlineStr">
        <is>
          <t>2026-09-18</t>
        </is>
      </c>
      <c r="B233" s="2" t="inlineStr">
        <is>
          <t>REDINGTON</t>
        </is>
      </c>
      <c r="C233" s="2" t="inlineStr">
        <is>
          <t>Redington Limited</t>
        </is>
      </c>
      <c r="D233" s="2" t="inlineStr">
        <is>
          <t>98/100</t>
        </is>
      </c>
      <c r="E233" s="7" t="n">
        <v>400.1000061035156</v>
      </c>
      <c r="F233" s="7" t="n">
        <v>371.2857230050223</v>
      </c>
      <c r="G233" s="7" t="n">
        <v>472.1357138497489</v>
      </c>
      <c r="H233" s="2" t="inlineStr">
        <is>
          <t>1:2.5</t>
        </is>
      </c>
      <c r="I233" s="2" t="n">
        <v>0</v>
      </c>
      <c r="J233" s="7" t="n">
        <v>0</v>
      </c>
      <c r="K233" s="2" t="inlineStr">
        <is>
          <t>PENDING</t>
        </is>
      </c>
      <c r="L233" s="2" t="inlineStr">
        <is>
          <t>Swing Scanner (STATE 3: Capitulation Bottom)</t>
        </is>
      </c>
    </row>
    <row r="234" ht="15.75" customHeight="1" s="57">
      <c r="A234" s="2" t="inlineStr">
        <is>
          <t>2026-09-18</t>
        </is>
      </c>
      <c r="B234" s="2" t="inlineStr">
        <is>
          <t>YATHARTH</t>
        </is>
      </c>
      <c r="C234" s="2" t="inlineStr">
        <is>
          <t>Yatharth Hospital &amp; Trauma Care Services Limited</t>
        </is>
      </c>
      <c r="D234" s="2" t="inlineStr">
        <is>
          <t>98/100</t>
        </is>
      </c>
      <c r="E234" s="7" t="n">
        <v>1072.400024414062</v>
      </c>
      <c r="F234" s="7" t="n">
        <v>998.4428623744419</v>
      </c>
      <c r="G234" s="7" t="n">
        <v>1257.292929513114</v>
      </c>
      <c r="H234" s="2" t="inlineStr">
        <is>
          <t>1:2.5</t>
        </is>
      </c>
      <c r="I234" s="2" t="n">
        <v>0</v>
      </c>
      <c r="J234" s="7" t="n">
        <v>0</v>
      </c>
      <c r="K234" s="2" t="inlineStr">
        <is>
          <t>PENDING</t>
        </is>
      </c>
      <c r="L234" s="2" t="inlineStr">
        <is>
          <t>Swing Scanner (STATE 3: Capitulation Bottom)</t>
        </is>
      </c>
    </row>
    <row r="235" ht="15.75" customHeight="1" s="57">
      <c r="A235" s="2" t="inlineStr">
        <is>
          <t>2026-09-18</t>
        </is>
      </c>
      <c r="B235" s="2" t="inlineStr">
        <is>
          <t>CIPLA</t>
        </is>
      </c>
      <c r="C235" s="2" t="inlineStr">
        <is>
          <t>Cipla Limited</t>
        </is>
      </c>
      <c r="D235" s="2" t="inlineStr">
        <is>
          <t>100/100</t>
        </is>
      </c>
      <c r="E235" s="7" t="n">
        <v>1394.5</v>
      </c>
      <c r="F235" s="7" t="n">
        <v>1379.65</v>
      </c>
      <c r="G235" s="7" t="n">
        <v>1431.6</v>
      </c>
      <c r="H235" s="2" t="inlineStr">
        <is>
          <t>1:2.5</t>
        </is>
      </c>
      <c r="I235" s="2" t="n">
        <v>0</v>
      </c>
      <c r="J235" s="7" t="n">
        <v>0</v>
      </c>
      <c r="K235" s="2" t="inlineStr">
        <is>
          <t>PENDING</t>
        </is>
      </c>
      <c r="L235" s="2" t="inlineStr">
        <is>
          <t>Intraday Scanner (STATE 3: Capitulation Bottom)</t>
        </is>
      </c>
    </row>
    <row r="236" ht="15.75" customHeight="1" s="57">
      <c r="A236" s="2" t="inlineStr">
        <is>
          <t>2026-09-18</t>
        </is>
      </c>
      <c r="B236" s="2" t="inlineStr">
        <is>
          <t>GRASIM</t>
        </is>
      </c>
      <c r="C236" s="2" t="inlineStr">
        <is>
          <t>Grasim Industries Limited</t>
        </is>
      </c>
      <c r="D236" s="2" t="inlineStr">
        <is>
          <t>100/100</t>
        </is>
      </c>
      <c r="E236" s="7" t="n">
        <v>3209.2</v>
      </c>
      <c r="F236" s="7" t="n">
        <v>3175.3</v>
      </c>
      <c r="G236" s="7" t="n">
        <v>3293.95</v>
      </c>
      <c r="H236" s="2" t="inlineStr">
        <is>
          <t>1:2.5</t>
        </is>
      </c>
      <c r="I236" s="2" t="n">
        <v>0</v>
      </c>
      <c r="J236" s="7" t="n">
        <v>0</v>
      </c>
      <c r="K236" s="2" t="inlineStr">
        <is>
          <t>PENDING</t>
        </is>
      </c>
      <c r="L236" s="2" t="inlineStr">
        <is>
          <t>Intraday Scanner (STATE 3: Capitulation Bottom)</t>
        </is>
      </c>
    </row>
    <row r="237" ht="15.75" customHeight="1" s="57">
      <c r="A237" s="2" t="inlineStr">
        <is>
          <t>2026-09-18</t>
        </is>
      </c>
      <c r="B237" s="2" t="inlineStr">
        <is>
          <t>WIPRO</t>
        </is>
      </c>
      <c r="C237" s="2" t="inlineStr">
        <is>
          <t>Wipro Limited</t>
        </is>
      </c>
      <c r="D237" s="2" t="inlineStr">
        <is>
          <t>100/100</t>
        </is>
      </c>
      <c r="E237" s="7" t="n">
        <v>166.83</v>
      </c>
      <c r="F237" s="7" t="n">
        <v>163.85</v>
      </c>
      <c r="G237" s="7" t="n">
        <v>174.25</v>
      </c>
      <c r="H237" s="2" t="inlineStr">
        <is>
          <t>1:2.5</t>
        </is>
      </c>
      <c r="I237" s="2" t="n">
        <v>0</v>
      </c>
      <c r="J237" s="7" t="n">
        <v>0</v>
      </c>
      <c r="K237" s="2" t="inlineStr">
        <is>
          <t>PENDING</t>
        </is>
      </c>
      <c r="L237" s="2" t="inlineStr">
        <is>
          <t>Intraday Scanner (STATE 3: Capitulation Bottom)</t>
        </is>
      </c>
    </row>
    <row r="238" ht="15.75" customHeight="1" s="57">
      <c r="A238" s="2" t="inlineStr">
        <is>
          <t>2026-09-18</t>
        </is>
      </c>
      <c r="B238" s="2" t="inlineStr">
        <is>
          <t>APOLLOHOSP</t>
        </is>
      </c>
      <c r="C238" s="2" t="inlineStr">
        <is>
          <t>Apollo Hospitals Enterprise Limited</t>
        </is>
      </c>
      <c r="D238" s="2" t="inlineStr">
        <is>
          <t>100/100</t>
        </is>
      </c>
      <c r="E238" s="7" t="n">
        <v>8944.5</v>
      </c>
      <c r="F238" s="7" t="n">
        <v>8863.65</v>
      </c>
      <c r="G238" s="7" t="n">
        <v>9146.6</v>
      </c>
      <c r="H238" s="2" t="inlineStr">
        <is>
          <t>1:2.5</t>
        </is>
      </c>
      <c r="I238" s="2" t="n">
        <v>0</v>
      </c>
      <c r="J238" s="7" t="n">
        <v>0</v>
      </c>
      <c r="K238" s="2" t="inlineStr">
        <is>
          <t>PENDING</t>
        </is>
      </c>
      <c r="L238" s="2" t="inlineStr">
        <is>
          <t>Intraday Scanner (STATE 3: Capitulation Bottom)</t>
        </is>
      </c>
    </row>
    <row r="239" ht="15.75" customHeight="1" s="57">
      <c r="A239" s="2" t="inlineStr">
        <is>
          <t>2026-09-18</t>
        </is>
      </c>
      <c r="B239" s="2" t="inlineStr">
        <is>
          <t>SIEMENS</t>
        </is>
      </c>
      <c r="C239" s="2" t="inlineStr">
        <is>
          <t>Siemens Limited</t>
        </is>
      </c>
      <c r="D239" s="2" t="inlineStr">
        <is>
          <t>100/100</t>
        </is>
      </c>
      <c r="E239" s="7" t="n">
        <v>3913.9</v>
      </c>
      <c r="F239" s="7" t="n">
        <v>3832.4</v>
      </c>
      <c r="G239" s="7" t="n">
        <v>4117.6</v>
      </c>
      <c r="H239" s="2" t="inlineStr">
        <is>
          <t>1:2.5</t>
        </is>
      </c>
      <c r="I239" s="2" t="n">
        <v>0</v>
      </c>
      <c r="J239" s="7" t="n">
        <v>0</v>
      </c>
      <c r="K239" s="2" t="inlineStr">
        <is>
          <t>PENDING</t>
        </is>
      </c>
      <c r="L239" s="2" t="inlineStr">
        <is>
          <t>Intraday Scanner (STATE 3: Capitulation Bottom)</t>
        </is>
      </c>
    </row>
    <row r="240" ht="15.75" customHeight="1" s="57">
      <c r="A240" s="2" t="inlineStr">
        <is>
          <t>2026-09-21</t>
        </is>
      </c>
      <c r="B240" s="2" t="inlineStr">
        <is>
          <t>BCG</t>
        </is>
      </c>
      <c r="C240" s="2" t="inlineStr">
        <is>
          <t>Brightcom Group Limited</t>
        </is>
      </c>
      <c r="D240" s="2" t="inlineStr">
        <is>
          <t>98/100</t>
        </is>
      </c>
      <c r="E240" s="7" t="n">
        <v>10.26000022888184</v>
      </c>
      <c r="F240" s="7" t="n">
        <v>9.344285420009069</v>
      </c>
      <c r="G240" s="7" t="n">
        <v>12.54928725106376</v>
      </c>
      <c r="H240" s="2" t="inlineStr">
        <is>
          <t>1:2.5</t>
        </is>
      </c>
      <c r="I240" s="2" t="n">
        <v>5</v>
      </c>
      <c r="J240" s="7" t="n">
        <v>51.30000114440918</v>
      </c>
      <c r="K240" s="2" t="inlineStr">
        <is>
          <t>PENDING</t>
        </is>
      </c>
      <c r="L240" s="2" t="inlineStr">
        <is>
          <t>Swing Scanner (STATE 3: Capitulation Bottom)</t>
        </is>
      </c>
    </row>
    <row r="241" ht="15.75" customHeight="1" s="57">
      <c r="A241" s="2" t="inlineStr">
        <is>
          <t>2026-09-21</t>
        </is>
      </c>
      <c r="B241" s="2" t="inlineStr">
        <is>
          <t>JAYKAY</t>
        </is>
      </c>
      <c r="C241" s="2" t="inlineStr">
        <is>
          <t>Jaykay Enterprises Limited</t>
        </is>
      </c>
      <c r="D241" s="2" t="inlineStr">
        <is>
          <t>98/100</t>
        </is>
      </c>
      <c r="E241" s="7" t="n">
        <v>167.1799926757812</v>
      </c>
      <c r="F241" s="7" t="n">
        <v>146.3685651506696</v>
      </c>
      <c r="G241" s="7" t="n">
        <v>219.2085614885603</v>
      </c>
      <c r="H241" s="2" t="inlineStr">
        <is>
          <t>1:2.5</t>
        </is>
      </c>
      <c r="I241" s="2" t="n">
        <v>0</v>
      </c>
      <c r="J241" s="7" t="n">
        <v>0</v>
      </c>
      <c r="K241" s="2" t="inlineStr">
        <is>
          <t>PENDING</t>
        </is>
      </c>
      <c r="L241" s="2" t="inlineStr">
        <is>
          <t>Swing Scanner (STATE 3: Capitulation Bottom)</t>
        </is>
      </c>
    </row>
    <row r="242" ht="15.75" customHeight="1" s="57">
      <c r="A242" s="2" t="inlineStr">
        <is>
          <t>2026-09-21</t>
        </is>
      </c>
      <c r="B242" s="2" t="inlineStr">
        <is>
          <t>SCHAEFFLER</t>
        </is>
      </c>
      <c r="C242" s="2" t="inlineStr">
        <is>
          <t>Schaeffler India Limited</t>
        </is>
      </c>
      <c r="D242" s="2" t="inlineStr">
        <is>
          <t>98/100</t>
        </is>
      </c>
      <c r="E242" s="7" t="n">
        <v>4217.60009765625</v>
      </c>
      <c r="F242" s="7" t="n">
        <v>4022.142961774553</v>
      </c>
      <c r="G242" s="7" t="n">
        <v>4706.242937360491</v>
      </c>
      <c r="H242" s="2" t="inlineStr">
        <is>
          <t>1:2.5</t>
        </is>
      </c>
      <c r="I242" s="2" t="n">
        <v>0</v>
      </c>
      <c r="J242" s="7" t="n">
        <v>0</v>
      </c>
      <c r="K242" s="2" t="inlineStr">
        <is>
          <t>PENDING</t>
        </is>
      </c>
      <c r="L242" s="2" t="inlineStr">
        <is>
          <t>Swing Scanner (STATE 3: Capitulation Bottom)</t>
        </is>
      </c>
    </row>
    <row r="243" ht="15.75" customHeight="1" s="57">
      <c r="A243" s="2" t="inlineStr">
        <is>
          <t>2026-09-21</t>
        </is>
      </c>
      <c r="B243" s="2" t="inlineStr">
        <is>
          <t>CONFIPET</t>
        </is>
      </c>
      <c r="C243" s="2" t="inlineStr">
        <is>
          <t>Confidence Petroleum India Limited</t>
        </is>
      </c>
      <c r="D243" s="2" t="inlineStr">
        <is>
          <t>98/100</t>
        </is>
      </c>
      <c r="E243" s="7" t="n">
        <v>91.94999694824219</v>
      </c>
      <c r="F243" s="7" t="n">
        <v>82.89856719970703</v>
      </c>
      <c r="G243" s="7" t="n">
        <v>114.5785713195801</v>
      </c>
      <c r="H243" s="2" t="inlineStr">
        <is>
          <t>1:2.5</t>
        </is>
      </c>
      <c r="I243" s="2" t="n">
        <v>0</v>
      </c>
      <c r="J243" s="7" t="n">
        <v>0</v>
      </c>
      <c r="K243" s="2" t="inlineStr">
        <is>
          <t>PENDING</t>
        </is>
      </c>
      <c r="L243" s="2" t="inlineStr">
        <is>
          <t>Swing Scanner (STATE 3: Capitulation Bottom)</t>
        </is>
      </c>
    </row>
    <row r="244" ht="15.75" customHeight="1" s="57">
      <c r="A244" s="2" t="inlineStr">
        <is>
          <t>2026-09-21</t>
        </is>
      </c>
      <c r="B244" s="2" t="inlineStr">
        <is>
          <t>AXISCADES</t>
        </is>
      </c>
      <c r="C244" s="2" t="inlineStr">
        <is>
          <t>AXISCADES Technologies Limited</t>
        </is>
      </c>
      <c r="D244" s="2" t="inlineStr">
        <is>
          <t>98/100</t>
        </is>
      </c>
      <c r="E244" s="7" t="n">
        <v>1811.199951171875</v>
      </c>
      <c r="F244" s="7" t="n">
        <v>1638.971365792411</v>
      </c>
      <c r="G244" s="7" t="n">
        <v>2241.771414620536</v>
      </c>
      <c r="H244" s="2" t="inlineStr">
        <is>
          <t>1:2.5</t>
        </is>
      </c>
      <c r="I244" s="2" t="n">
        <v>0</v>
      </c>
      <c r="J244" s="7" t="n">
        <v>0</v>
      </c>
      <c r="K244" s="2" t="inlineStr">
        <is>
          <t>PENDING</t>
        </is>
      </c>
      <c r="L244" s="2" t="inlineStr">
        <is>
          <t>Swing Scanner (STATE 3: Capitulation Bottom)</t>
        </is>
      </c>
    </row>
    <row r="245" ht="15.75" customHeight="1" s="57">
      <c r="A245" s="2" t="inlineStr">
        <is>
          <t>2026-09-21</t>
        </is>
      </c>
      <c r="B245" s="2" t="inlineStr">
        <is>
          <t>NESTLEIND</t>
        </is>
      </c>
      <c r="C245" s="2" t="inlineStr">
        <is>
          <t>Nestle India Limited</t>
        </is>
      </c>
      <c r="D245" s="2" t="inlineStr">
        <is>
          <t>100/100</t>
        </is>
      </c>
      <c r="E245" s="7" t="n">
        <v>1385</v>
      </c>
      <c r="F245" s="7" t="n">
        <v>1366.3</v>
      </c>
      <c r="G245" s="7" t="n">
        <v>1431.75</v>
      </c>
      <c r="H245" s="2" t="inlineStr">
        <is>
          <t>1:2.5</t>
        </is>
      </c>
      <c r="I245" s="2" t="n">
        <v>0</v>
      </c>
      <c r="J245" s="7" t="n">
        <v>0</v>
      </c>
      <c r="K245" s="2" t="inlineStr">
        <is>
          <t>PENDING</t>
        </is>
      </c>
      <c r="L245" s="2" t="inlineStr">
        <is>
          <t>Intraday Scanner (STATE 3: Capitulation Bottom)</t>
        </is>
      </c>
    </row>
    <row r="246" ht="15.75" customHeight="1" s="57">
      <c r="A246" s="2" t="inlineStr">
        <is>
          <t>2026-09-21</t>
        </is>
      </c>
      <c r="B246" s="2" t="inlineStr">
        <is>
          <t>TECHM</t>
        </is>
      </c>
      <c r="C246" s="2" t="inlineStr">
        <is>
          <t>Tech Mahindra Limited</t>
        </is>
      </c>
      <c r="D246" s="2" t="inlineStr">
        <is>
          <t>100/100</t>
        </is>
      </c>
      <c r="E246" s="7" t="n">
        <v>1558.5</v>
      </c>
      <c r="F246" s="7" t="n">
        <v>1525.75</v>
      </c>
      <c r="G246" s="7" t="n">
        <v>1640.4</v>
      </c>
      <c r="H246" s="2" t="inlineStr">
        <is>
          <t>1:2.5</t>
        </is>
      </c>
      <c r="I246" s="2" t="n">
        <v>0</v>
      </c>
      <c r="J246" s="7" t="n">
        <v>0</v>
      </c>
      <c r="K246" s="2" t="inlineStr">
        <is>
          <t>PENDING</t>
        </is>
      </c>
      <c r="L246" s="2" t="inlineStr">
        <is>
          <t>Intraday Scanner (STATE 3: Capitulation Bottom)</t>
        </is>
      </c>
    </row>
    <row r="247" ht="15.75" customHeight="1" s="57">
      <c r="A247" s="2" t="inlineStr">
        <is>
          <t>2026-09-21</t>
        </is>
      </c>
      <c r="B247" s="2" t="inlineStr">
        <is>
          <t>PERSISTENT</t>
        </is>
      </c>
      <c r="C247" s="2" t="inlineStr">
        <is>
          <t>Persistent Systems Limited</t>
        </is>
      </c>
      <c r="D247" s="2" t="inlineStr">
        <is>
          <t>100/100</t>
        </is>
      </c>
      <c r="E247" s="7" t="n">
        <v>5449</v>
      </c>
      <c r="F247" s="7" t="n">
        <v>5336.35</v>
      </c>
      <c r="G247" s="7" t="n">
        <v>5730.6</v>
      </c>
      <c r="H247" s="2" t="inlineStr">
        <is>
          <t>1:2.5</t>
        </is>
      </c>
      <c r="I247" s="2" t="n">
        <v>0</v>
      </c>
      <c r="J247" s="7" t="n">
        <v>0</v>
      </c>
      <c r="K247" s="2" t="inlineStr">
        <is>
          <t>PENDING</t>
        </is>
      </c>
      <c r="L247" s="2" t="inlineStr">
        <is>
          <t>Intraday Scanner (STATE 3: Capitulation Bottom)</t>
        </is>
      </c>
    </row>
    <row r="248" ht="15.75" customHeight="1" s="57">
      <c r="A248" s="2" t="inlineStr">
        <is>
          <t>2026-09-21</t>
        </is>
      </c>
      <c r="B248" s="2" t="inlineStr">
        <is>
          <t>DIXON</t>
        </is>
      </c>
      <c r="C248" s="2" t="inlineStr">
        <is>
          <t>Dixon Technologies (India) Limited</t>
        </is>
      </c>
      <c r="D248" s="2" t="inlineStr">
        <is>
          <t>100/100</t>
        </is>
      </c>
      <c r="E248" s="7" t="n">
        <v>13350</v>
      </c>
      <c r="F248" s="7" t="n">
        <v>13133.1</v>
      </c>
      <c r="G248" s="7" t="n">
        <v>13892.25</v>
      </c>
      <c r="H248" s="2" t="inlineStr">
        <is>
          <t>1:2.5</t>
        </is>
      </c>
      <c r="I248" s="2" t="n">
        <v>0</v>
      </c>
      <c r="J248" s="7" t="n">
        <v>0</v>
      </c>
      <c r="K248" s="2" t="inlineStr">
        <is>
          <t>PENDING</t>
        </is>
      </c>
      <c r="L248" s="2" t="inlineStr">
        <is>
          <t>Intraday Scanner (STATE 3: Capitulation Bottom)</t>
        </is>
      </c>
    </row>
    <row r="249" ht="15.75" customHeight="1" s="57">
      <c r="A249" s="2" t="inlineStr">
        <is>
          <t>2026-09-21</t>
        </is>
      </c>
      <c r="B249" s="2" t="inlineStr">
        <is>
          <t>AARTIIND</t>
        </is>
      </c>
      <c r="C249" s="2" t="inlineStr">
        <is>
          <t>Aarti Industries Limited</t>
        </is>
      </c>
      <c r="D249" s="2" t="inlineStr">
        <is>
          <t>98/100</t>
        </is>
      </c>
      <c r="E249" s="7" t="n">
        <v>499.8</v>
      </c>
      <c r="F249" s="7" t="n">
        <v>487.05</v>
      </c>
      <c r="G249" s="7" t="n">
        <v>531.65</v>
      </c>
      <c r="H249" s="2" t="inlineStr">
        <is>
          <t>1:2.5</t>
        </is>
      </c>
      <c r="I249" s="2" t="n">
        <v>0</v>
      </c>
      <c r="J249" s="7" t="n">
        <v>0</v>
      </c>
      <c r="K249" s="2" t="inlineStr">
        <is>
          <t>PENDING</t>
        </is>
      </c>
      <c r="L249" s="2" t="inlineStr">
        <is>
          <t>Intraday Scanner (STATE 3: Capitulation Bottom)</t>
        </is>
      </c>
    </row>
    <row r="250" ht="15.75" customHeight="1" s="57">
      <c r="A250" s="2" t="inlineStr">
        <is>
          <t>2026-09-22</t>
        </is>
      </c>
      <c r="B250" s="2" t="inlineStr">
        <is>
          <t>APLLTD</t>
        </is>
      </c>
      <c r="C250" s="2" t="inlineStr">
        <is>
          <t>Alembic Pharmaceuticals Limited</t>
        </is>
      </c>
      <c r="D250" s="2" t="inlineStr">
        <is>
          <t>98/100</t>
        </is>
      </c>
      <c r="E250" s="7" t="n">
        <v>848.75</v>
      </c>
      <c r="F250" s="7" t="n">
        <v>798.0857107979911</v>
      </c>
      <c r="G250" s="7" t="n">
        <v>975.4107230050223</v>
      </c>
      <c r="H250" s="2" t="inlineStr">
        <is>
          <t>1:2.5</t>
        </is>
      </c>
      <c r="I250" s="2" t="n">
        <v>0</v>
      </c>
      <c r="J250" s="7" t="n">
        <v>0</v>
      </c>
      <c r="K250" s="2" t="inlineStr">
        <is>
          <t>PENDING</t>
        </is>
      </c>
      <c r="L250" s="2" t="inlineStr">
        <is>
          <t>Swing Scanner (STATE 3: Capitulation Bottom)</t>
        </is>
      </c>
    </row>
    <row r="251" ht="15.75" customHeight="1" s="57">
      <c r="A251" s="2" t="inlineStr">
        <is>
          <t>2026-09-22</t>
        </is>
      </c>
      <c r="B251" s="2" t="inlineStr">
        <is>
          <t>ASHIANA</t>
        </is>
      </c>
      <c r="C251" s="2" t="inlineStr">
        <is>
          <t>Ashiana Housing Limited</t>
        </is>
      </c>
      <c r="D251" s="2" t="inlineStr">
        <is>
          <t>98/100</t>
        </is>
      </c>
      <c r="E251" s="7" t="n">
        <v>404.0499877929688</v>
      </c>
      <c r="F251" s="7" t="n">
        <v>376.8082657094379</v>
      </c>
      <c r="G251" s="7" t="n">
        <v>472.154293001796</v>
      </c>
      <c r="H251" s="2" t="inlineStr">
        <is>
          <t>1:2.5</t>
        </is>
      </c>
      <c r="I251" s="2" t="n">
        <v>0</v>
      </c>
      <c r="J251" s="7" t="n">
        <v>0</v>
      </c>
      <c r="K251" s="2" t="inlineStr">
        <is>
          <t>PENDING</t>
        </is>
      </c>
      <c r="L251" s="2" t="inlineStr">
        <is>
          <t>Swing Scanner (STATE 3: Capitulation Bottom)</t>
        </is>
      </c>
    </row>
    <row r="252" ht="15.75" customHeight="1" s="57">
      <c r="A252" s="2" t="inlineStr">
        <is>
          <t>2026-09-22</t>
        </is>
      </c>
      <c r="B252" s="2" t="inlineStr">
        <is>
          <t>CONCORDBIO</t>
        </is>
      </c>
      <c r="C252" s="2" t="inlineStr">
        <is>
          <t>Concord Biotech Limited</t>
        </is>
      </c>
      <c r="D252" s="2" t="inlineStr">
        <is>
          <t>98/100</t>
        </is>
      </c>
      <c r="E252" s="7" t="n">
        <v>1579.400024414062</v>
      </c>
      <c r="F252" s="7" t="n">
        <v>1480.657156808036</v>
      </c>
      <c r="G252" s="7" t="n">
        <v>1826.25719342913</v>
      </c>
      <c r="H252" s="2" t="inlineStr">
        <is>
          <t>1:2.5</t>
        </is>
      </c>
      <c r="I252" s="2" t="n">
        <v>0</v>
      </c>
      <c r="J252" s="7" t="n">
        <v>0</v>
      </c>
      <c r="K252" s="2" t="inlineStr">
        <is>
          <t>PENDING</t>
        </is>
      </c>
      <c r="L252" s="2" t="inlineStr">
        <is>
          <t>Swing Scanner (STATE 3: Capitulation Bottom)</t>
        </is>
      </c>
    </row>
    <row r="253" ht="15.75" customHeight="1" s="57">
      <c r="A253" s="2" t="inlineStr">
        <is>
          <t>2026-09-22</t>
        </is>
      </c>
      <c r="B253" s="2" t="inlineStr">
        <is>
          <t>EMMVEE</t>
        </is>
      </c>
      <c r="C253" s="2" t="inlineStr">
        <is>
          <t>EMMVEE</t>
        </is>
      </c>
      <c r="D253" s="2" t="inlineStr">
        <is>
          <t>98/100</t>
        </is>
      </c>
      <c r="E253" s="7" t="n">
        <v>340.6000061035156</v>
      </c>
      <c r="F253" s="7" t="n">
        <v>315.5758625887497</v>
      </c>
      <c r="G253" s="7" t="n">
        <v>403.1603648904304</v>
      </c>
      <c r="H253" s="2" t="inlineStr">
        <is>
          <t>1:2.5</t>
        </is>
      </c>
      <c r="I253" s="2" t="n">
        <v>0</v>
      </c>
      <c r="J253" s="7" t="n">
        <v>0</v>
      </c>
      <c r="K253" s="2" t="inlineStr">
        <is>
          <t>PENDING</t>
        </is>
      </c>
      <c r="L253" s="2" t="inlineStr">
        <is>
          <t>Swing Scanner (STATE 3: Capitulation Bottom)</t>
        </is>
      </c>
    </row>
    <row r="254" ht="15.75" customHeight="1" s="57">
      <c r="A254" s="2" t="inlineStr">
        <is>
          <t>2026-09-22</t>
        </is>
      </c>
      <c r="B254" s="2" t="inlineStr">
        <is>
          <t>JYOTICNC</t>
        </is>
      </c>
      <c r="C254" s="2" t="inlineStr">
        <is>
          <t>Jyoti CNC Automation Limited</t>
        </is>
      </c>
      <c r="D254" s="2" t="inlineStr">
        <is>
          <t>98/100</t>
        </is>
      </c>
      <c r="E254" s="7" t="n">
        <v>1113.849975585938</v>
      </c>
      <c r="F254" s="7" t="n">
        <v>1020.95711844308</v>
      </c>
      <c r="G254" s="7" t="n">
        <v>1346.08211844308</v>
      </c>
      <c r="H254" s="2" t="inlineStr">
        <is>
          <t>1:2.5</t>
        </is>
      </c>
      <c r="I254" s="2" t="n">
        <v>0</v>
      </c>
      <c r="J254" s="7" t="n">
        <v>0</v>
      </c>
      <c r="K254" s="2" t="inlineStr">
        <is>
          <t>PENDING</t>
        </is>
      </c>
      <c r="L254" s="2" t="inlineStr">
        <is>
          <t>Swing Scanner (STATE 3: Capitulation Bottom)</t>
        </is>
      </c>
    </row>
    <row r="255" ht="15.75" customHeight="1" s="57">
      <c r="A255" s="2" t="inlineStr">
        <is>
          <t>2026-09-22</t>
        </is>
      </c>
      <c r="B255" s="2" t="inlineStr">
        <is>
          <t>BOSCHLTD</t>
        </is>
      </c>
      <c r="C255" s="2" t="inlineStr">
        <is>
          <t>Bosch Limited</t>
        </is>
      </c>
      <c r="D255" s="2" t="inlineStr">
        <is>
          <t>100/100</t>
        </is>
      </c>
      <c r="E255" s="7" t="n">
        <v>48290</v>
      </c>
      <c r="F255" s="7" t="n">
        <v>47757.5</v>
      </c>
      <c r="G255" s="7" t="n">
        <v>49621.25</v>
      </c>
      <c r="H255" s="2" t="inlineStr">
        <is>
          <t>1:2.5</t>
        </is>
      </c>
      <c r="I255" s="2" t="n">
        <v>0</v>
      </c>
      <c r="J255" s="7" t="n">
        <v>0</v>
      </c>
      <c r="K255" s="2" t="inlineStr">
        <is>
          <t>PENDING</t>
        </is>
      </c>
      <c r="L255" s="2" t="inlineStr">
        <is>
          <t>Intraday Scanner (STATE 3: Capitulation Bottom)</t>
        </is>
      </c>
    </row>
    <row r="256" ht="15.75" customHeight="1" s="57">
      <c r="A256" s="2" t="inlineStr">
        <is>
          <t>2026-09-22</t>
        </is>
      </c>
      <c r="B256" s="2" t="inlineStr">
        <is>
          <t>DLF</t>
        </is>
      </c>
      <c r="C256" s="2" t="inlineStr">
        <is>
          <t>DLF Limited</t>
        </is>
      </c>
      <c r="D256" s="2" t="inlineStr">
        <is>
          <t>100/100</t>
        </is>
      </c>
      <c r="E256" s="7" t="n">
        <v>669.5</v>
      </c>
      <c r="F256" s="7" t="n">
        <v>651.4</v>
      </c>
      <c r="G256" s="7" t="n">
        <v>714.75</v>
      </c>
      <c r="H256" s="2" t="inlineStr">
        <is>
          <t>1:2.5</t>
        </is>
      </c>
      <c r="I256" s="2" t="n">
        <v>0</v>
      </c>
      <c r="J256" s="7" t="n">
        <v>0</v>
      </c>
      <c r="K256" s="2" t="inlineStr">
        <is>
          <t>PENDING</t>
        </is>
      </c>
      <c r="L256" s="2" t="inlineStr">
        <is>
          <t>Intraday Scanner (STATE 3: Capitulation Bottom)</t>
        </is>
      </c>
    </row>
    <row r="257" ht="15.75" customHeight="1" s="57">
      <c r="A257" s="2" t="inlineStr">
        <is>
          <t>2026-09-22</t>
        </is>
      </c>
      <c r="B257" s="2" t="inlineStr">
        <is>
          <t>LUPIN</t>
        </is>
      </c>
      <c r="C257" s="2" t="inlineStr">
        <is>
          <t>Lupin Limited</t>
        </is>
      </c>
      <c r="D257" s="2" t="inlineStr">
        <is>
          <t>100/100</t>
        </is>
      </c>
      <c r="E257" s="7" t="n">
        <v>2135</v>
      </c>
      <c r="F257" s="7" t="n">
        <v>2104.7</v>
      </c>
      <c r="G257" s="7" t="n">
        <v>2210.75</v>
      </c>
      <c r="H257" s="2" t="inlineStr">
        <is>
          <t>1:2.5</t>
        </is>
      </c>
      <c r="I257" s="2" t="n">
        <v>0</v>
      </c>
      <c r="J257" s="7" t="n">
        <v>0</v>
      </c>
      <c r="K257" s="2" t="inlineStr">
        <is>
          <t>PENDING</t>
        </is>
      </c>
      <c r="L257" s="2" t="inlineStr">
        <is>
          <t>Intraday Scanner (STATE 3: Capitulation Bottom)</t>
        </is>
      </c>
    </row>
    <row r="258" ht="15.75" customHeight="1" s="57">
      <c r="A258" s="2" t="inlineStr">
        <is>
          <t>2026-09-22</t>
        </is>
      </c>
      <c r="B258" s="2" t="inlineStr">
        <is>
          <t>CYIENT</t>
        </is>
      </c>
      <c r="C258" s="2" t="inlineStr">
        <is>
          <t>Cyient Limited</t>
        </is>
      </c>
      <c r="D258" s="2" t="inlineStr">
        <is>
          <t>100/100</t>
        </is>
      </c>
      <c r="E258" s="7" t="n">
        <v>1074.7</v>
      </c>
      <c r="F258" s="7" t="n">
        <v>1058.75</v>
      </c>
      <c r="G258" s="7" t="n">
        <v>1114.5</v>
      </c>
      <c r="H258" s="2" t="inlineStr">
        <is>
          <t>1:2.5</t>
        </is>
      </c>
      <c r="I258" s="2" t="n">
        <v>0</v>
      </c>
      <c r="J258" s="7" t="n">
        <v>0</v>
      </c>
      <c r="K258" s="2" t="inlineStr">
        <is>
          <t>PENDING</t>
        </is>
      </c>
      <c r="L258" s="2" t="inlineStr">
        <is>
          <t>Intraday Scanner (STATE 3: Capitulation Bottom)</t>
        </is>
      </c>
    </row>
    <row r="259" ht="15.75" customHeight="1" s="57">
      <c r="A259" s="2" t="inlineStr">
        <is>
          <t>2026-09-22</t>
        </is>
      </c>
      <c r="B259" s="2" t="inlineStr">
        <is>
          <t>BRIGADE</t>
        </is>
      </c>
      <c r="C259" s="2" t="inlineStr">
        <is>
          <t>Brigade Enterprises Limited</t>
        </is>
      </c>
      <c r="D259" s="2" t="inlineStr">
        <is>
          <t>100/100</t>
        </is>
      </c>
      <c r="E259" s="7" t="n">
        <v>616.55</v>
      </c>
      <c r="F259" s="7" t="n">
        <v>605.55</v>
      </c>
      <c r="G259" s="7" t="n">
        <v>644</v>
      </c>
      <c r="H259" s="2" t="inlineStr">
        <is>
          <t>1:2.5</t>
        </is>
      </c>
      <c r="I259" s="2" t="n">
        <v>0</v>
      </c>
      <c r="J259" s="7" t="n">
        <v>0</v>
      </c>
      <c r="K259" s="2" t="inlineStr">
        <is>
          <t>PENDING</t>
        </is>
      </c>
      <c r="L259" s="2" t="inlineStr">
        <is>
          <t>Intraday Scanner (STATE 3: Capitulation Bottom)</t>
        </is>
      </c>
    </row>
    <row r="260" ht="15.75" customHeight="1" s="57">
      <c r="A260" s="2" t="inlineStr">
        <is>
          <t>2026-09-23</t>
        </is>
      </c>
      <c r="B260" s="2" t="inlineStr">
        <is>
          <t>MANKIND</t>
        </is>
      </c>
      <c r="C260" s="2" t="inlineStr">
        <is>
          <t>Mankind Pharma Limited</t>
        </is>
      </c>
      <c r="D260" s="2" t="inlineStr">
        <is>
          <t>98/100</t>
        </is>
      </c>
      <c r="E260" s="7" t="n">
        <v>2480</v>
      </c>
      <c r="F260" s="7" t="n">
        <v>2372.885707310268</v>
      </c>
      <c r="G260" s="7" t="n">
        <v>2747.78573172433</v>
      </c>
      <c r="H260" s="2" t="inlineStr">
        <is>
          <t>1:2.5</t>
        </is>
      </c>
      <c r="I260" s="2" t="n">
        <v>0</v>
      </c>
      <c r="J260" s="7" t="n">
        <v>0</v>
      </c>
      <c r="K260" s="2" t="inlineStr">
        <is>
          <t>PENDING</t>
        </is>
      </c>
      <c r="L260" s="2" t="inlineStr">
        <is>
          <t>Swing Scanner (STATE 3: Capitulation Bottom)</t>
        </is>
      </c>
    </row>
    <row r="261" ht="15.75" customHeight="1" s="57">
      <c r="A261" s="2" t="inlineStr">
        <is>
          <t>2026-09-23</t>
        </is>
      </c>
      <c r="B261" s="2" t="inlineStr">
        <is>
          <t>HARSHA</t>
        </is>
      </c>
      <c r="C261" s="2" t="inlineStr">
        <is>
          <t>Harsha Engineers International Limited</t>
        </is>
      </c>
      <c r="D261" s="2" t="inlineStr">
        <is>
          <t>98/100</t>
        </is>
      </c>
      <c r="E261" s="7" t="n">
        <v>465.1000061035156</v>
      </c>
      <c r="F261" s="7" t="n">
        <v>433.8142874581473</v>
      </c>
      <c r="G261" s="7" t="n">
        <v>543.3143027169364</v>
      </c>
      <c r="H261" s="2" t="inlineStr">
        <is>
          <t>1:2.5</t>
        </is>
      </c>
      <c r="I261" s="2" t="n">
        <v>0</v>
      </c>
      <c r="J261" s="7" t="n">
        <v>0</v>
      </c>
      <c r="K261" s="2" t="inlineStr">
        <is>
          <t>PENDING</t>
        </is>
      </c>
      <c r="L261" s="2" t="inlineStr">
        <is>
          <t>Swing Scanner (STATE 3: Capitulation Bottom)</t>
        </is>
      </c>
    </row>
    <row r="262" ht="15.75" customHeight="1" s="57">
      <c r="A262" s="2" t="inlineStr">
        <is>
          <t>2026-09-23</t>
        </is>
      </c>
      <c r="B262" s="2" t="inlineStr">
        <is>
          <t>IKS</t>
        </is>
      </c>
      <c r="C262" s="2" t="inlineStr">
        <is>
          <t>IKS</t>
        </is>
      </c>
      <c r="D262" s="2" t="inlineStr">
        <is>
          <t>98/100</t>
        </is>
      </c>
      <c r="E262" s="7" t="n">
        <v>1869.199951171875</v>
      </c>
      <c r="F262" s="7" t="n">
        <v>1761.785679408482</v>
      </c>
      <c r="G262" s="7" t="n">
        <v>2137.735630580357</v>
      </c>
      <c r="H262" s="2" t="inlineStr">
        <is>
          <t>1:2.5</t>
        </is>
      </c>
      <c r="I262" s="2" t="n">
        <v>0</v>
      </c>
      <c r="J262" s="7" t="n">
        <v>0</v>
      </c>
      <c r="K262" s="2" t="inlineStr">
        <is>
          <t>PENDING</t>
        </is>
      </c>
      <c r="L262" s="2" t="inlineStr">
        <is>
          <t>Swing Scanner (STATE 3: Capitulation Bottom)</t>
        </is>
      </c>
    </row>
    <row r="263" ht="15.75" customHeight="1" s="57">
      <c r="A263" s="2" t="inlineStr">
        <is>
          <t>2026-09-23</t>
        </is>
      </c>
      <c r="B263" s="2" t="inlineStr">
        <is>
          <t>BLUESTONE</t>
        </is>
      </c>
      <c r="C263" s="2" t="inlineStr">
        <is>
          <t>BLUESTONE</t>
        </is>
      </c>
      <c r="D263" s="2" t="inlineStr">
        <is>
          <t>98/100</t>
        </is>
      </c>
      <c r="E263" s="7" t="n">
        <v>930.4000244140625</v>
      </c>
      <c r="F263" s="7" t="n">
        <v>836.8357282366071</v>
      </c>
      <c r="G263" s="7" t="n">
        <v>1164.310764857701</v>
      </c>
      <c r="H263" s="2" t="inlineStr">
        <is>
          <t>1:2.5</t>
        </is>
      </c>
      <c r="I263" s="2" t="n">
        <v>0</v>
      </c>
      <c r="J263" s="7" t="n">
        <v>0</v>
      </c>
      <c r="K263" s="2" t="inlineStr">
        <is>
          <t>PENDING</t>
        </is>
      </c>
      <c r="L263" s="2" t="inlineStr">
        <is>
          <t>Swing Scanner (STATE 3: Capitulation Bottom)</t>
        </is>
      </c>
    </row>
    <row r="264" ht="15.75" customHeight="1" s="57">
      <c r="A264" s="2" t="inlineStr">
        <is>
          <t>2026-09-23</t>
        </is>
      </c>
      <c r="B264" s="2" t="inlineStr">
        <is>
          <t>FINCABLES</t>
        </is>
      </c>
      <c r="C264" s="2" t="inlineStr">
        <is>
          <t>Finolex Cables Limited</t>
        </is>
      </c>
      <c r="D264" s="2" t="inlineStr">
        <is>
          <t>95/100</t>
        </is>
      </c>
      <c r="E264" s="7" t="n">
        <v>1468.099975585938</v>
      </c>
      <c r="F264" s="7" t="n">
        <v>1323.775123086164</v>
      </c>
      <c r="G264" s="7" t="n">
        <v>1828.912106835371</v>
      </c>
      <c r="H264" s="2" t="inlineStr">
        <is>
          <t>1:2.5</t>
        </is>
      </c>
      <c r="I264" s="2" t="n">
        <v>0</v>
      </c>
      <c r="J264" s="7" t="n">
        <v>0</v>
      </c>
      <c r="K264" s="2" t="inlineStr">
        <is>
          <t>PENDING</t>
        </is>
      </c>
      <c r="L264" s="2" t="inlineStr">
        <is>
          <t>Swing Scanner (STATE 3: Capitulation Bottom)</t>
        </is>
      </c>
    </row>
    <row r="265" ht="15.75" customHeight="1" s="57">
      <c r="A265" s="2" t="inlineStr">
        <is>
          <t>2026-09-23</t>
        </is>
      </c>
      <c r="B265" s="2" t="inlineStr">
        <is>
          <t>GRASIM</t>
        </is>
      </c>
      <c r="C265" s="2" t="inlineStr">
        <is>
          <t>Grasim Industries Limited</t>
        </is>
      </c>
      <c r="D265" s="2" t="inlineStr">
        <is>
          <t>100/100</t>
        </is>
      </c>
      <c r="E265" s="7" t="n">
        <v>3188.5</v>
      </c>
      <c r="F265" s="7" t="n">
        <v>3160.8</v>
      </c>
      <c r="G265" s="7" t="n">
        <v>3257.75</v>
      </c>
      <c r="H265" s="2" t="inlineStr">
        <is>
          <t>1:2.5</t>
        </is>
      </c>
      <c r="I265" s="2" t="n">
        <v>0</v>
      </c>
      <c r="J265" s="7" t="n">
        <v>0</v>
      </c>
      <c r="K265" s="2" t="inlineStr">
        <is>
          <t>PENDING</t>
        </is>
      </c>
      <c r="L265" s="2" t="inlineStr">
        <is>
          <t>Intraday Scanner (STATE 3: Capitulation Bottom)</t>
        </is>
      </c>
    </row>
    <row r="266" ht="15.75" customHeight="1" s="57">
      <c r="A266" s="2" t="inlineStr">
        <is>
          <t>2026-09-23</t>
        </is>
      </c>
      <c r="B266" s="2" t="inlineStr">
        <is>
          <t>APOLLOHOSP</t>
        </is>
      </c>
      <c r="C266" s="2" t="inlineStr">
        <is>
          <t>Apollo Hospitals Enterprise Limited</t>
        </is>
      </c>
      <c r="D266" s="2" t="inlineStr">
        <is>
          <t>100/100</t>
        </is>
      </c>
      <c r="E266" s="7" t="n">
        <v>9069</v>
      </c>
      <c r="F266" s="7" t="n">
        <v>8954.4</v>
      </c>
      <c r="G266" s="7" t="n">
        <v>9355.5</v>
      </c>
      <c r="H266" s="2" t="inlineStr">
        <is>
          <t>1:2.5</t>
        </is>
      </c>
      <c r="I266" s="2" t="n">
        <v>0</v>
      </c>
      <c r="J266" s="7" t="n">
        <v>0</v>
      </c>
      <c r="K266" s="2" t="inlineStr">
        <is>
          <t>PENDING</t>
        </is>
      </c>
      <c r="L266" s="2" t="inlineStr">
        <is>
          <t>Intraday Scanner (STATE 3: Capitulation Bottom)</t>
        </is>
      </c>
    </row>
    <row r="267" ht="15.75" customHeight="1" s="57">
      <c r="A267" s="2" t="inlineStr">
        <is>
          <t>2026-09-23</t>
        </is>
      </c>
      <c r="B267" s="2" t="inlineStr">
        <is>
          <t>DIVISLAB</t>
        </is>
      </c>
      <c r="C267" s="2" t="inlineStr">
        <is>
          <t>Divi's Laboratories Limited</t>
        </is>
      </c>
      <c r="D267" s="2" t="inlineStr">
        <is>
          <t>100/100</t>
        </is>
      </c>
      <c r="E267" s="7" t="n">
        <v>9624</v>
      </c>
      <c r="F267" s="7" t="n">
        <v>9479.4</v>
      </c>
      <c r="G267" s="7" t="n">
        <v>9985.5</v>
      </c>
      <c r="H267" s="2" t="inlineStr">
        <is>
          <t>1:2.5</t>
        </is>
      </c>
      <c r="I267" s="2" t="n">
        <v>0</v>
      </c>
      <c r="J267" s="7" t="n">
        <v>0</v>
      </c>
      <c r="K267" s="2" t="inlineStr">
        <is>
          <t>PENDING</t>
        </is>
      </c>
      <c r="L267" s="2" t="inlineStr">
        <is>
          <t>Intraday Scanner (STATE 3: Capitulation Bottom)</t>
        </is>
      </c>
    </row>
    <row r="268" ht="15.75" customHeight="1" s="57">
      <c r="A268" s="2" t="inlineStr">
        <is>
          <t>2026-09-23</t>
        </is>
      </c>
      <c r="B268" s="2" t="inlineStr">
        <is>
          <t>HINDALCO</t>
        </is>
      </c>
      <c r="C268" s="2" t="inlineStr">
        <is>
          <t>Hindalco Industries Limited</t>
        </is>
      </c>
      <c r="D268" s="2" t="inlineStr">
        <is>
          <t>100/100</t>
        </is>
      </c>
      <c r="E268" s="7" t="n">
        <v>1003.8</v>
      </c>
      <c r="F268" s="7" t="n">
        <v>992.8</v>
      </c>
      <c r="G268" s="7" t="n">
        <v>1031.35</v>
      </c>
      <c r="H268" s="2" t="inlineStr">
        <is>
          <t>1:2.5</t>
        </is>
      </c>
      <c r="I268" s="2" t="n">
        <v>0</v>
      </c>
      <c r="J268" s="7" t="n">
        <v>0</v>
      </c>
      <c r="K268" s="2" t="inlineStr">
        <is>
          <t>PENDING</t>
        </is>
      </c>
      <c r="L268" s="2" t="inlineStr">
        <is>
          <t>Intraday Scanner (STATE 3: Capitulation Bottom)</t>
        </is>
      </c>
    </row>
    <row r="269" ht="15.75" customHeight="1" s="57">
      <c r="A269" s="2" t="inlineStr">
        <is>
          <t>2026-09-23</t>
        </is>
      </c>
      <c r="B269" s="2" t="inlineStr">
        <is>
          <t>TORNTPHARM</t>
        </is>
      </c>
      <c r="C269" s="2" t="inlineStr">
        <is>
          <t>Torrent Pharmaceuticals Limited</t>
        </is>
      </c>
      <c r="D269" s="2" t="inlineStr">
        <is>
          <t>100/100</t>
        </is>
      </c>
      <c r="E269" s="7" t="n">
        <v>4985</v>
      </c>
      <c r="F269" s="7" t="n">
        <v>4925.9</v>
      </c>
      <c r="G269" s="7" t="n">
        <v>5132.75</v>
      </c>
      <c r="H269" s="2" t="inlineStr">
        <is>
          <t>1:2.5</t>
        </is>
      </c>
      <c r="I269" s="2" t="n">
        <v>0</v>
      </c>
      <c r="J269" s="7" t="n">
        <v>0</v>
      </c>
      <c r="K269" s="2" t="inlineStr">
        <is>
          <t>PENDING</t>
        </is>
      </c>
      <c r="L269" s="2" t="inlineStr">
        <is>
          <t>Intraday Scanner (STATE 3: Capitulation Bottom)</t>
        </is>
      </c>
    </row>
    <row r="270" ht="15.75" customHeight="1" s="57">
      <c r="A270" s="2" t="inlineStr">
        <is>
          <t>2026-09-24</t>
        </is>
      </c>
      <c r="B270" s="2" t="inlineStr">
        <is>
          <t>JYOTICNC</t>
        </is>
      </c>
      <c r="C270" s="2" t="inlineStr">
        <is>
          <t>Jyoti CNC Automation Limited</t>
        </is>
      </c>
      <c r="D270" s="2" t="inlineStr">
        <is>
          <t>100/100</t>
        </is>
      </c>
      <c r="E270" s="7" t="n">
        <v>1100.800048828125</v>
      </c>
      <c r="F270" s="7" t="n">
        <v>1014.042907714844</v>
      </c>
      <c r="G270" s="7" t="n">
        <v>1317.692901611328</v>
      </c>
      <c r="H270" s="2" t="inlineStr">
        <is>
          <t>1:2.5</t>
        </is>
      </c>
      <c r="I270" s="2" t="n">
        <v>0</v>
      </c>
      <c r="J270" s="7" t="n">
        <v>0</v>
      </c>
      <c r="K270" s="2" t="inlineStr">
        <is>
          <t>PENDING</t>
        </is>
      </c>
      <c r="L270" s="2" t="inlineStr">
        <is>
          <t>Swing Scanner (STATE 3: Capitulation Bottom)</t>
        </is>
      </c>
    </row>
    <row r="271" ht="15.75" customHeight="1" s="57">
      <c r="A271" s="2" t="inlineStr">
        <is>
          <t>2026-09-24</t>
        </is>
      </c>
      <c r="B271" s="2" t="inlineStr">
        <is>
          <t>ICIL</t>
        </is>
      </c>
      <c r="C271" s="2" t="inlineStr">
        <is>
          <t>Indo Count Industries Limited</t>
        </is>
      </c>
      <c r="D271" s="2" t="inlineStr">
        <is>
          <t>98/100</t>
        </is>
      </c>
      <c r="E271" s="7" t="n">
        <v>476.5499877929688</v>
      </c>
      <c r="F271" s="7" t="n">
        <v>435.9356951032366</v>
      </c>
      <c r="G271" s="7" t="n">
        <v>578.0857195172991</v>
      </c>
      <c r="H271" s="2" t="inlineStr">
        <is>
          <t>1:2.5</t>
        </is>
      </c>
      <c r="I271" s="2" t="n">
        <v>0</v>
      </c>
      <c r="J271" s="7" t="n">
        <v>0</v>
      </c>
      <c r="K271" s="2" t="inlineStr">
        <is>
          <t>PENDING</t>
        </is>
      </c>
      <c r="L271" s="2" t="inlineStr">
        <is>
          <t>Swing Scanner (STATE 3: Capitulation Bottom)</t>
        </is>
      </c>
    </row>
    <row r="272" ht="15.75" customHeight="1" s="57">
      <c r="A272" s="2" t="inlineStr">
        <is>
          <t>2026-09-24</t>
        </is>
      </c>
      <c r="B272" s="2" t="inlineStr">
        <is>
          <t>AXISCADES</t>
        </is>
      </c>
      <c r="C272" s="2" t="inlineStr">
        <is>
          <t>AXISCADES Technologies Limited</t>
        </is>
      </c>
      <c r="D272" s="2" t="inlineStr">
        <is>
          <t>98/100</t>
        </is>
      </c>
      <c r="E272" s="7" t="n">
        <v>1940.199951171875</v>
      </c>
      <c r="F272" s="7" t="n">
        <v>1763.014212472098</v>
      </c>
      <c r="G272" s="7" t="n">
        <v>2383.164297921317</v>
      </c>
      <c r="H272" s="2" t="inlineStr">
        <is>
          <t>1:2.5</t>
        </is>
      </c>
      <c r="I272" s="2" t="n">
        <v>0</v>
      </c>
      <c r="J272" s="7" t="n">
        <v>0</v>
      </c>
      <c r="K272" s="2" t="inlineStr">
        <is>
          <t>PENDING</t>
        </is>
      </c>
      <c r="L272" s="2" t="inlineStr">
        <is>
          <t>Swing Scanner (STATE 3: Capitulation Bottom)</t>
        </is>
      </c>
    </row>
    <row r="273" ht="15.75" customHeight="1" s="57">
      <c r="A273" s="2" t="inlineStr">
        <is>
          <t>2026-09-24</t>
        </is>
      </c>
      <c r="B273" s="2" t="inlineStr">
        <is>
          <t>TIMKEN</t>
        </is>
      </c>
      <c r="C273" s="2" t="inlineStr">
        <is>
          <t>Timken India Limited</t>
        </is>
      </c>
      <c r="D273" s="2" t="inlineStr">
        <is>
          <t>98/100</t>
        </is>
      </c>
      <c r="E273" s="7" t="n">
        <v>3287.89990234375</v>
      </c>
      <c r="F273" s="7" t="n">
        <v>3070.385637555803</v>
      </c>
      <c r="G273" s="7" t="n">
        <v>3831.685564313616</v>
      </c>
      <c r="H273" s="2" t="inlineStr">
        <is>
          <t>1:2.5</t>
        </is>
      </c>
      <c r="I273" s="2" t="n">
        <v>0</v>
      </c>
      <c r="J273" s="7" t="n">
        <v>0</v>
      </c>
      <c r="K273" s="2" t="inlineStr">
        <is>
          <t>PENDING</t>
        </is>
      </c>
      <c r="L273" s="2" t="inlineStr">
        <is>
          <t>Swing Scanner (STATE 3: Capitulation Bottom)</t>
        </is>
      </c>
    </row>
    <row r="274" ht="15.75" customHeight="1" s="57">
      <c r="A274" s="2" t="inlineStr">
        <is>
          <t>2026-09-24</t>
        </is>
      </c>
      <c r="B274" s="2" t="inlineStr">
        <is>
          <t>3MINDIA</t>
        </is>
      </c>
      <c r="C274" s="2" t="inlineStr">
        <is>
          <t>3M India Limited</t>
        </is>
      </c>
      <c r="D274" s="2" t="inlineStr">
        <is>
          <t>98/100</t>
        </is>
      </c>
      <c r="E274" s="7" t="n">
        <v>34615</v>
      </c>
      <c r="F274" s="7" t="n">
        <v>32787.85714285714</v>
      </c>
      <c r="G274" s="7" t="n">
        <v>39182.85714285714</v>
      </c>
      <c r="H274" s="2" t="inlineStr">
        <is>
          <t>1:2.5</t>
        </is>
      </c>
      <c r="I274" s="2" t="n">
        <v>0</v>
      </c>
      <c r="J274" s="7" t="n">
        <v>0</v>
      </c>
      <c r="K274" s="2" t="inlineStr">
        <is>
          <t>PENDING</t>
        </is>
      </c>
      <c r="L274" s="2" t="inlineStr">
        <is>
          <t>Swing Scanner (STATE 3: Capitulation Bottom)</t>
        </is>
      </c>
    </row>
    <row r="275" ht="15.75" customHeight="1" s="57">
      <c r="A275" s="2" t="inlineStr">
        <is>
          <t>2026-09-24</t>
        </is>
      </c>
      <c r="B275" s="2" t="inlineStr">
        <is>
          <t>ONGC</t>
        </is>
      </c>
      <c r="C275" s="2" t="inlineStr">
        <is>
          <t>Oil and Natural Gas Corporation Limited</t>
        </is>
      </c>
      <c r="D275" s="2" t="inlineStr">
        <is>
          <t>100/100</t>
        </is>
      </c>
      <c r="E275" s="7" t="n">
        <v>239</v>
      </c>
      <c r="F275" s="7" t="n">
        <v>236.85</v>
      </c>
      <c r="G275" s="7" t="n">
        <v>244.35</v>
      </c>
      <c r="H275" s="2" t="inlineStr">
        <is>
          <t>1:2.5</t>
        </is>
      </c>
      <c r="I275" s="2" t="n">
        <v>0</v>
      </c>
      <c r="J275" s="7" t="n">
        <v>0</v>
      </c>
      <c r="K275" s="2" t="inlineStr">
        <is>
          <t>PENDING</t>
        </is>
      </c>
      <c r="L275" s="2" t="inlineStr">
        <is>
          <t>Intraday Scanner (STATE 3: Capitulation Bottom)</t>
        </is>
      </c>
    </row>
    <row r="276" ht="15.75" customHeight="1" s="57">
      <c r="A276" s="2" t="inlineStr">
        <is>
          <t>2026-09-25</t>
        </is>
      </c>
      <c r="B276" s="2" t="inlineStr">
        <is>
          <t>AARTIDRUGS</t>
        </is>
      </c>
      <c r="C276" s="2" t="inlineStr">
        <is>
          <t>Aarti Drugs Limited</t>
        </is>
      </c>
      <c r="D276" s="2" t="inlineStr">
        <is>
          <t>100/100</t>
        </is>
      </c>
      <c r="E276" s="7" t="n">
        <v>437.25</v>
      </c>
      <c r="F276" s="7" t="n">
        <v>409.0357142857143</v>
      </c>
      <c r="G276" s="7" t="n">
        <v>507.7857142857143</v>
      </c>
      <c r="H276" s="2" t="inlineStr">
        <is>
          <t>1:2.5</t>
        </is>
      </c>
      <c r="I276" s="2" t="n">
        <v>0</v>
      </c>
      <c r="J276" s="7" t="n">
        <v>0</v>
      </c>
      <c r="K276" s="2" t="inlineStr">
        <is>
          <t>PENDING</t>
        </is>
      </c>
      <c r="L276" s="2" t="inlineStr">
        <is>
          <t>Swing Scanner (STATE 3: Capitulation Bottom)</t>
        </is>
      </c>
    </row>
    <row r="277" ht="15.75" customHeight="1" s="57">
      <c r="A277" s="2" t="inlineStr">
        <is>
          <t>2026-09-25</t>
        </is>
      </c>
      <c r="B277" s="2" t="inlineStr">
        <is>
          <t>OLAELEC</t>
        </is>
      </c>
      <c r="C277" s="2" t="inlineStr">
        <is>
          <t>OLAELEC</t>
        </is>
      </c>
      <c r="D277" s="2" t="inlineStr">
        <is>
          <t>98/100</t>
        </is>
      </c>
      <c r="E277" s="7" t="n">
        <v>42.52000045776367</v>
      </c>
      <c r="F277" s="7" t="n">
        <v>39.04571478707449</v>
      </c>
      <c r="G277" s="7" t="n">
        <v>51.20571463448661</v>
      </c>
      <c r="H277" s="2" t="inlineStr">
        <is>
          <t>1:2.5</t>
        </is>
      </c>
      <c r="I277" s="2" t="n">
        <v>1</v>
      </c>
      <c r="J277" s="7" t="n">
        <v>42.52000045776367</v>
      </c>
      <c r="K277" s="2" t="inlineStr">
        <is>
          <t>PENDING</t>
        </is>
      </c>
      <c r="L277" s="2" t="inlineStr">
        <is>
          <t>Swing Scanner (STATE 3: Capitulation Bottom)</t>
        </is>
      </c>
    </row>
    <row r="278" ht="15.75" customHeight="1" s="57">
      <c r="A278" s="2" t="inlineStr">
        <is>
          <t>2026-09-25</t>
        </is>
      </c>
      <c r="B278" s="2" t="inlineStr">
        <is>
          <t>MANKIND</t>
        </is>
      </c>
      <c r="C278" s="2" t="inlineStr">
        <is>
          <t>Mankind Pharma Limited</t>
        </is>
      </c>
      <c r="D278" s="2" t="inlineStr">
        <is>
          <t>98/100</t>
        </is>
      </c>
      <c r="E278" s="7" t="n">
        <v>2500</v>
      </c>
      <c r="F278" s="7" t="n">
        <v>2394.671456473214</v>
      </c>
      <c r="G278" s="7" t="n">
        <v>2763.321358816964</v>
      </c>
      <c r="H278" s="2" t="inlineStr">
        <is>
          <t>1:2.5</t>
        </is>
      </c>
      <c r="I278" s="2" t="n">
        <v>0</v>
      </c>
      <c r="J278" s="7" t="n">
        <v>0</v>
      </c>
      <c r="K278" s="2" t="inlineStr">
        <is>
          <t>PENDING</t>
        </is>
      </c>
      <c r="L278" s="2" t="inlineStr">
        <is>
          <t>Swing Scanner (STATE 3: Capitulation Bottom)</t>
        </is>
      </c>
    </row>
    <row r="279" ht="15.75" customHeight="1" s="57">
      <c r="A279" s="2" t="inlineStr">
        <is>
          <t>2026-09-25</t>
        </is>
      </c>
      <c r="B279" s="2" t="inlineStr">
        <is>
          <t>BHAGERIA</t>
        </is>
      </c>
      <c r="C279" s="2" t="inlineStr">
        <is>
          <t>Bhageria Industries Limited</t>
        </is>
      </c>
      <c r="D279" s="2" t="inlineStr">
        <is>
          <t>98/100</t>
        </is>
      </c>
      <c r="E279" s="7" t="n">
        <v>359.6499938964844</v>
      </c>
      <c r="F279" s="7" t="n">
        <v>317.749995640346</v>
      </c>
      <c r="G279" s="7" t="n">
        <v>464.3999895368304</v>
      </c>
      <c r="H279" s="2" t="inlineStr">
        <is>
          <t>1:2.5</t>
        </is>
      </c>
      <c r="I279" s="2" t="n">
        <v>0</v>
      </c>
      <c r="J279" s="7" t="n">
        <v>0</v>
      </c>
      <c r="K279" s="2" t="inlineStr">
        <is>
          <t>PENDING</t>
        </is>
      </c>
      <c r="L279" s="2" t="inlineStr">
        <is>
          <t>Swing Scanner (STATE 3: Capitulation Bottom)</t>
        </is>
      </c>
    </row>
    <row r="280" ht="15.75" customHeight="1" s="57">
      <c r="A280" s="2" t="inlineStr">
        <is>
          <t>2026-09-25</t>
        </is>
      </c>
      <c r="B280" s="2" t="inlineStr">
        <is>
          <t>CAPLIPOINT</t>
        </is>
      </c>
      <c r="C280" s="2" t="inlineStr">
        <is>
          <t>Caplin Point Laboratories Limited</t>
        </is>
      </c>
      <c r="D280" s="2" t="inlineStr">
        <is>
          <t>96/100</t>
        </is>
      </c>
      <c r="E280" s="7" t="n">
        <v>2867.39990234375</v>
      </c>
      <c r="F280" s="7" t="n">
        <v>2660.739602635605</v>
      </c>
      <c r="G280" s="7" t="n">
        <v>3384.050651614114</v>
      </c>
      <c r="H280" s="2" t="inlineStr">
        <is>
          <t>1:2.5</t>
        </is>
      </c>
      <c r="I280" s="2" t="n">
        <v>0</v>
      </c>
      <c r="J280" s="7" t="n">
        <v>0</v>
      </c>
      <c r="K280" s="2" t="inlineStr">
        <is>
          <t>PENDING</t>
        </is>
      </c>
      <c r="L280" s="2" t="inlineStr">
        <is>
          <t>Swing Scanner (STATE 3: Capitulation Bottom)</t>
        </is>
      </c>
    </row>
    <row r="281" ht="15.75" customHeight="1" s="57">
      <c r="A281" s="2" t="inlineStr">
        <is>
          <t>2026-09-25</t>
        </is>
      </c>
      <c r="B281" s="2" t="inlineStr">
        <is>
          <t>NESTLEIND</t>
        </is>
      </c>
      <c r="C281" s="2" t="inlineStr">
        <is>
          <t>Nestle India Limited</t>
        </is>
      </c>
      <c r="D281" s="2" t="inlineStr">
        <is>
          <t>100/100</t>
        </is>
      </c>
      <c r="E281" s="7" t="n">
        <v>1362.6</v>
      </c>
      <c r="F281" s="7" t="n">
        <v>1349.75</v>
      </c>
      <c r="G281" s="7" t="n">
        <v>1394.8</v>
      </c>
      <c r="H281" s="2" t="inlineStr">
        <is>
          <t>1:2.5</t>
        </is>
      </c>
      <c r="I281" s="2" t="n">
        <v>0</v>
      </c>
      <c r="J281" s="7" t="n">
        <v>0</v>
      </c>
      <c r="K281" s="2" t="inlineStr">
        <is>
          <t>PENDING</t>
        </is>
      </c>
      <c r="L281" s="2" t="inlineStr">
        <is>
          <t>Intraday Scanner (STATE 3: Capitulation Bottom)</t>
        </is>
      </c>
    </row>
    <row r="282" ht="15.75" customHeight="1" s="57">
      <c r="A282" s="2" t="inlineStr">
        <is>
          <t>2026-09-25</t>
        </is>
      </c>
      <c r="B282" s="2" t="inlineStr">
        <is>
          <t>TITAN</t>
        </is>
      </c>
      <c r="C282" s="2" t="inlineStr">
        <is>
          <t>Titan Company Limited</t>
        </is>
      </c>
      <c r="D282" s="2" t="inlineStr">
        <is>
          <t>100/100</t>
        </is>
      </c>
      <c r="E282" s="7" t="n">
        <v>4884</v>
      </c>
      <c r="F282" s="7" t="n">
        <v>4823.7</v>
      </c>
      <c r="G282" s="7" t="n">
        <v>5034.75</v>
      </c>
      <c r="H282" s="2" t="inlineStr">
        <is>
          <t>1:2.5</t>
        </is>
      </c>
      <c r="I282" s="2" t="n">
        <v>0</v>
      </c>
      <c r="J282" s="7" t="n">
        <v>0</v>
      </c>
      <c r="K282" s="2" t="inlineStr">
        <is>
          <t>PENDING</t>
        </is>
      </c>
      <c r="L282" s="2" t="inlineStr">
        <is>
          <t>Intraday Scanner (STATE 3: Capitulation Bottom)</t>
        </is>
      </c>
    </row>
    <row r="283" ht="15.75" customHeight="1" s="57">
      <c r="A283" s="2" t="inlineStr">
        <is>
          <t>2026-09-25</t>
        </is>
      </c>
      <c r="B283" s="2" t="inlineStr">
        <is>
          <t>SIEMENS</t>
        </is>
      </c>
      <c r="C283" s="2" t="inlineStr">
        <is>
          <t>Siemens Limited</t>
        </is>
      </c>
      <c r="D283" s="2" t="inlineStr">
        <is>
          <t>100/100</t>
        </is>
      </c>
      <c r="E283" s="7" t="n">
        <v>3877</v>
      </c>
      <c r="F283" s="7" t="n">
        <v>3838.55</v>
      </c>
      <c r="G283" s="7" t="n">
        <v>3973.1</v>
      </c>
      <c r="H283" s="2" t="inlineStr">
        <is>
          <t>1:2.5</t>
        </is>
      </c>
      <c r="I283" s="2" t="n">
        <v>0</v>
      </c>
      <c r="J283" s="7" t="n">
        <v>0</v>
      </c>
      <c r="K283" s="2" t="inlineStr">
        <is>
          <t>PENDING</t>
        </is>
      </c>
      <c r="L283" s="2" t="inlineStr">
        <is>
          <t>Intraday Scanner (STATE 3: Capitulation Bottom)</t>
        </is>
      </c>
    </row>
    <row r="284" ht="15.75" customHeight="1" s="57">
      <c r="A284" s="2" t="inlineStr">
        <is>
          <t>2026-09-25</t>
        </is>
      </c>
      <c r="B284" s="2" t="inlineStr">
        <is>
          <t>BERGEPAINT</t>
        </is>
      </c>
      <c r="C284" s="2" t="inlineStr">
        <is>
          <t>Berger Paints India Limited</t>
        </is>
      </c>
      <c r="D284" s="2" t="inlineStr">
        <is>
          <t>100/100</t>
        </is>
      </c>
      <c r="E284" s="7" t="n">
        <v>458.35</v>
      </c>
      <c r="F284" s="7" t="n">
        <v>453.1</v>
      </c>
      <c r="G284" s="7" t="n">
        <v>471.45</v>
      </c>
      <c r="H284" s="2" t="inlineStr">
        <is>
          <t>1:2.5</t>
        </is>
      </c>
      <c r="I284" s="2" t="n">
        <v>0</v>
      </c>
      <c r="J284" s="7" t="n">
        <v>0</v>
      </c>
      <c r="K284" s="2" t="inlineStr">
        <is>
          <t>PENDING</t>
        </is>
      </c>
      <c r="L284" s="2" t="inlineStr">
        <is>
          <t>Intraday Scanner (STATE 3: Capitulation Bottom)</t>
        </is>
      </c>
    </row>
    <row r="285" ht="15.75" customHeight="1" s="57">
      <c r="A285" s="2" t="inlineStr">
        <is>
          <t>2026-09-25</t>
        </is>
      </c>
      <c r="B285" s="2" t="inlineStr">
        <is>
          <t>PERSISTENT</t>
        </is>
      </c>
      <c r="C285" s="2" t="inlineStr">
        <is>
          <t>Persistent Systems Limited</t>
        </is>
      </c>
      <c r="D285" s="2" t="inlineStr">
        <is>
          <t>100/100</t>
        </is>
      </c>
      <c r="E285" s="7" t="n">
        <v>5372</v>
      </c>
      <c r="F285" s="7" t="n">
        <v>5295.65</v>
      </c>
      <c r="G285" s="7" t="n">
        <v>5562.9</v>
      </c>
      <c r="H285" s="2" t="inlineStr">
        <is>
          <t>1:2.5</t>
        </is>
      </c>
      <c r="I285" s="2" t="n">
        <v>0</v>
      </c>
      <c r="J285" s="7" t="n">
        <v>0</v>
      </c>
      <c r="K285" s="2" t="inlineStr">
        <is>
          <t>PENDING</t>
        </is>
      </c>
      <c r="L285" s="2" t="inlineStr">
        <is>
          <t>Intraday Scanner (STATE 3: Capitulation Bottom)</t>
        </is>
      </c>
    </row>
    <row r="286" ht="15.75" customHeight="1" s="57">
      <c r="A286" s="2" t="inlineStr">
        <is>
          <t>2026-09-28</t>
        </is>
      </c>
      <c r="B286" s="2" t="inlineStr">
        <is>
          <t>JAMNAAUTO</t>
        </is>
      </c>
      <c r="C286" s="2" t="inlineStr">
        <is>
          <t>Jamna Auto Industries Limited</t>
        </is>
      </c>
      <c r="D286" s="2" t="inlineStr">
        <is>
          <t>100/100</t>
        </is>
      </c>
      <c r="E286" s="7" t="n">
        <v>138.1999969482422</v>
      </c>
      <c r="F286" s="7" t="n">
        <v>126.7562838196318</v>
      </c>
      <c r="G286" s="7" t="n">
        <v>166.8092797697682</v>
      </c>
      <c r="H286" s="2" t="inlineStr">
        <is>
          <t>1:2.5</t>
        </is>
      </c>
      <c r="I286" s="2" t="n">
        <v>0</v>
      </c>
      <c r="J286" s="7" t="n">
        <v>0</v>
      </c>
      <c r="K286" s="2" t="inlineStr">
        <is>
          <t>PENDING</t>
        </is>
      </c>
      <c r="L286" s="2" t="inlineStr">
        <is>
          <t>Swing Scanner (STATE 3: Capitulation Bottom)</t>
        </is>
      </c>
    </row>
    <row r="287" ht="15.75" customHeight="1" s="57">
      <c r="A287" s="2" t="inlineStr">
        <is>
          <t>2026-09-28</t>
        </is>
      </c>
      <c r="B287" s="2" t="inlineStr">
        <is>
          <t>BOROLTD</t>
        </is>
      </c>
      <c r="C287" s="2" t="inlineStr">
        <is>
          <t>Borosil Limited</t>
        </is>
      </c>
      <c r="D287" s="2" t="inlineStr">
        <is>
          <t>98/100</t>
        </is>
      </c>
      <c r="E287" s="7" t="n">
        <v>264.7999877929688</v>
      </c>
      <c r="F287" s="7" t="n">
        <v>244.9757014683315</v>
      </c>
      <c r="G287" s="7" t="n">
        <v>314.3607036045619</v>
      </c>
      <c r="H287" s="2" t="inlineStr">
        <is>
          <t>1:2.5</t>
        </is>
      </c>
      <c r="I287" s="2" t="n">
        <v>0</v>
      </c>
      <c r="J287" s="7" t="n">
        <v>0</v>
      </c>
      <c r="K287" s="2" t="inlineStr">
        <is>
          <t>PENDING</t>
        </is>
      </c>
      <c r="L287" s="2" t="inlineStr">
        <is>
          <t>Swing Scanner (STATE 3: Capitulation Bottom)</t>
        </is>
      </c>
    </row>
    <row r="288" ht="15.75" customHeight="1" s="57">
      <c r="A288" s="2" t="inlineStr">
        <is>
          <t>2026-09-28</t>
        </is>
      </c>
      <c r="B288" s="2" t="inlineStr">
        <is>
          <t>ANTELOPUS</t>
        </is>
      </c>
      <c r="C288" s="2" t="inlineStr">
        <is>
          <t>ANTELOPUS</t>
        </is>
      </c>
      <c r="D288" s="2" t="inlineStr">
        <is>
          <t>98/100</t>
        </is>
      </c>
      <c r="E288" s="7" t="n">
        <v>1261.699951171875</v>
      </c>
      <c r="F288" s="7" t="n">
        <v>1063.271379743304</v>
      </c>
      <c r="G288" s="7" t="n">
        <v>1757.771379743303</v>
      </c>
      <c r="H288" s="2" t="inlineStr">
        <is>
          <t>1:2.5</t>
        </is>
      </c>
      <c r="I288" s="2" t="n">
        <v>0</v>
      </c>
      <c r="J288" s="7" t="n">
        <v>0</v>
      </c>
      <c r="K288" s="2" t="inlineStr">
        <is>
          <t>PENDING</t>
        </is>
      </c>
      <c r="L288" s="2" t="inlineStr">
        <is>
          <t>Swing Scanner (STATE 3: Capitulation Bottom)</t>
        </is>
      </c>
    </row>
    <row r="289" ht="15.75" customHeight="1" s="57">
      <c r="A289" s="2" t="inlineStr">
        <is>
          <t>2026-09-28</t>
        </is>
      </c>
      <c r="B289" s="2" t="inlineStr">
        <is>
          <t>LALPATHLAB</t>
        </is>
      </c>
      <c r="C289" s="2" t="inlineStr">
        <is>
          <t>Dr. Lal PathLab Limited</t>
        </is>
      </c>
      <c r="D289" s="2" t="inlineStr">
        <is>
          <t>98/100</t>
        </is>
      </c>
      <c r="E289" s="7" t="n">
        <v>1952.300048828125</v>
      </c>
      <c r="F289" s="7" t="n">
        <v>1841.528616768973</v>
      </c>
      <c r="G289" s="7" t="n">
        <v>2229.228628976005</v>
      </c>
      <c r="H289" s="2" t="inlineStr">
        <is>
          <t>1:2.5</t>
        </is>
      </c>
      <c r="I289" s="2" t="n">
        <v>0</v>
      </c>
      <c r="J289" s="7" t="n">
        <v>0</v>
      </c>
      <c r="K289" s="2" t="inlineStr">
        <is>
          <t>PENDING</t>
        </is>
      </c>
      <c r="L289" s="2" t="inlineStr">
        <is>
          <t>Swing Scanner (STATE 3: Capitulation Bottom)</t>
        </is>
      </c>
    </row>
    <row r="290" ht="15.75" customHeight="1" s="57">
      <c r="A290" s="2" t="inlineStr">
        <is>
          <t>2026-09-28</t>
        </is>
      </c>
      <c r="B290" s="2" t="inlineStr">
        <is>
          <t>APLLTD</t>
        </is>
      </c>
      <c r="C290" s="2" t="inlineStr">
        <is>
          <t>Alembic Pharmaceuticals Limited</t>
        </is>
      </c>
      <c r="D290" s="2" t="inlineStr">
        <is>
          <t>95/100</t>
        </is>
      </c>
      <c r="E290" s="7" t="n">
        <v>863.75</v>
      </c>
      <c r="F290" s="7" t="n">
        <v>816.9785679408482</v>
      </c>
      <c r="G290" s="7" t="n">
        <v>980.6785801478794</v>
      </c>
      <c r="H290" s="2" t="inlineStr">
        <is>
          <t>1:2.5</t>
        </is>
      </c>
      <c r="I290" s="2" t="n">
        <v>0</v>
      </c>
      <c r="J290" s="7" t="n">
        <v>0</v>
      </c>
      <c r="K290" s="2" t="inlineStr">
        <is>
          <t>PENDING</t>
        </is>
      </c>
      <c r="L290" s="2" t="inlineStr">
        <is>
          <t>Swing Scanner (STATE 3: Capitulation Bottom)</t>
        </is>
      </c>
    </row>
    <row r="291" ht="15.75" customHeight="1" s="57">
      <c r="A291" s="2" t="inlineStr">
        <is>
          <t>2026-09-28</t>
        </is>
      </c>
      <c r="B291" s="2" t="inlineStr">
        <is>
          <t>BRITANNIA</t>
        </is>
      </c>
      <c r="C291" s="2" t="inlineStr">
        <is>
          <t>Britannia Industries Limited</t>
        </is>
      </c>
      <c r="D291" s="2" t="inlineStr">
        <is>
          <t>100/100</t>
        </is>
      </c>
      <c r="E291" s="7" t="n">
        <v>4915</v>
      </c>
      <c r="F291" s="7" t="n">
        <v>4870.75</v>
      </c>
      <c r="G291" s="7" t="n">
        <v>5025.6</v>
      </c>
      <c r="H291" s="2" t="inlineStr">
        <is>
          <t>1:2.5</t>
        </is>
      </c>
      <c r="I291" s="2" t="n">
        <v>0</v>
      </c>
      <c r="J291" s="7" t="n">
        <v>0</v>
      </c>
      <c r="K291" s="2" t="inlineStr">
        <is>
          <t>PENDING</t>
        </is>
      </c>
      <c r="L291" s="2" t="inlineStr">
        <is>
          <t>Intraday Scanner (STATE 3: Capitulation Bottom)</t>
        </is>
      </c>
    </row>
    <row r="292" ht="15.75" customHeight="1" s="57">
      <c r="A292" s="2" t="inlineStr">
        <is>
          <t>2026-09-28</t>
        </is>
      </c>
      <c r="B292" s="2" t="inlineStr">
        <is>
          <t>MOIL</t>
        </is>
      </c>
      <c r="C292" s="2" t="inlineStr">
        <is>
          <t>MOIL Limited</t>
        </is>
      </c>
      <c r="D292" s="2" t="inlineStr">
        <is>
          <t>100/100</t>
        </is>
      </c>
      <c r="E292" s="7" t="n">
        <v>245</v>
      </c>
      <c r="F292" s="7" t="n">
        <v>240.9</v>
      </c>
      <c r="G292" s="7" t="n">
        <v>255.2</v>
      </c>
      <c r="H292" s="2" t="inlineStr">
        <is>
          <t>1:2.5</t>
        </is>
      </c>
      <c r="I292" s="2" t="n">
        <v>0</v>
      </c>
      <c r="J292" s="7" t="n">
        <v>0</v>
      </c>
      <c r="K292" s="2" t="inlineStr">
        <is>
          <t>PENDING</t>
        </is>
      </c>
      <c r="L292" s="2" t="inlineStr">
        <is>
          <t>Intraday Scanner (STATE 3: Capitulation Bottom)</t>
        </is>
      </c>
    </row>
    <row r="293" ht="15.75" customHeight="1" s="57">
      <c r="A293" s="2" t="inlineStr">
        <is>
          <t>2026-09-28</t>
        </is>
      </c>
      <c r="B293" s="2" t="inlineStr">
        <is>
          <t>PRESTIGE</t>
        </is>
      </c>
      <c r="C293" s="2" t="inlineStr">
        <is>
          <t>Prestige Estates Projects Limited</t>
        </is>
      </c>
      <c r="D293" s="2" t="inlineStr">
        <is>
          <t>100/100</t>
        </is>
      </c>
      <c r="E293" s="7" t="n">
        <v>1470.8</v>
      </c>
      <c r="F293" s="7" t="n">
        <v>1449.8</v>
      </c>
      <c r="G293" s="7" t="n">
        <v>1523.3</v>
      </c>
      <c r="H293" s="2" t="inlineStr">
        <is>
          <t>1:2.5</t>
        </is>
      </c>
      <c r="I293" s="2" t="n">
        <v>0</v>
      </c>
      <c r="J293" s="7" t="n">
        <v>0</v>
      </c>
      <c r="K293" s="2" t="inlineStr">
        <is>
          <t>PENDING</t>
        </is>
      </c>
      <c r="L293" s="2" t="inlineStr">
        <is>
          <t>Intraday Scanner (STATE 3: Capitulation Bottom)</t>
        </is>
      </c>
    </row>
    <row r="294" ht="15.75" customHeight="1" s="57">
      <c r="A294" s="2" t="inlineStr">
        <is>
          <t>2026-09-28</t>
        </is>
      </c>
      <c r="B294" s="2" t="inlineStr">
        <is>
          <t>ENDURANCE</t>
        </is>
      </c>
      <c r="C294" s="2" t="inlineStr">
        <is>
          <t>Endurance Technologies Limited</t>
        </is>
      </c>
      <c r="D294" s="2" t="inlineStr">
        <is>
          <t>95/100</t>
        </is>
      </c>
      <c r="E294" s="7" t="n">
        <v>2700.4</v>
      </c>
      <c r="F294" s="7" t="n">
        <v>2652.95</v>
      </c>
      <c r="G294" s="7" t="n">
        <v>2819</v>
      </c>
      <c r="H294" s="2" t="inlineStr">
        <is>
          <t>1:2.5</t>
        </is>
      </c>
      <c r="I294" s="2" t="n">
        <v>0</v>
      </c>
      <c r="J294" s="7" t="n">
        <v>0</v>
      </c>
      <c r="K294" s="2" t="inlineStr">
        <is>
          <t>PENDING</t>
        </is>
      </c>
      <c r="L294" s="2" t="inlineStr">
        <is>
          <t>Intraday Scanner (STATE 3: Capitulation Bottom)</t>
        </is>
      </c>
    </row>
    <row r="295" ht="15.75" customHeight="1" s="57">
      <c r="A295" s="2" t="inlineStr">
        <is>
          <t>2026-09-28</t>
        </is>
      </c>
      <c r="B295" s="2" t="inlineStr">
        <is>
          <t>FINEORG</t>
        </is>
      </c>
      <c r="C295" s="2" t="inlineStr">
        <is>
          <t>Fine Organic Industries Limited</t>
        </is>
      </c>
      <c r="D295" s="2" t="inlineStr">
        <is>
          <t>79/100</t>
        </is>
      </c>
      <c r="E295" s="7" t="n">
        <v>5124</v>
      </c>
      <c r="F295" s="7" t="n">
        <v>5065.35</v>
      </c>
      <c r="G295" s="7" t="n">
        <v>5270.6</v>
      </c>
      <c r="H295" s="2" t="inlineStr">
        <is>
          <t>1:2.5</t>
        </is>
      </c>
      <c r="I295" s="2" t="n">
        <v>0</v>
      </c>
      <c r="J295" s="7" t="n">
        <v>0</v>
      </c>
      <c r="K295" s="2" t="inlineStr">
        <is>
          <t>PENDING</t>
        </is>
      </c>
      <c r="L295" s="2" t="inlineStr">
        <is>
          <t>Intraday Scanner (STATE 3: Capitulation Bottom)</t>
        </is>
      </c>
    </row>
    <row r="296" ht="15.75" customHeight="1" s="57">
      <c r="A296" s="2" t="inlineStr">
        <is>
          <t>2026-09-29</t>
        </is>
      </c>
      <c r="B296" s="2" t="inlineStr">
        <is>
          <t>LGEINDIA</t>
        </is>
      </c>
      <c r="C296" s="2" t="inlineStr">
        <is>
          <t>LG Electronics India Ltd.</t>
        </is>
      </c>
      <c r="D296" s="2" t="inlineStr">
        <is>
          <t>98/100</t>
        </is>
      </c>
      <c r="E296" s="7" t="n">
        <v>1730.699951171875</v>
      </c>
      <c r="F296" s="7" t="n">
        <v>1653.842808314732</v>
      </c>
      <c r="G296" s="7" t="n">
        <v>1922.842808314732</v>
      </c>
      <c r="H296" s="2" t="inlineStr">
        <is>
          <t>1:2.5</t>
        </is>
      </c>
      <c r="I296" s="2" t="n">
        <v>0</v>
      </c>
      <c r="J296" s="7" t="n">
        <v>0</v>
      </c>
      <c r="K296" s="2" t="inlineStr">
        <is>
          <t>PENDING</t>
        </is>
      </c>
      <c r="L296" s="2" t="inlineStr">
        <is>
          <t>Swing Scanner (STATE 3: Capitulation Bottom)</t>
        </is>
      </c>
    </row>
    <row r="297" ht="15.75" customHeight="1" s="57">
      <c r="A297" s="2" t="inlineStr">
        <is>
          <t>2026-09-29</t>
        </is>
      </c>
      <c r="B297" s="2" t="inlineStr">
        <is>
          <t>JAMNAAUTO</t>
        </is>
      </c>
      <c r="C297" s="2" t="inlineStr">
        <is>
          <t>Jamna Auto Industries Limited</t>
        </is>
      </c>
      <c r="D297" s="2" t="inlineStr">
        <is>
          <t>98/100</t>
        </is>
      </c>
      <c r="E297" s="7" t="n">
        <v>139.6799926757812</v>
      </c>
      <c r="F297" s="7" t="n">
        <v>127.9072044180817</v>
      </c>
      <c r="G297" s="7" t="n">
        <v>169.11196332003</v>
      </c>
      <c r="H297" s="2" t="inlineStr">
        <is>
          <t>1:2.5</t>
        </is>
      </c>
      <c r="I297" s="2" t="n">
        <v>0</v>
      </c>
      <c r="J297" s="7" t="n">
        <v>0</v>
      </c>
      <c r="K297" s="2" t="inlineStr">
        <is>
          <t>PENDING</t>
        </is>
      </c>
      <c r="L297" s="2" t="inlineStr">
        <is>
          <t>Swing Scanner (STATE 3: Capitulation Bottom)</t>
        </is>
      </c>
    </row>
    <row r="298" ht="15.75" customHeight="1" s="57">
      <c r="A298" s="2" t="inlineStr">
        <is>
          <t>2026-09-29</t>
        </is>
      </c>
      <c r="B298" s="2" t="inlineStr">
        <is>
          <t>ASKAUTOLTD</t>
        </is>
      </c>
      <c r="C298" s="2" t="inlineStr">
        <is>
          <t>ASKAUTOLTD</t>
        </is>
      </c>
      <c r="D298" s="2" t="inlineStr">
        <is>
          <t>98/100</t>
        </is>
      </c>
      <c r="E298" s="7" t="n">
        <v>650.3499755859375</v>
      </c>
      <c r="F298" s="7" t="n">
        <v>602.8571079799107</v>
      </c>
      <c r="G298" s="7" t="n">
        <v>769.0821446010044</v>
      </c>
      <c r="H298" s="2" t="inlineStr">
        <is>
          <t>1:2.5</t>
        </is>
      </c>
      <c r="I298" s="2" t="n">
        <v>0</v>
      </c>
      <c r="J298" s="7" t="n">
        <v>0</v>
      </c>
      <c r="K298" s="2" t="inlineStr">
        <is>
          <t>PENDING</t>
        </is>
      </c>
      <c r="L298" s="2" t="inlineStr">
        <is>
          <t>Swing Scanner (STATE 3: Capitulation Bottom)</t>
        </is>
      </c>
    </row>
    <row r="299" ht="15.75" customHeight="1" s="57">
      <c r="A299" s="2" t="inlineStr">
        <is>
          <t>2026-09-29</t>
        </is>
      </c>
      <c r="B299" s="2" t="inlineStr">
        <is>
          <t>BOROLTD</t>
        </is>
      </c>
      <c r="C299" s="2" t="inlineStr">
        <is>
          <t>Borosil Limited</t>
        </is>
      </c>
      <c r="D299" s="2" t="inlineStr">
        <is>
          <t>98/100</t>
        </is>
      </c>
      <c r="E299" s="7" t="n">
        <v>280.7999877929688</v>
      </c>
      <c r="F299" s="7" t="n">
        <v>259.0142691476004</v>
      </c>
      <c r="G299" s="7" t="n">
        <v>335.2642844063895</v>
      </c>
      <c r="H299" s="2" t="inlineStr">
        <is>
          <t>1:2.5</t>
        </is>
      </c>
      <c r="I299" s="2" t="n">
        <v>0</v>
      </c>
      <c r="J299" s="7" t="n">
        <v>0</v>
      </c>
      <c r="K299" s="2" t="inlineStr">
        <is>
          <t>PENDING</t>
        </is>
      </c>
      <c r="L299" s="2" t="inlineStr">
        <is>
          <t>Swing Scanner (STATE 3: Capitulation Bottom)</t>
        </is>
      </c>
    </row>
    <row r="300" ht="15.75" customHeight="1" s="57">
      <c r="A300" s="2" t="inlineStr">
        <is>
          <t>2026-09-29</t>
        </is>
      </c>
      <c r="B300" s="2" t="inlineStr">
        <is>
          <t>GANESHBE</t>
        </is>
      </c>
      <c r="C300" s="2" t="inlineStr">
        <is>
          <t>Ganesh Benzoplast Limited</t>
        </is>
      </c>
      <c r="D300" s="2" t="inlineStr">
        <is>
          <t>98/100</t>
        </is>
      </c>
      <c r="E300" s="7" t="n">
        <v>137.3200073242188</v>
      </c>
      <c r="F300" s="7" t="n">
        <v>123.3785781860352</v>
      </c>
      <c r="G300" s="7" t="n">
        <v>172.1735801696777</v>
      </c>
      <c r="H300" s="2" t="inlineStr">
        <is>
          <t>1:2.5</t>
        </is>
      </c>
      <c r="I300" s="2" t="n">
        <v>0</v>
      </c>
      <c r="J300" s="7" t="n">
        <v>0</v>
      </c>
      <c r="K300" s="2" t="inlineStr">
        <is>
          <t>PENDING</t>
        </is>
      </c>
      <c r="L300" s="2" t="inlineStr">
        <is>
          <t>Swing Scanner (STATE 3: Capitulation Bottom)</t>
        </is>
      </c>
    </row>
    <row r="301" ht="15.75" customHeight="1" s="57">
      <c r="A301" s="2" t="inlineStr">
        <is>
          <t>2026-09-29</t>
        </is>
      </c>
      <c r="B301" s="2" t="inlineStr">
        <is>
          <t>INFY</t>
        </is>
      </c>
      <c r="C301" s="2" t="inlineStr">
        <is>
          <t>Infosys Limited</t>
        </is>
      </c>
      <c r="D301" s="2" t="inlineStr">
        <is>
          <t>100/100</t>
        </is>
      </c>
      <c r="E301" s="7" t="n">
        <v>1015.4</v>
      </c>
      <c r="F301" s="7" t="n">
        <v>1000.7</v>
      </c>
      <c r="G301" s="7" t="n">
        <v>1052.15</v>
      </c>
      <c r="H301" s="2" t="inlineStr">
        <is>
          <t>1:2.5</t>
        </is>
      </c>
      <c r="I301" s="2" t="n">
        <v>0</v>
      </c>
      <c r="J301" s="7" t="n">
        <v>0</v>
      </c>
      <c r="K301" s="2" t="inlineStr">
        <is>
          <t>PENDING</t>
        </is>
      </c>
      <c r="L301" s="2" t="inlineStr">
        <is>
          <t>Intraday Scanner (STATE 3: Capitulation Bottom)</t>
        </is>
      </c>
    </row>
    <row r="302" ht="15.75" customHeight="1" s="57">
      <c r="A302" s="2" t="inlineStr">
        <is>
          <t>2026-09-29</t>
        </is>
      </c>
      <c r="B302" s="2" t="inlineStr">
        <is>
          <t>SUNPHARMA</t>
        </is>
      </c>
      <c r="C302" s="2" t="inlineStr">
        <is>
          <t>Sun Pharmaceutical Industries Limited</t>
        </is>
      </c>
      <c r="D302" s="2" t="inlineStr">
        <is>
          <t>100/100</t>
        </is>
      </c>
      <c r="E302" s="7" t="n">
        <v>1865</v>
      </c>
      <c r="F302" s="7" t="n">
        <v>1852.2</v>
      </c>
      <c r="G302" s="7" t="n">
        <v>1896.95</v>
      </c>
      <c r="H302" s="2" t="inlineStr">
        <is>
          <t>1:2.5</t>
        </is>
      </c>
      <c r="I302" s="2" t="n">
        <v>0</v>
      </c>
      <c r="J302" s="7" t="n">
        <v>0</v>
      </c>
      <c r="K302" s="2" t="inlineStr">
        <is>
          <t>PENDING</t>
        </is>
      </c>
      <c r="L302" s="2" t="inlineStr">
        <is>
          <t>Intraday Scanner (STATE 3: Capitulation Bottom)</t>
        </is>
      </c>
    </row>
    <row r="303" ht="15.75" customHeight="1" s="57">
      <c r="A303" s="2" t="inlineStr">
        <is>
          <t>2026-09-29</t>
        </is>
      </c>
      <c r="B303" s="2" t="inlineStr">
        <is>
          <t>TATASTEEL</t>
        </is>
      </c>
      <c r="C303" s="2" t="inlineStr">
        <is>
          <t>Tata Steel Limited</t>
        </is>
      </c>
      <c r="D303" s="2" t="inlineStr">
        <is>
          <t>100/100</t>
        </is>
      </c>
      <c r="E303" s="7" t="n">
        <v>188</v>
      </c>
      <c r="F303" s="7" t="n">
        <v>185.75</v>
      </c>
      <c r="G303" s="7" t="n">
        <v>193.65</v>
      </c>
      <c r="H303" s="2" t="inlineStr">
        <is>
          <t>1:2.5</t>
        </is>
      </c>
      <c r="I303" s="2" t="n">
        <v>0</v>
      </c>
      <c r="J303" s="7" t="n">
        <v>0</v>
      </c>
      <c r="K303" s="2" t="inlineStr">
        <is>
          <t>PENDING</t>
        </is>
      </c>
      <c r="L303" s="2" t="inlineStr">
        <is>
          <t>Intraday Scanner (STATE 3: Capitulation Bottom)</t>
        </is>
      </c>
    </row>
    <row r="304" ht="15.75" customHeight="1" s="57">
      <c r="A304" s="2" t="inlineStr">
        <is>
          <t>2026-09-29</t>
        </is>
      </c>
      <c r="B304" s="2" t="inlineStr">
        <is>
          <t>JSWSTEEL</t>
        </is>
      </c>
      <c r="C304" s="2" t="inlineStr">
        <is>
          <t>JSW Steel Limited</t>
        </is>
      </c>
      <c r="D304" s="2" t="inlineStr">
        <is>
          <t>100/100</t>
        </is>
      </c>
      <c r="E304" s="7" t="n">
        <v>1272.4</v>
      </c>
      <c r="F304" s="7" t="n">
        <v>1255.3</v>
      </c>
      <c r="G304" s="7" t="n">
        <v>1315.15</v>
      </c>
      <c r="H304" s="2" t="inlineStr">
        <is>
          <t>1:2.5</t>
        </is>
      </c>
      <c r="I304" s="2" t="n">
        <v>0</v>
      </c>
      <c r="J304" s="7" t="n">
        <v>0</v>
      </c>
      <c r="K304" s="2" t="inlineStr">
        <is>
          <t>PENDING</t>
        </is>
      </c>
      <c r="L304" s="2" t="inlineStr">
        <is>
          <t>Intraday Scanner (STATE 3: Capitulation Bottom)</t>
        </is>
      </c>
    </row>
    <row r="305" ht="15.75" customHeight="1" s="57">
      <c r="A305" s="2" t="inlineStr">
        <is>
          <t>2026-09-29</t>
        </is>
      </c>
      <c r="B305" s="2" t="inlineStr">
        <is>
          <t>ADANIPORTS</t>
        </is>
      </c>
      <c r="C305" s="2" t="inlineStr">
        <is>
          <t>Adani Ports and Special Economic Zone Limited</t>
        </is>
      </c>
      <c r="D305" s="2" t="inlineStr">
        <is>
          <t>100/100</t>
        </is>
      </c>
      <c r="E305" s="7" t="n">
        <v>1822</v>
      </c>
      <c r="F305" s="7" t="n">
        <v>1796.45</v>
      </c>
      <c r="G305" s="7" t="n">
        <v>1885.9</v>
      </c>
      <c r="H305" s="2" t="inlineStr">
        <is>
          <t>1:2.5</t>
        </is>
      </c>
      <c r="I305" s="2" t="n">
        <v>0</v>
      </c>
      <c r="J305" s="7" t="n">
        <v>0</v>
      </c>
      <c r="K305" s="2" t="inlineStr">
        <is>
          <t>PENDING</t>
        </is>
      </c>
      <c r="L305" s="2" t="inlineStr">
        <is>
          <t>Intraday Scanner (STATE 3: Capitulation Bottom)</t>
        </is>
      </c>
    </row>
    <row r="306" ht="15.75" customHeight="1" s="57">
      <c r="A306" s="2" t="inlineStr">
        <is>
          <t>2026-09-30</t>
        </is>
      </c>
      <c r="B306" s="2" t="inlineStr">
        <is>
          <t>DATAMATICS</t>
        </is>
      </c>
      <c r="C306" s="2" t="inlineStr">
        <is>
          <t>Datamatics Global Services Limited</t>
        </is>
      </c>
      <c r="D306" s="2" t="inlineStr">
        <is>
          <t>98/100</t>
        </is>
      </c>
      <c r="E306" s="7" t="n">
        <v>821.4000244140625</v>
      </c>
      <c r="F306" s="7" t="n">
        <v>753.7217030006543</v>
      </c>
      <c r="G306" s="7" t="n">
        <v>990.5958279475831</v>
      </c>
      <c r="H306" s="2" t="inlineStr">
        <is>
          <t>1:2.5</t>
        </is>
      </c>
      <c r="I306" s="2" t="n">
        <v>0</v>
      </c>
      <c r="J306" s="7" t="n">
        <v>0</v>
      </c>
      <c r="K306" s="2" t="inlineStr">
        <is>
          <t>PENDING</t>
        </is>
      </c>
      <c r="L306" s="2" t="inlineStr">
        <is>
          <t>Swing Scanner (STATE 3: Capitulation Bottom)</t>
        </is>
      </c>
    </row>
    <row r="307" ht="15.75" customHeight="1" s="57">
      <c r="A307" s="2" t="inlineStr">
        <is>
          <t>2026-09-30</t>
        </is>
      </c>
      <c r="B307" s="2" t="inlineStr">
        <is>
          <t>ADANIPORTS</t>
        </is>
      </c>
      <c r="C307" s="2" t="inlineStr">
        <is>
          <t>Adani Ports and Special Economic Zone Limited</t>
        </is>
      </c>
      <c r="D307" s="2" t="inlineStr">
        <is>
          <t>98/100</t>
        </is>
      </c>
      <c r="E307" s="7" t="n">
        <v>1822</v>
      </c>
      <c r="F307" s="7" t="n">
        <v>1741.985717773438</v>
      </c>
      <c r="G307" s="7" t="n">
        <v>2022.035705566406</v>
      </c>
      <c r="H307" s="2" t="inlineStr">
        <is>
          <t>1:2.5</t>
        </is>
      </c>
      <c r="I307" s="2" t="n">
        <v>0</v>
      </c>
      <c r="J307" s="7" t="n">
        <v>0</v>
      </c>
      <c r="K307" s="2" t="inlineStr">
        <is>
          <t>PENDING</t>
        </is>
      </c>
      <c r="L307" s="2" t="inlineStr">
        <is>
          <t>Swing Scanner (STATE 3: Capitulation Bottom)</t>
        </is>
      </c>
    </row>
    <row r="308" ht="15.75" customHeight="1" s="57">
      <c r="A308" s="2" t="inlineStr">
        <is>
          <t>2026-09-30</t>
        </is>
      </c>
      <c r="B308" s="2" t="inlineStr">
        <is>
          <t>AXISCADES</t>
        </is>
      </c>
      <c r="C308" s="2" t="inlineStr">
        <is>
          <t>AXISCADES Technologies Limited</t>
        </is>
      </c>
      <c r="D308" s="2" t="inlineStr">
        <is>
          <t>98/100</t>
        </is>
      </c>
      <c r="E308" s="7" t="n">
        <v>2067.39990234375</v>
      </c>
      <c r="F308" s="7" t="n">
        <v>1876.657034737723</v>
      </c>
      <c r="G308" s="7" t="n">
        <v>2544.257071358817</v>
      </c>
      <c r="H308" s="2" t="inlineStr">
        <is>
          <t>1:2.5</t>
        </is>
      </c>
      <c r="I308" s="2" t="n">
        <v>0</v>
      </c>
      <c r="J308" s="7" t="n">
        <v>0</v>
      </c>
      <c r="K308" s="2" t="inlineStr">
        <is>
          <t>PENDING</t>
        </is>
      </c>
      <c r="L308" s="2" t="inlineStr">
        <is>
          <t>Swing Scanner (STATE 3: Capitulation Bottom)</t>
        </is>
      </c>
    </row>
    <row r="309" ht="15.75" customHeight="1" s="57">
      <c r="A309" s="2" t="inlineStr">
        <is>
          <t>2026-09-30</t>
        </is>
      </c>
      <c r="B309" s="2" t="inlineStr">
        <is>
          <t>LALPATHLAB</t>
        </is>
      </c>
      <c r="C309" s="2" t="inlineStr">
        <is>
          <t>Dr. Lal PathLab Limited</t>
        </is>
      </c>
      <c r="D309" s="2" t="inlineStr">
        <is>
          <t>98/100</t>
        </is>
      </c>
      <c r="E309" s="7" t="n">
        <v>1950.400024414062</v>
      </c>
      <c r="F309" s="7" t="n">
        <v>1839.757167271205</v>
      </c>
      <c r="G309" s="7" t="n">
        <v>2227.007167271205</v>
      </c>
      <c r="H309" s="2" t="inlineStr">
        <is>
          <t>1:2.5</t>
        </is>
      </c>
      <c r="I309" s="2" t="n">
        <v>0</v>
      </c>
      <c r="J309" s="7" t="n">
        <v>0</v>
      </c>
      <c r="K309" s="2" t="inlineStr">
        <is>
          <t>PENDING</t>
        </is>
      </c>
      <c r="L309" s="2" t="inlineStr">
        <is>
          <t>Swing Scanner (STATE 3: Capitulation Bottom)</t>
        </is>
      </c>
    </row>
    <row r="310" ht="15.75" customHeight="1" s="57">
      <c r="A310" s="2" t="inlineStr">
        <is>
          <t>2026-09-30</t>
        </is>
      </c>
      <c r="B310" s="2" t="inlineStr">
        <is>
          <t>GANESHBE</t>
        </is>
      </c>
      <c r="C310" s="2" t="inlineStr">
        <is>
          <t>Ganesh Benzoplast Limited</t>
        </is>
      </c>
      <c r="D310" s="2" t="inlineStr">
        <is>
          <t>96/100</t>
        </is>
      </c>
      <c r="E310" s="7" t="n">
        <v>137.8300018310547</v>
      </c>
      <c r="F310" s="7" t="n">
        <v>123.6600025721959</v>
      </c>
      <c r="G310" s="7" t="n">
        <v>173.2549999782017</v>
      </c>
      <c r="H310" s="2" t="inlineStr">
        <is>
          <t>1:2.5</t>
        </is>
      </c>
      <c r="I310" s="2" t="n">
        <v>0</v>
      </c>
      <c r="J310" s="7" t="n">
        <v>0</v>
      </c>
      <c r="K310" s="2" t="inlineStr">
        <is>
          <t>PENDING</t>
        </is>
      </c>
      <c r="L310" s="2" t="inlineStr">
        <is>
          <t>Swing Scanner (STATE 3: Capitulation Bottom)</t>
        </is>
      </c>
    </row>
    <row r="311" ht="15.75" customHeight="1" s="57">
      <c r="A311" s="2" t="inlineStr">
        <is>
          <t>2026-09-30</t>
        </is>
      </c>
      <c r="B311" s="2" t="inlineStr">
        <is>
          <t>MGL</t>
        </is>
      </c>
      <c r="C311" s="2" t="inlineStr">
        <is>
          <t>Mahanagar Gas Limited</t>
        </is>
      </c>
      <c r="D311" s="2" t="inlineStr">
        <is>
          <t>100/100</t>
        </is>
      </c>
      <c r="E311" s="7" t="n">
        <v>1059</v>
      </c>
      <c r="F311" s="7" t="n">
        <v>1041.95</v>
      </c>
      <c r="G311" s="7" t="n">
        <v>1101.7</v>
      </c>
      <c r="H311" s="2" t="inlineStr">
        <is>
          <t>1:2.5</t>
        </is>
      </c>
      <c r="I311" s="2" t="n">
        <v>0</v>
      </c>
      <c r="J311" s="7" t="n">
        <v>0</v>
      </c>
      <c r="K311" s="2" t="inlineStr">
        <is>
          <t>PENDING</t>
        </is>
      </c>
      <c r="L311" s="2" t="inlineStr">
        <is>
          <t>Intraday Scanner (STATE 3: Capitulation Bottom)</t>
        </is>
      </c>
    </row>
    <row r="312" ht="15.75" customHeight="1" s="57">
      <c r="A312" s="2" t="inlineStr">
        <is>
          <t>2026-09-30</t>
        </is>
      </c>
      <c r="B312" s="2" t="inlineStr">
        <is>
          <t>POLYMED</t>
        </is>
      </c>
      <c r="C312" s="2" t="inlineStr">
        <is>
          <t>Poly Medicure Limited</t>
        </is>
      </c>
      <c r="D312" s="2" t="inlineStr">
        <is>
          <t>100/100</t>
        </is>
      </c>
      <c r="E312" s="7" t="n">
        <v>1675</v>
      </c>
      <c r="F312" s="7" t="n">
        <v>1626.9</v>
      </c>
      <c r="G312" s="7" t="n">
        <v>1795.25</v>
      </c>
      <c r="H312" s="2" t="inlineStr">
        <is>
          <t>1:2.5</t>
        </is>
      </c>
      <c r="I312" s="2" t="n">
        <v>0</v>
      </c>
      <c r="J312" s="7" t="n">
        <v>0</v>
      </c>
      <c r="K312" s="2" t="inlineStr">
        <is>
          <t>PENDING</t>
        </is>
      </c>
      <c r="L312" s="2" t="inlineStr">
        <is>
          <t>Intraday Scanner (STATE 3: Capitulation Bottom)</t>
        </is>
      </c>
    </row>
    <row r="313" ht="15.75" customHeight="1" s="57">
      <c r="A313" s="2" t="inlineStr">
        <is>
          <t>2026-09-30</t>
        </is>
      </c>
      <c r="B313" s="2" t="inlineStr">
        <is>
          <t>LALPATHLAB</t>
        </is>
      </c>
      <c r="C313" s="2" t="inlineStr">
        <is>
          <t>Dr. Lal PathLab Limited</t>
        </is>
      </c>
      <c r="D313" s="2" t="inlineStr">
        <is>
          <t>100/100</t>
        </is>
      </c>
      <c r="E313" s="7" t="n">
        <v>1982.6</v>
      </c>
      <c r="F313" s="7" t="n">
        <v>1943.95</v>
      </c>
      <c r="G313" s="7" t="n">
        <v>2079.3</v>
      </c>
      <c r="H313" s="2" t="inlineStr">
        <is>
          <t>1:2.5</t>
        </is>
      </c>
      <c r="I313" s="2" t="n">
        <v>0</v>
      </c>
      <c r="J313" s="7" t="n">
        <v>0</v>
      </c>
      <c r="K313" s="2" t="inlineStr">
        <is>
          <t>PENDING</t>
        </is>
      </c>
      <c r="L313" s="2" t="inlineStr">
        <is>
          <t>Intraday Scanner (STATE 3: Capitulation Bottom)</t>
        </is>
      </c>
    </row>
    <row r="314" ht="15.75" customHeight="1" s="57">
      <c r="A314" s="2" t="inlineStr">
        <is>
          <t>2026-09-30</t>
        </is>
      </c>
      <c r="B314" s="2" t="inlineStr">
        <is>
          <t>PRESTIGE</t>
        </is>
      </c>
      <c r="C314" s="2" t="inlineStr">
        <is>
          <t>Prestige Estates Projects Limited</t>
        </is>
      </c>
      <c r="D314" s="2" t="inlineStr">
        <is>
          <t>100/100</t>
        </is>
      </c>
      <c r="E314" s="7" t="n">
        <v>1481.9</v>
      </c>
      <c r="F314" s="7" t="n">
        <v>1458.4</v>
      </c>
      <c r="G314" s="7" t="n">
        <v>1540.65</v>
      </c>
      <c r="H314" s="2" t="inlineStr">
        <is>
          <t>1:2.5</t>
        </is>
      </c>
      <c r="I314" s="2" t="n">
        <v>0</v>
      </c>
      <c r="J314" s="7" t="n">
        <v>0</v>
      </c>
      <c r="K314" s="2" t="inlineStr">
        <is>
          <t>PENDING</t>
        </is>
      </c>
      <c r="L314" s="2" t="inlineStr">
        <is>
          <t>Intraday Scanner (STATE 3: Capitulation Bottom)</t>
        </is>
      </c>
    </row>
    <row r="315" ht="15.75" customHeight="1" s="57">
      <c r="A315" s="2" t="inlineStr">
        <is>
          <t>2026-09-30</t>
        </is>
      </c>
      <c r="B315" s="2" t="inlineStr">
        <is>
          <t>SOBHA</t>
        </is>
      </c>
      <c r="C315" s="2" t="inlineStr">
        <is>
          <t>Sobha Limited</t>
        </is>
      </c>
      <c r="D315" s="2" t="inlineStr">
        <is>
          <t>100/100</t>
        </is>
      </c>
      <c r="E315" s="7" t="n">
        <v>1221.6</v>
      </c>
      <c r="F315" s="7" t="n">
        <v>1205.35</v>
      </c>
      <c r="G315" s="7" t="n">
        <v>1262.25</v>
      </c>
      <c r="H315" s="2" t="inlineStr">
        <is>
          <t>1:2.5</t>
        </is>
      </c>
      <c r="I315" s="2" t="n">
        <v>0</v>
      </c>
      <c r="J315" s="7" t="n">
        <v>0</v>
      </c>
      <c r="K315" s="2" t="inlineStr">
        <is>
          <t>PENDING</t>
        </is>
      </c>
      <c r="L315" s="2" t="inlineStr">
        <is>
          <t>Intraday Scanner (STATE 3: Capitulation Bottom)</t>
        </is>
      </c>
    </row>
    <row r="316" ht="15.75" customHeight="1" s="57">
      <c r="A316" s="2" t="inlineStr">
        <is>
          <t>2026-10-01</t>
        </is>
      </c>
      <c r="B316" s="2" t="inlineStr">
        <is>
          <t>ADANIPORTS</t>
        </is>
      </c>
      <c r="C316" s="2" t="inlineStr">
        <is>
          <t>Adani Ports and Special Economic Zone Limited</t>
        </is>
      </c>
      <c r="D316" s="2" t="inlineStr">
        <is>
          <t>100/100</t>
        </is>
      </c>
      <c r="E316" s="7" t="n">
        <v>1798.300048828125</v>
      </c>
      <c r="F316" s="7" t="n">
        <v>1715.857195172991</v>
      </c>
      <c r="G316" s="7" t="n">
        <v>2004.40718296596</v>
      </c>
      <c r="H316" s="2" t="inlineStr">
        <is>
          <t>1:2.5</t>
        </is>
      </c>
      <c r="I316" s="2" t="n">
        <v>0</v>
      </c>
      <c r="J316" s="7" t="n">
        <v>0</v>
      </c>
      <c r="K316" s="2" t="inlineStr">
        <is>
          <t>PENDING</t>
        </is>
      </c>
      <c r="L316" s="2" t="inlineStr">
        <is>
          <t>Swing Scanner (STATE 3: Capitulation Bottom)</t>
        </is>
      </c>
    </row>
    <row r="317" ht="15.75" customHeight="1" s="57">
      <c r="A317" s="2" t="inlineStr">
        <is>
          <t>2026-10-01</t>
        </is>
      </c>
      <c r="B317" s="2" t="inlineStr">
        <is>
          <t>AZAD</t>
        </is>
      </c>
      <c r="C317" s="2" t="inlineStr">
        <is>
          <t>AZAD</t>
        </is>
      </c>
      <c r="D317" s="2" t="inlineStr">
        <is>
          <t>100/100</t>
        </is>
      </c>
      <c r="E317" s="7" t="n">
        <v>2963.199951171875</v>
      </c>
      <c r="F317" s="7" t="n">
        <v>2688.542829241072</v>
      </c>
      <c r="G317" s="7" t="n">
        <v>3649.842755998884</v>
      </c>
      <c r="H317" s="2" t="inlineStr">
        <is>
          <t>1:2.5</t>
        </is>
      </c>
      <c r="I317" s="2" t="n">
        <v>0</v>
      </c>
      <c r="J317" s="7" t="n">
        <v>0</v>
      </c>
      <c r="K317" s="2" t="inlineStr">
        <is>
          <t>PENDING</t>
        </is>
      </c>
      <c r="L317" s="2" t="inlineStr">
        <is>
          <t>Swing Scanner (STATE 3: Capitulation Bottom)</t>
        </is>
      </c>
    </row>
    <row r="318" ht="15.75" customHeight="1" s="57">
      <c r="A318" s="2" t="inlineStr">
        <is>
          <t>2026-10-01</t>
        </is>
      </c>
      <c r="B318" s="2" t="inlineStr">
        <is>
          <t>AXISCADES</t>
        </is>
      </c>
      <c r="C318" s="2" t="inlineStr">
        <is>
          <t>AXISCADES Technologies Limited</t>
        </is>
      </c>
      <c r="D318" s="2" t="inlineStr">
        <is>
          <t>98/100</t>
        </is>
      </c>
      <c r="E318" s="7" t="n">
        <v>2231.199951171875</v>
      </c>
      <c r="F318" s="7" t="n">
        <v>2021.628487723214</v>
      </c>
      <c r="G318" s="7" t="n">
        <v>2755.128609793527</v>
      </c>
      <c r="H318" s="2" t="inlineStr">
        <is>
          <t>1:2.5</t>
        </is>
      </c>
      <c r="I318" s="2" t="n">
        <v>0</v>
      </c>
      <c r="J318" s="7" t="n">
        <v>0</v>
      </c>
      <c r="K318" s="2" t="inlineStr">
        <is>
          <t>PENDING</t>
        </is>
      </c>
      <c r="L318" s="2" t="inlineStr">
        <is>
          <t>Swing Scanner (STATE 3: Capitulation Bottom)</t>
        </is>
      </c>
    </row>
    <row r="319" ht="15.75" customHeight="1" s="57">
      <c r="A319" s="2" t="inlineStr">
        <is>
          <t>2026-10-01</t>
        </is>
      </c>
      <c r="B319" s="2" t="inlineStr">
        <is>
          <t>ARIS</t>
        </is>
      </c>
      <c r="C319" s="2" t="inlineStr">
        <is>
          <t>Arisinfra Solutions Limited</t>
        </is>
      </c>
      <c r="D319" s="2" t="inlineStr">
        <is>
          <t>98/100</t>
        </is>
      </c>
      <c r="E319" s="7" t="n">
        <v>143.8800048828125</v>
      </c>
      <c r="F319" s="7" t="n">
        <v>129.3071474347796</v>
      </c>
      <c r="G319" s="7" t="n">
        <v>180.3121485028948</v>
      </c>
      <c r="H319" s="2" t="inlineStr">
        <is>
          <t>1:2.5</t>
        </is>
      </c>
      <c r="I319" s="2" t="n">
        <v>0</v>
      </c>
      <c r="J319" s="7" t="n">
        <v>0</v>
      </c>
      <c r="K319" s="2" t="inlineStr">
        <is>
          <t>PENDING</t>
        </is>
      </c>
      <c r="L319" s="2" t="inlineStr">
        <is>
          <t>Swing Scanner (STATE 3: Capitulation Bottom)</t>
        </is>
      </c>
    </row>
    <row r="320" ht="15.75" customHeight="1" s="57">
      <c r="A320" s="2" t="inlineStr">
        <is>
          <t>2026-10-01</t>
        </is>
      </c>
      <c r="B320" s="2" t="inlineStr">
        <is>
          <t>BOROLTD</t>
        </is>
      </c>
      <c r="C320" s="2" t="inlineStr">
        <is>
          <t>Borosil Limited</t>
        </is>
      </c>
      <c r="D320" s="2" t="inlineStr">
        <is>
          <t>98/100</t>
        </is>
      </c>
      <c r="E320" s="7" t="n">
        <v>293.3800048828125</v>
      </c>
      <c r="F320" s="7" t="n">
        <v>270.4185703822545</v>
      </c>
      <c r="G320" s="7" t="n">
        <v>350.7835911342076</v>
      </c>
      <c r="H320" s="2" t="inlineStr">
        <is>
          <t>1:2.5</t>
        </is>
      </c>
      <c r="I320" s="2" t="n">
        <v>0</v>
      </c>
      <c r="J320" s="7" t="n">
        <v>0</v>
      </c>
      <c r="K320" s="2" t="inlineStr">
        <is>
          <t>PENDING</t>
        </is>
      </c>
      <c r="L320" s="2" t="inlineStr">
        <is>
          <t>Swing Scanner (STATE 3: Capitulation Bottom)</t>
        </is>
      </c>
    </row>
    <row r="321" ht="15.75" customHeight="1" s="57">
      <c r="A321" s="2" t="inlineStr">
        <is>
          <t>2026-10-01</t>
        </is>
      </c>
      <c r="B321" s="2" t="inlineStr">
        <is>
          <t>INFY</t>
        </is>
      </c>
      <c r="C321" s="2" t="inlineStr">
        <is>
          <t>Infosys Limited</t>
        </is>
      </c>
      <c r="D321" s="2" t="inlineStr">
        <is>
          <t>100/100</t>
        </is>
      </c>
      <c r="E321" s="7" t="n">
        <v>1035</v>
      </c>
      <c r="F321" s="7" t="n">
        <v>1018.6</v>
      </c>
      <c r="G321" s="7" t="n">
        <v>1075.95</v>
      </c>
      <c r="H321" s="2" t="inlineStr">
        <is>
          <t>1:2.5</t>
        </is>
      </c>
      <c r="I321" s="2" t="n">
        <v>0</v>
      </c>
      <c r="J321" s="7" t="n">
        <v>0</v>
      </c>
      <c r="K321" s="2" t="inlineStr">
        <is>
          <t>PENDING</t>
        </is>
      </c>
      <c r="L321" s="2" t="inlineStr">
        <is>
          <t>Intraday Scanner (STATE 3: Capitulation Bottom)</t>
        </is>
      </c>
    </row>
    <row r="322" ht="15.75" customHeight="1" s="57">
      <c r="A322" s="2" t="inlineStr">
        <is>
          <t>2026-10-01</t>
        </is>
      </c>
      <c r="B322" s="2" t="inlineStr">
        <is>
          <t>TATACOMM</t>
        </is>
      </c>
      <c r="C322" s="2" t="inlineStr">
        <is>
          <t>Tata Communications Limited</t>
        </is>
      </c>
      <c r="D322" s="2" t="inlineStr">
        <is>
          <t>100/100</t>
        </is>
      </c>
      <c r="E322" s="7" t="n">
        <v>1685.8</v>
      </c>
      <c r="F322" s="7" t="n">
        <v>1661.85</v>
      </c>
      <c r="G322" s="7" t="n">
        <v>1745.65</v>
      </c>
      <c r="H322" s="2" t="inlineStr">
        <is>
          <t>1:2.5</t>
        </is>
      </c>
      <c r="I322" s="2" t="n">
        <v>0</v>
      </c>
      <c r="J322" s="7" t="n">
        <v>0</v>
      </c>
      <c r="K322" s="2" t="inlineStr">
        <is>
          <t>PENDING</t>
        </is>
      </c>
      <c r="L322" s="2" t="inlineStr">
        <is>
          <t>Intraday Scanner (STATE 3: Capitulation Bottom)</t>
        </is>
      </c>
    </row>
    <row r="323" ht="15.75" customHeight="1" s="57">
      <c r="A323" s="2" t="inlineStr">
        <is>
          <t>2026-10-01</t>
        </is>
      </c>
      <c r="B323" s="2" t="inlineStr">
        <is>
          <t>VINATIORGA</t>
        </is>
      </c>
      <c r="C323" s="2" t="inlineStr">
        <is>
          <t>Vinati Organics Limited</t>
        </is>
      </c>
      <c r="D323" s="2" t="inlineStr">
        <is>
          <t>100/100</t>
        </is>
      </c>
      <c r="E323" s="7" t="n">
        <v>1208.1</v>
      </c>
      <c r="F323" s="7" t="n">
        <v>1184.9</v>
      </c>
      <c r="G323" s="7" t="n">
        <v>1266.15</v>
      </c>
      <c r="H323" s="2" t="inlineStr">
        <is>
          <t>1:2.5</t>
        </is>
      </c>
      <c r="I323" s="2" t="n">
        <v>0</v>
      </c>
      <c r="J323" s="7" t="n">
        <v>0</v>
      </c>
      <c r="K323" s="2" t="inlineStr">
        <is>
          <t>PENDING</t>
        </is>
      </c>
      <c r="L323" s="2" t="inlineStr">
        <is>
          <t>Intraday Scanner (STATE 3: Capitulation Bottom)</t>
        </is>
      </c>
    </row>
    <row r="324" ht="15.75" customHeight="1" s="57">
      <c r="A324" s="2" t="inlineStr">
        <is>
          <t>2026-10-01</t>
        </is>
      </c>
      <c r="B324" s="2" t="inlineStr">
        <is>
          <t>CLEAN</t>
        </is>
      </c>
      <c r="C324" s="2" t="inlineStr">
        <is>
          <t>Clean Science and Technology Limited</t>
        </is>
      </c>
      <c r="D324" s="2" t="inlineStr">
        <is>
          <t>100/100</t>
        </is>
      </c>
      <c r="E324" s="7" t="n">
        <v>808.1</v>
      </c>
      <c r="F324" s="7" t="n">
        <v>792.35</v>
      </c>
      <c r="G324" s="7" t="n">
        <v>847.5</v>
      </c>
      <c r="H324" s="2" t="inlineStr">
        <is>
          <t>1:2.5</t>
        </is>
      </c>
      <c r="I324" s="2" t="n">
        <v>0</v>
      </c>
      <c r="J324" s="7" t="n">
        <v>0</v>
      </c>
      <c r="K324" s="2" t="inlineStr">
        <is>
          <t>PENDING</t>
        </is>
      </c>
      <c r="L324" s="2" t="inlineStr">
        <is>
          <t>Intraday Scanner (STATE 3: Capitulation Bottom)</t>
        </is>
      </c>
    </row>
    <row r="325" ht="15.75" customHeight="1" s="57">
      <c r="A325" s="2" t="inlineStr">
        <is>
          <t>2026-10-01</t>
        </is>
      </c>
      <c r="B325" s="2" t="inlineStr">
        <is>
          <t>CUMMINSIND</t>
        </is>
      </c>
      <c r="C325" s="2" t="inlineStr">
        <is>
          <t>Cummins India Limited</t>
        </is>
      </c>
      <c r="D325" s="2" t="inlineStr">
        <is>
          <t>98/100</t>
        </is>
      </c>
      <c r="E325" s="7" t="n">
        <v>4860</v>
      </c>
      <c r="F325" s="7" t="n">
        <v>4786.35</v>
      </c>
      <c r="G325" s="7" t="n">
        <v>5044.1</v>
      </c>
      <c r="H325" s="2" t="inlineStr">
        <is>
          <t>1:2.5</t>
        </is>
      </c>
      <c r="I325" s="2" t="n">
        <v>0</v>
      </c>
      <c r="J325" s="7" t="n">
        <v>0</v>
      </c>
      <c r="K325" s="2" t="inlineStr">
        <is>
          <t>PENDING</t>
        </is>
      </c>
      <c r="L325" s="2" t="inlineStr">
        <is>
          <t>Intraday Scanner (STATE 3: Capitulation Bottom)</t>
        </is>
      </c>
    </row>
    <row r="326" ht="15.75" customHeight="1" s="57">
      <c r="A326" s="2" t="inlineStr">
        <is>
          <t>2026-10-02</t>
        </is>
      </c>
      <c r="B326" s="2" t="inlineStr">
        <is>
          <t>GKSL</t>
        </is>
      </c>
      <c r="C326" s="2" t="inlineStr">
        <is>
          <t>GKSL</t>
        </is>
      </c>
      <c r="D326" s="2" t="inlineStr">
        <is>
          <t>95/100</t>
        </is>
      </c>
      <c r="E326" s="7" t="n">
        <v>194.2700042724609</v>
      </c>
      <c r="F326" s="7" t="n">
        <v>172.9800044468471</v>
      </c>
      <c r="G326" s="7" t="n">
        <v>247.4950038364955</v>
      </c>
      <c r="H326" s="2" t="inlineStr">
        <is>
          <t>1:2.5</t>
        </is>
      </c>
      <c r="I326" s="2" t="n">
        <v>0</v>
      </c>
      <c r="J326" s="7" t="n">
        <v>0</v>
      </c>
      <c r="K326" s="2" t="inlineStr">
        <is>
          <t>PENDING</t>
        </is>
      </c>
      <c r="L326" s="2" t="inlineStr">
        <is>
          <t>Swing Scanner (STATE 3: Capitulation Bottom)</t>
        </is>
      </c>
    </row>
    <row r="327" ht="15.75" customHeight="1" s="57">
      <c r="A327" s="2" t="inlineStr">
        <is>
          <t>2026-10-02</t>
        </is>
      </c>
      <c r="B327" s="2" t="inlineStr">
        <is>
          <t>LALPATHLAB</t>
        </is>
      </c>
      <c r="C327" s="2" t="inlineStr">
        <is>
          <t>Dr. Lal PathLab Limited</t>
        </is>
      </c>
      <c r="D327" s="2" t="inlineStr">
        <is>
          <t>95/100</t>
        </is>
      </c>
      <c r="E327" s="7" t="n">
        <v>2005.099975585938</v>
      </c>
      <c r="F327" s="7" t="n">
        <v>1873.942818777902</v>
      </c>
      <c r="G327" s="7" t="n">
        <v>2332.992867606027</v>
      </c>
      <c r="H327" s="2" t="inlineStr">
        <is>
          <t>1:2.5</t>
        </is>
      </c>
      <c r="I327" s="2" t="n">
        <v>0</v>
      </c>
      <c r="J327" s="7" t="n">
        <v>0</v>
      </c>
      <c r="K327" s="2" t="inlineStr">
        <is>
          <t>PENDING</t>
        </is>
      </c>
      <c r="L327" s="2" t="inlineStr">
        <is>
          <t>Swing Scanner (STATE 3: Capitulation Bottom)</t>
        </is>
      </c>
    </row>
    <row r="328" ht="15.75" customHeight="1" s="57">
      <c r="A328" s="2" t="inlineStr">
        <is>
          <t>2026-10-02</t>
        </is>
      </c>
      <c r="B328" s="2" t="inlineStr">
        <is>
          <t>LGEINDIA</t>
        </is>
      </c>
      <c r="C328" s="2" t="inlineStr">
        <is>
          <t>LG Electronics India Ltd.</t>
        </is>
      </c>
      <c r="D328" s="2" t="inlineStr">
        <is>
          <t>94/100</t>
        </is>
      </c>
      <c r="E328" s="7" t="n">
        <v>1721.800048828125</v>
      </c>
      <c r="F328" s="7" t="n">
        <v>1639.657174246652</v>
      </c>
      <c r="G328" s="7" t="n">
        <v>1927.157235281808</v>
      </c>
      <c r="H328" s="2" t="inlineStr">
        <is>
          <t>1:2.5</t>
        </is>
      </c>
      <c r="I328" s="2" t="n">
        <v>0</v>
      </c>
      <c r="J328" s="7" t="n">
        <v>0</v>
      </c>
      <c r="K328" s="2" t="inlineStr">
        <is>
          <t>PENDING</t>
        </is>
      </c>
      <c r="L328" s="2" t="inlineStr">
        <is>
          <t>Swing Scanner (STATE 3: Capitulation Bottom)</t>
        </is>
      </c>
    </row>
    <row r="329" ht="15.75" customHeight="1" s="57">
      <c r="A329" s="2" t="inlineStr">
        <is>
          <t>2026-10-02</t>
        </is>
      </c>
      <c r="B329" s="2" t="inlineStr">
        <is>
          <t>AXISCADES</t>
        </is>
      </c>
      <c r="C329" s="2" t="inlineStr">
        <is>
          <t>AXISCADES Technologies Limited</t>
        </is>
      </c>
      <c r="D329" s="2" t="inlineStr">
        <is>
          <t>93/100</t>
        </is>
      </c>
      <c r="E329" s="7" t="n">
        <v>2307.300048828125</v>
      </c>
      <c r="F329" s="7" t="n">
        <v>2078.5</v>
      </c>
      <c r="G329" s="7" t="n">
        <v>2879.300170898438</v>
      </c>
      <c r="H329" s="2" t="inlineStr">
        <is>
          <t>1:2.5</t>
        </is>
      </c>
      <c r="I329" s="2" t="n">
        <v>0</v>
      </c>
      <c r="J329" s="7" t="n">
        <v>0</v>
      </c>
      <c r="K329" s="2" t="inlineStr">
        <is>
          <t>PENDING</t>
        </is>
      </c>
      <c r="L329" s="2" t="inlineStr">
        <is>
          <t>Swing Scanner (STATE 3: Capitulation Bottom)</t>
        </is>
      </c>
    </row>
    <row r="330" ht="15.75" customHeight="1" s="57">
      <c r="A330" s="2" t="inlineStr">
        <is>
          <t>2026-10-02</t>
        </is>
      </c>
      <c r="B330" s="2" t="inlineStr">
        <is>
          <t>BOROLTD</t>
        </is>
      </c>
      <c r="C330" s="2" t="inlineStr">
        <is>
          <t>Borosil Limited</t>
        </is>
      </c>
      <c r="D330" s="2" t="inlineStr">
        <is>
          <t>92/100</t>
        </is>
      </c>
      <c r="E330" s="7" t="n">
        <v>280.2000122070312</v>
      </c>
      <c r="F330" s="7" t="n">
        <v>255.3242928641183</v>
      </c>
      <c r="G330" s="7" t="n">
        <v>342.3893105643136</v>
      </c>
      <c r="H330" s="2" t="inlineStr">
        <is>
          <t>1:2.5</t>
        </is>
      </c>
      <c r="I330" s="2" t="n">
        <v>0</v>
      </c>
      <c r="J330" s="7" t="n">
        <v>0</v>
      </c>
      <c r="K330" s="2" t="inlineStr">
        <is>
          <t>PENDING</t>
        </is>
      </c>
      <c r="L330" s="2" t="inlineStr">
        <is>
          <t>Swing Scanner (STATE 3: Capitulation Bottom)</t>
        </is>
      </c>
    </row>
    <row r="331" ht="15.75" customHeight="1" s="57">
      <c r="A331" s="2" t="inlineStr">
        <is>
          <t>2026-10-02</t>
        </is>
      </c>
      <c r="B331" s="2" t="inlineStr">
        <is>
          <t>INFY</t>
        </is>
      </c>
      <c r="C331" s="2" t="inlineStr">
        <is>
          <t>Infosys Limited</t>
        </is>
      </c>
      <c r="D331" s="2" t="inlineStr">
        <is>
          <t>100/100</t>
        </is>
      </c>
      <c r="E331" s="7" t="n">
        <v>1035</v>
      </c>
      <c r="F331" s="7" t="n">
        <v>1018.6</v>
      </c>
      <c r="G331" s="7" t="n">
        <v>1075.95</v>
      </c>
      <c r="H331" s="2" t="inlineStr">
        <is>
          <t>1:2.5</t>
        </is>
      </c>
      <c r="I331" s="2" t="n">
        <v>0</v>
      </c>
      <c r="J331" s="7" t="n">
        <v>0</v>
      </c>
      <c r="K331" s="2" t="inlineStr">
        <is>
          <t>PENDING</t>
        </is>
      </c>
      <c r="L331" s="2" t="inlineStr">
        <is>
          <t>Intraday Scanner (STATE 3: Capitulation Bottom)</t>
        </is>
      </c>
    </row>
    <row r="332" ht="15.75" customHeight="1" s="57">
      <c r="A332" s="2" t="inlineStr">
        <is>
          <t>2026-10-02</t>
        </is>
      </c>
      <c r="B332" s="2" t="inlineStr">
        <is>
          <t>TATACOMM</t>
        </is>
      </c>
      <c r="C332" s="2" t="inlineStr">
        <is>
          <t>Tata Communications Limited</t>
        </is>
      </c>
      <c r="D332" s="2" t="inlineStr">
        <is>
          <t>100/100</t>
        </is>
      </c>
      <c r="E332" s="7" t="n">
        <v>1685.8</v>
      </c>
      <c r="F332" s="7" t="n">
        <v>1661.85</v>
      </c>
      <c r="G332" s="7" t="n">
        <v>1745.65</v>
      </c>
      <c r="H332" s="2" t="inlineStr">
        <is>
          <t>1:2.5</t>
        </is>
      </c>
      <c r="I332" s="2" t="n">
        <v>0</v>
      </c>
      <c r="J332" s="7" t="n">
        <v>0</v>
      </c>
      <c r="K332" s="2" t="inlineStr">
        <is>
          <t>PENDING</t>
        </is>
      </c>
      <c r="L332" s="2" t="inlineStr">
        <is>
          <t>Intraday Scanner (STATE 3: Capitulation Bottom)</t>
        </is>
      </c>
    </row>
    <row r="333" ht="15.75" customHeight="1" s="57">
      <c r="A333" s="2" t="inlineStr">
        <is>
          <t>2026-10-02</t>
        </is>
      </c>
      <c r="B333" s="2" t="inlineStr">
        <is>
          <t>VINATIORGA</t>
        </is>
      </c>
      <c r="C333" s="2" t="inlineStr">
        <is>
          <t>Vinati Organics Limited</t>
        </is>
      </c>
      <c r="D333" s="2" t="inlineStr">
        <is>
          <t>100/100</t>
        </is>
      </c>
      <c r="E333" s="7" t="n">
        <v>1208.1</v>
      </c>
      <c r="F333" s="7" t="n">
        <v>1184.9</v>
      </c>
      <c r="G333" s="7" t="n">
        <v>1266.15</v>
      </c>
      <c r="H333" s="2" t="inlineStr">
        <is>
          <t>1:2.5</t>
        </is>
      </c>
      <c r="I333" s="2" t="n">
        <v>0</v>
      </c>
      <c r="J333" s="7" t="n">
        <v>0</v>
      </c>
      <c r="K333" s="2" t="inlineStr">
        <is>
          <t>PENDING</t>
        </is>
      </c>
      <c r="L333" s="2" t="inlineStr">
        <is>
          <t>Intraday Scanner (STATE 3: Capitulation Bottom)</t>
        </is>
      </c>
    </row>
    <row r="334" ht="15.75" customHeight="1" s="57">
      <c r="A334" s="2" t="inlineStr">
        <is>
          <t>2026-10-02</t>
        </is>
      </c>
      <c r="B334" s="2" t="inlineStr">
        <is>
          <t>CLEAN</t>
        </is>
      </c>
      <c r="C334" s="2" t="inlineStr">
        <is>
          <t>Clean Science and Technology Limited</t>
        </is>
      </c>
      <c r="D334" s="2" t="inlineStr">
        <is>
          <t>100/100</t>
        </is>
      </c>
      <c r="E334" s="7" t="n">
        <v>808.1</v>
      </c>
      <c r="F334" s="7" t="n">
        <v>795</v>
      </c>
      <c r="G334" s="7" t="n">
        <v>840.9</v>
      </c>
      <c r="H334" s="2" t="inlineStr">
        <is>
          <t>1:2.5</t>
        </is>
      </c>
      <c r="I334" s="2" t="n">
        <v>0</v>
      </c>
      <c r="J334" s="7" t="n">
        <v>0</v>
      </c>
      <c r="K334" s="2" t="inlineStr">
        <is>
          <t>PENDING</t>
        </is>
      </c>
      <c r="L334" s="2" t="inlineStr">
        <is>
          <t>Intraday Scanner (STATE 3: Capitulation Bottom)</t>
        </is>
      </c>
    </row>
    <row r="335" ht="15.75" customHeight="1" s="57">
      <c r="A335" s="2" t="inlineStr">
        <is>
          <t>2026-10-02</t>
        </is>
      </c>
      <c r="B335" s="2" t="inlineStr">
        <is>
          <t>CUMMINSIND</t>
        </is>
      </c>
      <c r="C335" s="2" t="inlineStr">
        <is>
          <t>Cummins India Limited</t>
        </is>
      </c>
      <c r="D335" s="2" t="inlineStr">
        <is>
          <t>98/100</t>
        </is>
      </c>
      <c r="E335" s="7" t="n">
        <v>4860</v>
      </c>
      <c r="F335" s="7" t="n">
        <v>4807.2</v>
      </c>
      <c r="G335" s="7" t="n">
        <v>4992</v>
      </c>
      <c r="H335" s="2" t="inlineStr">
        <is>
          <t>1:2.5</t>
        </is>
      </c>
      <c r="I335" s="2" t="n">
        <v>0</v>
      </c>
      <c r="J335" s="7" t="n">
        <v>0</v>
      </c>
      <c r="K335" s="2" t="inlineStr">
        <is>
          <t>PENDING</t>
        </is>
      </c>
      <c r="L335" s="2" t="inlineStr">
        <is>
          <t>Intraday Scanner (STATE 3: Capitulation Bottom)</t>
        </is>
      </c>
    </row>
    <row r="336" ht="15.75" customHeight="1" s="57">
      <c r="A336" s="2" t="inlineStr">
        <is>
          <t>2026-10-05</t>
        </is>
      </c>
      <c r="B336" s="2" t="inlineStr">
        <is>
          <t>GKSL</t>
        </is>
      </c>
      <c r="C336" s="2" t="inlineStr">
        <is>
          <t>GKSL</t>
        </is>
      </c>
      <c r="D336" s="2" t="inlineStr">
        <is>
          <t>95/100</t>
        </is>
      </c>
      <c r="E336" s="7" t="n">
        <v>194.2700042724609</v>
      </c>
      <c r="F336" s="7" t="n">
        <v>172.9800044468471</v>
      </c>
      <c r="G336" s="7" t="n">
        <v>247.4950038364955</v>
      </c>
      <c r="H336" s="2" t="inlineStr">
        <is>
          <t>1:2.5</t>
        </is>
      </c>
      <c r="I336" s="2" t="n">
        <v>0</v>
      </c>
      <c r="J336" s="7" t="n">
        <v>0</v>
      </c>
      <c r="K336" s="2" t="inlineStr">
        <is>
          <t>PENDING</t>
        </is>
      </c>
      <c r="L336" s="2" t="inlineStr">
        <is>
          <t>Swing Scanner (STATE 3: Capitulation Bottom)</t>
        </is>
      </c>
    </row>
    <row r="337" ht="15.75" customHeight="1" s="57">
      <c r="A337" s="2" t="inlineStr">
        <is>
          <t>2026-10-05</t>
        </is>
      </c>
      <c r="B337" s="2" t="inlineStr">
        <is>
          <t>LALPATHLAB</t>
        </is>
      </c>
      <c r="C337" s="2" t="inlineStr">
        <is>
          <t>Dr. Lal PathLab Limited</t>
        </is>
      </c>
      <c r="D337" s="2" t="inlineStr">
        <is>
          <t>95/100</t>
        </is>
      </c>
      <c r="E337" s="7" t="n">
        <v>2005.099975585938</v>
      </c>
      <c r="F337" s="7" t="n">
        <v>1873.942818777902</v>
      </c>
      <c r="G337" s="7" t="n">
        <v>2332.992867606027</v>
      </c>
      <c r="H337" s="2" t="inlineStr">
        <is>
          <t>1:2.5</t>
        </is>
      </c>
      <c r="I337" s="2" t="n">
        <v>0</v>
      </c>
      <c r="J337" s="7" t="n">
        <v>0</v>
      </c>
      <c r="K337" s="2" t="inlineStr">
        <is>
          <t>PENDING</t>
        </is>
      </c>
      <c r="L337" s="2" t="inlineStr">
        <is>
          <t>Swing Scanner (STATE 3: Capitulation Bottom)</t>
        </is>
      </c>
    </row>
    <row r="338" ht="15.75" customHeight="1" s="57">
      <c r="A338" s="2" t="inlineStr">
        <is>
          <t>2026-10-05</t>
        </is>
      </c>
      <c r="B338" s="2" t="inlineStr">
        <is>
          <t>LGEINDIA</t>
        </is>
      </c>
      <c r="C338" s="2" t="inlineStr">
        <is>
          <t>LG Electronics India Ltd.</t>
        </is>
      </c>
      <c r="D338" s="2" t="inlineStr">
        <is>
          <t>94/100</t>
        </is>
      </c>
      <c r="E338" s="7" t="n">
        <v>1721.800048828125</v>
      </c>
      <c r="F338" s="7" t="n">
        <v>1639.657174246652</v>
      </c>
      <c r="G338" s="7" t="n">
        <v>1927.157235281808</v>
      </c>
      <c r="H338" s="2" t="inlineStr">
        <is>
          <t>1:2.5</t>
        </is>
      </c>
      <c r="I338" s="2" t="n">
        <v>0</v>
      </c>
      <c r="J338" s="7" t="n">
        <v>0</v>
      </c>
      <c r="K338" s="2" t="inlineStr">
        <is>
          <t>PENDING</t>
        </is>
      </c>
      <c r="L338" s="2" t="inlineStr">
        <is>
          <t>Swing Scanner (STATE 3: Capitulation Bottom)</t>
        </is>
      </c>
    </row>
    <row r="339" ht="15.75" customHeight="1" s="57">
      <c r="A339" s="2" t="inlineStr">
        <is>
          <t>2026-10-05</t>
        </is>
      </c>
      <c r="B339" s="2" t="inlineStr">
        <is>
          <t>AXISCADES</t>
        </is>
      </c>
      <c r="C339" s="2" t="inlineStr">
        <is>
          <t>AXISCADES Technologies Limited</t>
        </is>
      </c>
      <c r="D339" s="2" t="inlineStr">
        <is>
          <t>93/100</t>
        </is>
      </c>
      <c r="E339" s="7" t="n">
        <v>2307.300048828125</v>
      </c>
      <c r="F339" s="7" t="n">
        <v>2078.5</v>
      </c>
      <c r="G339" s="7" t="n">
        <v>2879.300170898438</v>
      </c>
      <c r="H339" s="2" t="inlineStr">
        <is>
          <t>1:2.5</t>
        </is>
      </c>
      <c r="I339" s="2" t="n">
        <v>0</v>
      </c>
      <c r="J339" s="7" t="n">
        <v>0</v>
      </c>
      <c r="K339" s="2" t="inlineStr">
        <is>
          <t>PENDING</t>
        </is>
      </c>
      <c r="L339" s="2" t="inlineStr">
        <is>
          <t>Swing Scanner (STATE 3: Capitulation Bottom)</t>
        </is>
      </c>
    </row>
    <row r="340" ht="15.75" customHeight="1" s="57">
      <c r="A340" s="2" t="inlineStr">
        <is>
          <t>2026-10-05</t>
        </is>
      </c>
      <c r="B340" s="2" t="inlineStr">
        <is>
          <t>BHAGERIA</t>
        </is>
      </c>
      <c r="C340" s="2" t="inlineStr">
        <is>
          <t>Bhageria Industries Limited</t>
        </is>
      </c>
      <c r="D340" s="2" t="inlineStr">
        <is>
          <t>92/100</t>
        </is>
      </c>
      <c r="E340" s="7" t="n">
        <v>382.0499877929688</v>
      </c>
      <c r="F340" s="7" t="n">
        <v>330.5785609654018</v>
      </c>
      <c r="G340" s="7" t="n">
        <v>510.7285548618862</v>
      </c>
      <c r="H340" s="2" t="inlineStr">
        <is>
          <t>1:2.5</t>
        </is>
      </c>
      <c r="I340" s="2" t="n">
        <v>0</v>
      </c>
      <c r="J340" s="7" t="n">
        <v>0</v>
      </c>
      <c r="K340" s="2" t="inlineStr">
        <is>
          <t>PENDING</t>
        </is>
      </c>
      <c r="L340" s="2" t="inlineStr">
        <is>
          <t>Swing Scanner (STATE 3: Capitulation Bottom)</t>
        </is>
      </c>
    </row>
    <row r="341" ht="15.75" customHeight="1" s="57">
      <c r="A341" s="2" t="inlineStr">
        <is>
          <t>2026-10-05</t>
        </is>
      </c>
      <c r="B341" s="2" t="inlineStr">
        <is>
          <t>PIDILITIND</t>
        </is>
      </c>
      <c r="C341" s="2" t="inlineStr">
        <is>
          <t>Pidilite Industries Limited</t>
        </is>
      </c>
      <c r="D341" s="2" t="inlineStr">
        <is>
          <t>100/100</t>
        </is>
      </c>
      <c r="E341" s="7" t="n">
        <v>1487.7</v>
      </c>
      <c r="F341" s="7" t="n">
        <v>1475.15</v>
      </c>
      <c r="G341" s="7" t="n">
        <v>1519.05</v>
      </c>
      <c r="H341" s="2" t="inlineStr">
        <is>
          <t>1:2.5</t>
        </is>
      </c>
      <c r="I341" s="2" t="n">
        <v>0</v>
      </c>
      <c r="J341" s="7" t="n">
        <v>0</v>
      </c>
      <c r="K341" s="2" t="inlineStr">
        <is>
          <t>PENDING</t>
        </is>
      </c>
      <c r="L341" s="2" t="inlineStr">
        <is>
          <t>Intraday Scanner (STATE 3: Capitulation Bottom)</t>
        </is>
      </c>
    </row>
    <row r="342" ht="15.75" customHeight="1" s="57">
      <c r="A342" s="2" t="inlineStr">
        <is>
          <t>2026-10-05</t>
        </is>
      </c>
      <c r="B342" s="2" t="inlineStr">
        <is>
          <t>BEL</t>
        </is>
      </c>
      <c r="C342" s="2" t="inlineStr">
        <is>
          <t>Bharat Electronics Limited</t>
        </is>
      </c>
      <c r="D342" s="2" t="inlineStr">
        <is>
          <t>100/100</t>
        </is>
      </c>
      <c r="E342" s="7" t="n">
        <v>384.85</v>
      </c>
      <c r="F342" s="7" t="n">
        <v>380.7</v>
      </c>
      <c r="G342" s="7" t="n">
        <v>395.3</v>
      </c>
      <c r="H342" s="2" t="inlineStr">
        <is>
          <t>1:2.5</t>
        </is>
      </c>
      <c r="I342" s="2" t="n">
        <v>0</v>
      </c>
      <c r="J342" s="7" t="n">
        <v>0</v>
      </c>
      <c r="K342" s="2" t="inlineStr">
        <is>
          <t>PENDING</t>
        </is>
      </c>
      <c r="L342" s="2" t="inlineStr">
        <is>
          <t>Intraday Scanner (STATE 3: Capitulation Bottom)</t>
        </is>
      </c>
    </row>
    <row r="343" ht="15.75" customHeight="1" s="57">
      <c r="A343" s="2" t="inlineStr">
        <is>
          <t>2026-10-05</t>
        </is>
      </c>
      <c r="B343" s="2" t="inlineStr">
        <is>
          <t>ALKEM</t>
        </is>
      </c>
      <c r="C343" s="2" t="inlineStr">
        <is>
          <t>Alkem Laboratories Limited</t>
        </is>
      </c>
      <c r="D343" s="2" t="inlineStr">
        <is>
          <t>100/100</t>
        </is>
      </c>
      <c r="E343" s="7" t="n">
        <v>5192.5</v>
      </c>
      <c r="F343" s="7" t="n">
        <v>5134.6</v>
      </c>
      <c r="G343" s="7" t="n">
        <v>5337.25</v>
      </c>
      <c r="H343" s="2" t="inlineStr">
        <is>
          <t>1:2.5</t>
        </is>
      </c>
      <c r="I343" s="2" t="n">
        <v>0</v>
      </c>
      <c r="J343" s="7" t="n">
        <v>0</v>
      </c>
      <c r="K343" s="2" t="inlineStr">
        <is>
          <t>PENDING</t>
        </is>
      </c>
      <c r="L343" s="2" t="inlineStr">
        <is>
          <t>Intraday Scanner (STATE 3: Capitulation Bottom)</t>
        </is>
      </c>
    </row>
    <row r="344" ht="15.75" customHeight="1" s="57">
      <c r="A344" s="2" t="inlineStr">
        <is>
          <t>2026-10-05</t>
        </is>
      </c>
      <c r="B344" s="2" t="inlineStr">
        <is>
          <t>DEVYANI</t>
        </is>
      </c>
      <c r="C344" s="2" t="inlineStr">
        <is>
          <t>Devyani International Limited</t>
        </is>
      </c>
      <c r="D344" s="2" t="inlineStr">
        <is>
          <t>100/100</t>
        </is>
      </c>
      <c r="E344" s="7" t="n">
        <v>130.03</v>
      </c>
      <c r="F344" s="7" t="n">
        <v>127.65</v>
      </c>
      <c r="G344" s="7" t="n">
        <v>135.95</v>
      </c>
      <c r="H344" s="2" t="inlineStr">
        <is>
          <t>1:2.5</t>
        </is>
      </c>
      <c r="I344" s="2" t="n">
        <v>0</v>
      </c>
      <c r="J344" s="7" t="n">
        <v>0</v>
      </c>
      <c r="K344" s="2" t="inlineStr">
        <is>
          <t>PENDING</t>
        </is>
      </c>
      <c r="L344" s="2" t="inlineStr">
        <is>
          <t>Intraday Scanner (STATE 3: Capitulation Bottom)</t>
        </is>
      </c>
    </row>
    <row r="345" ht="15.75" customHeight="1" s="57">
      <c r="A345" s="2" t="inlineStr">
        <is>
          <t>2026-10-05</t>
        </is>
      </c>
      <c r="B345" s="2" t="inlineStr">
        <is>
          <t>AMBUJACEM</t>
        </is>
      </c>
      <c r="C345" s="2" t="inlineStr">
        <is>
          <t>Ambuja Cements Limited</t>
        </is>
      </c>
      <c r="D345" s="2" t="inlineStr">
        <is>
          <t>100/100</t>
        </is>
      </c>
      <c r="E345" s="7" t="n">
        <v>366.5</v>
      </c>
      <c r="F345" s="7" t="n">
        <v>360.5</v>
      </c>
      <c r="G345" s="7" t="n">
        <v>381.55</v>
      </c>
      <c r="H345" s="2" t="inlineStr">
        <is>
          <t>1:2.5</t>
        </is>
      </c>
      <c r="I345" s="2" t="n">
        <v>0</v>
      </c>
      <c r="J345" s="7" t="n">
        <v>0</v>
      </c>
      <c r="K345" s="2" t="inlineStr">
        <is>
          <t>PENDING</t>
        </is>
      </c>
      <c r="L345" s="2" t="inlineStr">
        <is>
          <t>Intraday Scanner (STATE 3: Capitulation Bottom)</t>
        </is>
      </c>
    </row>
    <row r="346" ht="15.75" customHeight="1" s="57">
      <c r="A346" s="2" t="inlineStr">
        <is>
          <t>2026-10-06</t>
        </is>
      </c>
      <c r="B346" s="2" t="inlineStr">
        <is>
          <t>GPTINFRA</t>
        </is>
      </c>
      <c r="C346" s="2" t="inlineStr">
        <is>
          <t>GPT Infraprojects Limited</t>
        </is>
      </c>
      <c r="D346" s="2" t="inlineStr">
        <is>
          <t>98/100</t>
        </is>
      </c>
      <c r="E346" s="7" t="n">
        <v>120.379997253418</v>
      </c>
      <c r="F346" s="7" t="n">
        <v>111.4628546578544</v>
      </c>
      <c r="G346" s="7" t="n">
        <v>142.672853742327</v>
      </c>
      <c r="H346" s="2" t="inlineStr">
        <is>
          <t>1:2.5</t>
        </is>
      </c>
      <c r="I346" s="2" t="n">
        <v>0</v>
      </c>
      <c r="J346" s="7" t="n">
        <v>0</v>
      </c>
      <c r="K346" s="2" t="inlineStr">
        <is>
          <t>PENDING</t>
        </is>
      </c>
      <c r="L346" s="2" t="inlineStr">
        <is>
          <t>Swing Scanner (STATE 3: Capitulation Bottom)</t>
        </is>
      </c>
    </row>
    <row r="347" ht="15.75" customHeight="1" s="57">
      <c r="A347" s="2" t="inlineStr">
        <is>
          <t>2026-10-06</t>
        </is>
      </c>
      <c r="B347" s="2" t="inlineStr">
        <is>
          <t>GRINDWELL</t>
        </is>
      </c>
      <c r="C347" s="2" t="inlineStr">
        <is>
          <t>Grindwell Norton Limited</t>
        </is>
      </c>
      <c r="D347" s="2" t="inlineStr">
        <is>
          <t>98/100</t>
        </is>
      </c>
      <c r="E347" s="7" t="n">
        <v>2004.199951171875</v>
      </c>
      <c r="F347" s="7" t="n">
        <v>1880.457048688616</v>
      </c>
      <c r="G347" s="7" t="n">
        <v>2313.557207380022</v>
      </c>
      <c r="H347" s="2" t="inlineStr">
        <is>
          <t>1:2.5</t>
        </is>
      </c>
      <c r="I347" s="2" t="n">
        <v>0</v>
      </c>
      <c r="J347" s="7" t="n">
        <v>0</v>
      </c>
      <c r="K347" s="2" t="inlineStr">
        <is>
          <t>PENDING</t>
        </is>
      </c>
      <c r="L347" s="2" t="inlineStr">
        <is>
          <t>Swing Scanner (STATE 3: Capitulation Bottom)</t>
        </is>
      </c>
    </row>
    <row r="348" ht="15.75" customHeight="1" s="57">
      <c r="A348" s="2" t="inlineStr">
        <is>
          <t>2026-10-06</t>
        </is>
      </c>
      <c r="B348" s="2" t="inlineStr">
        <is>
          <t>HFCL</t>
        </is>
      </c>
      <c r="C348" s="2" t="inlineStr">
        <is>
          <t>HFCL Limited</t>
        </is>
      </c>
      <c r="D348" s="2" t="inlineStr">
        <is>
          <t>98/100</t>
        </is>
      </c>
      <c r="E348" s="7" t="n">
        <v>250.2700042724609</v>
      </c>
      <c r="F348" s="7" t="n">
        <v>230.1140183958606</v>
      </c>
      <c r="G348" s="7" t="n">
        <v>300.6599689639617</v>
      </c>
      <c r="H348" s="2" t="inlineStr">
        <is>
          <t>1:2.5</t>
        </is>
      </c>
      <c r="I348" s="2" t="n">
        <v>0</v>
      </c>
      <c r="J348" s="7" t="n">
        <v>0</v>
      </c>
      <c r="K348" s="2" t="inlineStr">
        <is>
          <t>PENDING</t>
        </is>
      </c>
      <c r="L348" s="2" t="inlineStr">
        <is>
          <t>Swing Scanner (STATE 3: Capitulation Bottom)</t>
        </is>
      </c>
    </row>
    <row r="349" ht="15.75" customHeight="1" s="57">
      <c r="A349" s="2" t="inlineStr">
        <is>
          <t>2026-10-06</t>
        </is>
      </c>
      <c r="B349" s="2" t="inlineStr">
        <is>
          <t>ADANIPORTS</t>
        </is>
      </c>
      <c r="C349" s="2" t="inlineStr">
        <is>
          <t>Adani Ports and Special Economic Zone Limited</t>
        </is>
      </c>
      <c r="D349" s="2" t="inlineStr">
        <is>
          <t>95/100</t>
        </is>
      </c>
      <c r="E349" s="7" t="n">
        <v>1774</v>
      </c>
      <c r="F349" s="7" t="n">
        <v>1688.014282226562</v>
      </c>
      <c r="G349" s="7" t="n">
        <v>1988.964294433594</v>
      </c>
      <c r="H349" s="2" t="inlineStr">
        <is>
          <t>1:2.5</t>
        </is>
      </c>
      <c r="I349" s="2" t="n">
        <v>0</v>
      </c>
      <c r="J349" s="7" t="n">
        <v>0</v>
      </c>
      <c r="K349" s="2" t="inlineStr">
        <is>
          <t>PENDING</t>
        </is>
      </c>
      <c r="L349" s="2" t="inlineStr">
        <is>
          <t>Swing Scanner (STATE 3: Capitulation Bottom)</t>
        </is>
      </c>
    </row>
    <row r="350" ht="15.75" customHeight="1" s="57">
      <c r="A350" s="2" t="inlineStr">
        <is>
          <t>2026-10-06</t>
        </is>
      </c>
      <c r="B350" s="2" t="inlineStr">
        <is>
          <t>AEROFLEX</t>
        </is>
      </c>
      <c r="C350" s="2" t="inlineStr">
        <is>
          <t>Aeroflex Industries Limited</t>
        </is>
      </c>
      <c r="D350" s="2" t="inlineStr">
        <is>
          <t>95/100</t>
        </is>
      </c>
      <c r="E350" s="7" t="n">
        <v>544.3499755859375</v>
      </c>
      <c r="F350" s="7" t="n">
        <v>493.9071044921875</v>
      </c>
      <c r="G350" s="7" t="n">
        <v>670.4571533203125</v>
      </c>
      <c r="H350" s="2" t="inlineStr">
        <is>
          <t>1:2.5</t>
        </is>
      </c>
      <c r="I350" s="2" t="n">
        <v>0</v>
      </c>
      <c r="J350" s="7" t="n">
        <v>0</v>
      </c>
      <c r="K350" s="2" t="inlineStr">
        <is>
          <t>PENDING</t>
        </is>
      </c>
      <c r="L350" s="2" t="inlineStr">
        <is>
          <t>Swing Scanner (STATE 3: Capitulation Bottom)</t>
        </is>
      </c>
    </row>
    <row r="351" ht="15.75" customHeight="1" s="57">
      <c r="A351" s="2" t="inlineStr">
        <is>
          <t>2026-10-06</t>
        </is>
      </c>
      <c r="B351" s="2" t="inlineStr">
        <is>
          <t>HINDUNILVR</t>
        </is>
      </c>
      <c r="C351" s="2" t="inlineStr">
        <is>
          <t>Hindustan Unilever Limited</t>
        </is>
      </c>
      <c r="D351" s="2" t="inlineStr">
        <is>
          <t>100/100</t>
        </is>
      </c>
      <c r="E351" s="7" t="n">
        <v>1895.2</v>
      </c>
      <c r="F351" s="7" t="n">
        <v>1875.05</v>
      </c>
      <c r="G351" s="7" t="n">
        <v>1945.6</v>
      </c>
      <c r="H351" s="2" t="inlineStr">
        <is>
          <t>1:2.5</t>
        </is>
      </c>
      <c r="I351" s="2" t="n">
        <v>0</v>
      </c>
      <c r="J351" s="7" t="n">
        <v>0</v>
      </c>
      <c r="K351" s="2" t="inlineStr">
        <is>
          <t>PENDING</t>
        </is>
      </c>
      <c r="L351" s="2" t="inlineStr">
        <is>
          <t>Intraday Scanner (STATE 3: Capitulation Bottom)</t>
        </is>
      </c>
    </row>
    <row r="352" ht="15.75" customHeight="1" s="57">
      <c r="A352" s="2" t="inlineStr">
        <is>
          <t>2026-10-06</t>
        </is>
      </c>
      <c r="B352" s="2" t="inlineStr">
        <is>
          <t>SUNPHARMA</t>
        </is>
      </c>
      <c r="C352" s="2" t="inlineStr">
        <is>
          <t>Sun Pharmaceutical Industries Limited</t>
        </is>
      </c>
      <c r="D352" s="2" t="inlineStr">
        <is>
          <t>100/100</t>
        </is>
      </c>
      <c r="E352" s="7" t="n">
        <v>1804.1</v>
      </c>
      <c r="F352" s="7" t="n">
        <v>1776.65</v>
      </c>
      <c r="G352" s="7" t="n">
        <v>1872.7</v>
      </c>
      <c r="H352" s="2" t="inlineStr">
        <is>
          <t>1:2.5</t>
        </is>
      </c>
      <c r="I352" s="2" t="n">
        <v>0</v>
      </c>
      <c r="J352" s="7" t="n">
        <v>0</v>
      </c>
      <c r="K352" s="2" t="inlineStr">
        <is>
          <t>PENDING</t>
        </is>
      </c>
      <c r="L352" s="2" t="inlineStr">
        <is>
          <t>Intraday Scanner (STATE 3: Capitulation Bottom)</t>
        </is>
      </c>
    </row>
    <row r="353" ht="15.75" customHeight="1" s="57">
      <c r="A353" s="2" t="inlineStr">
        <is>
          <t>2026-10-06</t>
        </is>
      </c>
      <c r="B353" s="2" t="inlineStr">
        <is>
          <t>ASIANPAINT</t>
        </is>
      </c>
      <c r="C353" s="2" t="inlineStr">
        <is>
          <t>Asian Paints Limited</t>
        </is>
      </c>
      <c r="D353" s="2" t="inlineStr">
        <is>
          <t>100/100</t>
        </is>
      </c>
      <c r="E353" s="7" t="n">
        <v>2424.2</v>
      </c>
      <c r="F353" s="7" t="n">
        <v>2396.2</v>
      </c>
      <c r="G353" s="7" t="n">
        <v>2494.25</v>
      </c>
      <c r="H353" s="2" t="inlineStr">
        <is>
          <t>1:2.5</t>
        </is>
      </c>
      <c r="I353" s="2" t="n">
        <v>0</v>
      </c>
      <c r="J353" s="7" t="n">
        <v>0</v>
      </c>
      <c r="K353" s="2" t="inlineStr">
        <is>
          <t>PENDING</t>
        </is>
      </c>
      <c r="L353" s="2" t="inlineStr">
        <is>
          <t>Intraday Scanner (STATE 3: Capitulation Bottom)</t>
        </is>
      </c>
    </row>
    <row r="354" ht="15.75" customHeight="1" s="57">
      <c r="A354" s="2" t="inlineStr">
        <is>
          <t>2026-10-06</t>
        </is>
      </c>
      <c r="B354" s="2" t="inlineStr">
        <is>
          <t>SIEMENS</t>
        </is>
      </c>
      <c r="C354" s="2" t="inlineStr">
        <is>
          <t>Siemens Limited</t>
        </is>
      </c>
      <c r="D354" s="2" t="inlineStr">
        <is>
          <t>100/100</t>
        </is>
      </c>
      <c r="E354" s="7" t="n">
        <v>3854</v>
      </c>
      <c r="F354" s="7" t="n">
        <v>3806.3</v>
      </c>
      <c r="G354" s="7" t="n">
        <v>3973.25</v>
      </c>
      <c r="H354" s="2" t="inlineStr">
        <is>
          <t>1:2.5</t>
        </is>
      </c>
      <c r="I354" s="2" t="n">
        <v>0</v>
      </c>
      <c r="J354" s="7" t="n">
        <v>0</v>
      </c>
      <c r="K354" s="2" t="inlineStr">
        <is>
          <t>PENDING</t>
        </is>
      </c>
      <c r="L354" s="2" t="inlineStr">
        <is>
          <t>Intraday Scanner (STATE 3: Capitulation Bottom)</t>
        </is>
      </c>
    </row>
    <row r="355" ht="15.75" customHeight="1" s="57">
      <c r="A355" s="2" t="inlineStr">
        <is>
          <t>2026-10-06</t>
        </is>
      </c>
      <c r="B355" s="2" t="inlineStr">
        <is>
          <t>BERGEPAINT</t>
        </is>
      </c>
      <c r="C355" s="2" t="inlineStr">
        <is>
          <t>Berger Paints India Limited</t>
        </is>
      </c>
      <c r="D355" s="2" t="inlineStr">
        <is>
          <t>100/100</t>
        </is>
      </c>
      <c r="E355" s="7" t="n">
        <v>473</v>
      </c>
      <c r="F355" s="7" t="n">
        <v>464.4</v>
      </c>
      <c r="G355" s="7" t="n">
        <v>494.5</v>
      </c>
      <c r="H355" s="2" t="inlineStr">
        <is>
          <t>1:2.5</t>
        </is>
      </c>
      <c r="I355" s="2" t="n">
        <v>0</v>
      </c>
      <c r="J355" s="7" t="n">
        <v>0</v>
      </c>
      <c r="K355" s="2" t="inlineStr">
        <is>
          <t>PENDING</t>
        </is>
      </c>
      <c r="L355" s="2" t="inlineStr">
        <is>
          <t>Intraday Scanner (STATE 3: Capitulation Bottom)</t>
        </is>
      </c>
    </row>
    <row r="356" ht="15.75" customHeight="1" s="57">
      <c r="A356" s="2" t="inlineStr">
        <is>
          <t>2026-10-07</t>
        </is>
      </c>
      <c r="B356" s="2" t="inlineStr">
        <is>
          <t>BHAGERIA</t>
        </is>
      </c>
      <c r="C356" s="2" t="inlineStr">
        <is>
          <t>Bhageria Industries Limited</t>
        </is>
      </c>
      <c r="D356" s="2" t="inlineStr">
        <is>
          <t>98/100</t>
        </is>
      </c>
      <c r="E356" s="7" t="n">
        <v>393.5499877929688</v>
      </c>
      <c r="F356" s="7" t="n">
        <v>339.2214137486049</v>
      </c>
      <c r="G356" s="7" t="n">
        <v>529.3714229038783</v>
      </c>
      <c r="H356" s="2" t="inlineStr">
        <is>
          <t>1:2.5</t>
        </is>
      </c>
      <c r="I356" s="2" t="n">
        <v>0</v>
      </c>
      <c r="J356" s="7" t="n">
        <v>0</v>
      </c>
      <c r="K356" s="2" t="inlineStr">
        <is>
          <t>SKIPPED_BEARISH_REGIME</t>
        </is>
      </c>
      <c r="L356" s="2" t="inlineStr">
        <is>
          <t>Swing Scanner (STATE 4: Cash Only)</t>
        </is>
      </c>
    </row>
    <row r="357" ht="15.75" customHeight="1" s="57">
      <c r="A357" s="2" t="inlineStr">
        <is>
          <t>2026-10-07</t>
        </is>
      </c>
      <c r="B357" s="2" t="inlineStr">
        <is>
          <t>ARIS</t>
        </is>
      </c>
      <c r="C357" s="2" t="inlineStr">
        <is>
          <t>Arisinfra Solutions Limited</t>
        </is>
      </c>
      <c r="D357" s="2" t="inlineStr">
        <is>
          <t>98/100</t>
        </is>
      </c>
      <c r="E357" s="7" t="n">
        <v>143.6600036621094</v>
      </c>
      <c r="F357" s="7" t="n">
        <v>127.8857149396624</v>
      </c>
      <c r="G357" s="7" t="n">
        <v>183.0957254682268</v>
      </c>
      <c r="H357" s="2" t="inlineStr">
        <is>
          <t>1:2.5</t>
        </is>
      </c>
      <c r="I357" s="2" t="n">
        <v>0</v>
      </c>
      <c r="J357" s="7" t="n">
        <v>0</v>
      </c>
      <c r="K357" s="2" t="inlineStr">
        <is>
          <t>SKIPPED_BEARISH_REGIME</t>
        </is>
      </c>
      <c r="L357" s="2" t="inlineStr">
        <is>
          <t>Swing Scanner (STATE 4: Cash Only)</t>
        </is>
      </c>
    </row>
    <row r="358" ht="15.75" customHeight="1" s="57">
      <c r="A358" s="2" t="inlineStr">
        <is>
          <t>2026-10-07</t>
        </is>
      </c>
      <c r="B358" s="2" t="inlineStr">
        <is>
          <t>AURUM</t>
        </is>
      </c>
      <c r="C358" s="2" t="inlineStr">
        <is>
          <t>Aurum PropTech Limited</t>
        </is>
      </c>
      <c r="D358" s="2" t="inlineStr">
        <is>
          <t>98/100</t>
        </is>
      </c>
      <c r="E358" s="7" t="n">
        <v>231.1399993896484</v>
      </c>
      <c r="F358" s="7" t="n">
        <v>216.567145211356</v>
      </c>
      <c r="G358" s="7" t="n">
        <v>267.5721348353795</v>
      </c>
      <c r="H358" s="2" t="inlineStr">
        <is>
          <t>1:2.5</t>
        </is>
      </c>
      <c r="I358" s="2" t="n">
        <v>0</v>
      </c>
      <c r="J358" s="7" t="n">
        <v>0</v>
      </c>
      <c r="K358" s="2" t="inlineStr">
        <is>
          <t>SKIPPED_BEARISH_REGIME</t>
        </is>
      </c>
      <c r="L358" s="2" t="inlineStr">
        <is>
          <t>Swing Scanner (STATE 4: Cash Only)</t>
        </is>
      </c>
    </row>
    <row r="359" ht="15.75" customHeight="1" s="57">
      <c r="A359" s="2" t="inlineStr">
        <is>
          <t>2026-10-07</t>
        </is>
      </c>
      <c r="B359" s="2" t="inlineStr">
        <is>
          <t>THELEELA</t>
        </is>
      </c>
      <c r="C359" s="2" t="inlineStr">
        <is>
          <t>Leela Palaces Hotels &amp; Resorts Limited</t>
        </is>
      </c>
      <c r="D359" s="2" t="inlineStr">
        <is>
          <t>97/100</t>
        </is>
      </c>
      <c r="E359" s="7" t="n">
        <v>582.7000122070312</v>
      </c>
      <c r="F359" s="7" t="n">
        <v>536.2357264927456</v>
      </c>
      <c r="G359" s="7" t="n">
        <v>698.8607264927456</v>
      </c>
      <c r="H359" s="2" t="inlineStr">
        <is>
          <t>1:2.5</t>
        </is>
      </c>
      <c r="I359" s="2" t="n">
        <v>0</v>
      </c>
      <c r="J359" s="7" t="n">
        <v>0</v>
      </c>
      <c r="K359" s="2" t="inlineStr">
        <is>
          <t>SKIPPED_BEARISH_REGIME</t>
        </is>
      </c>
      <c r="L359" s="2" t="inlineStr">
        <is>
          <t>Swing Scanner (STATE 4: Cash Only)</t>
        </is>
      </c>
    </row>
    <row r="360" ht="15.75" customHeight="1" s="57">
      <c r="A360" s="2" t="inlineStr">
        <is>
          <t>2026-10-07</t>
        </is>
      </c>
      <c r="B360" s="2" t="inlineStr">
        <is>
          <t>HFCL</t>
        </is>
      </c>
      <c r="C360" s="2" t="inlineStr">
        <is>
          <t>HFCL Limited</t>
        </is>
      </c>
      <c r="D360" s="2" t="inlineStr">
        <is>
          <t>97/100</t>
        </is>
      </c>
      <c r="E360" s="7" t="n">
        <v>262.7799987792969</v>
      </c>
      <c r="F360" s="7" t="n">
        <v>242.4211051791672</v>
      </c>
      <c r="G360" s="7" t="n">
        <v>313.6772327796211</v>
      </c>
      <c r="H360" s="2" t="inlineStr">
        <is>
          <t>1:2.5</t>
        </is>
      </c>
      <c r="I360" s="2" t="n">
        <v>0</v>
      </c>
      <c r="J360" s="7" t="n">
        <v>0</v>
      </c>
      <c r="K360" s="2" t="inlineStr">
        <is>
          <t>SKIPPED_BEARISH_REGIME</t>
        </is>
      </c>
      <c r="L360" s="2" t="inlineStr">
        <is>
          <t>Swing Scanner (STATE 4: Cash Only)</t>
        </is>
      </c>
    </row>
    <row r="361" ht="15.75" customHeight="1" s="57">
      <c r="A361" s="2" t="inlineStr">
        <is>
          <t>2026-10-07</t>
        </is>
      </c>
      <c r="B361" s="2" t="inlineStr">
        <is>
          <t>POLYCAB</t>
        </is>
      </c>
      <c r="C361" s="2" t="inlineStr">
        <is>
          <t>Polycab India Limited</t>
        </is>
      </c>
      <c r="D361" s="2" t="inlineStr">
        <is>
          <t>94/100</t>
        </is>
      </c>
      <c r="E361" s="7" t="n">
        <v>8310</v>
      </c>
      <c r="F361" s="7" t="n">
        <v>8175.15</v>
      </c>
      <c r="G361" s="7" t="n">
        <v>8647.1</v>
      </c>
      <c r="H361" s="2" t="inlineStr">
        <is>
          <t>1:2.5</t>
        </is>
      </c>
      <c r="I361" s="2" t="n">
        <v>0</v>
      </c>
      <c r="J361" s="7" t="n">
        <v>0</v>
      </c>
      <c r="K361" s="2" t="inlineStr">
        <is>
          <t>PENDING</t>
        </is>
      </c>
      <c r="L361" s="2" t="inlineStr">
        <is>
          <t>Intraday Scanner (STATE 4: Cash Only)</t>
        </is>
      </c>
    </row>
    <row r="362" ht="15.75" customHeight="1" s="57">
      <c r="A362" s="2" t="inlineStr">
        <is>
          <t>2026-10-07</t>
        </is>
      </c>
      <c r="B362" s="2" t="inlineStr">
        <is>
          <t>KEI</t>
        </is>
      </c>
      <c r="C362" s="2" t="inlineStr">
        <is>
          <t>KEI Industries Limited</t>
        </is>
      </c>
      <c r="D362" s="2" t="inlineStr">
        <is>
          <t>93/100</t>
        </is>
      </c>
      <c r="E362" s="7" t="n">
        <v>4677.7</v>
      </c>
      <c r="F362" s="7" t="n">
        <v>4599</v>
      </c>
      <c r="G362" s="7" t="n">
        <v>4874.5</v>
      </c>
      <c r="H362" s="2" t="inlineStr">
        <is>
          <t>1:2.5</t>
        </is>
      </c>
      <c r="I362" s="2" t="n">
        <v>0</v>
      </c>
      <c r="J362" s="7" t="n">
        <v>0</v>
      </c>
      <c r="K362" s="2" t="inlineStr">
        <is>
          <t>PENDING</t>
        </is>
      </c>
      <c r="L362" s="2" t="inlineStr">
        <is>
          <t>Intraday Scanner (STATE 4: Cash Only)</t>
        </is>
      </c>
    </row>
    <row r="363" ht="15.75" customHeight="1" s="57">
      <c r="A363" s="2" t="inlineStr">
        <is>
          <t>2026-10-07</t>
        </is>
      </c>
      <c r="B363" s="2" t="inlineStr">
        <is>
          <t>GRANULES</t>
        </is>
      </c>
      <c r="C363" s="2" t="inlineStr">
        <is>
          <t>Granules India Limited</t>
        </is>
      </c>
      <c r="D363" s="2" t="inlineStr">
        <is>
          <t>89/100</t>
        </is>
      </c>
      <c r="E363" s="7" t="n">
        <v>845</v>
      </c>
      <c r="F363" s="7" t="n">
        <v>829.85</v>
      </c>
      <c r="G363" s="7" t="n">
        <v>882.9</v>
      </c>
      <c r="H363" s="2" t="inlineStr">
        <is>
          <t>1:2.5</t>
        </is>
      </c>
      <c r="I363" s="2" t="n">
        <v>0</v>
      </c>
      <c r="J363" s="7" t="n">
        <v>0</v>
      </c>
      <c r="K363" s="2" t="inlineStr">
        <is>
          <t>PENDING</t>
        </is>
      </c>
      <c r="L363" s="2" t="inlineStr">
        <is>
          <t>Intraday Scanner (STATE 4: Cash Only)</t>
        </is>
      </c>
    </row>
    <row r="364" ht="15.75" customHeight="1" s="57">
      <c r="A364" s="2" t="inlineStr">
        <is>
          <t>2026-10-07</t>
        </is>
      </c>
      <c r="B364" s="2" t="inlineStr">
        <is>
          <t>IGL</t>
        </is>
      </c>
      <c r="C364" s="2" t="inlineStr">
        <is>
          <t>Indraprastha Gas Limited</t>
        </is>
      </c>
      <c r="D364" s="2" t="inlineStr">
        <is>
          <t>87/100</t>
        </is>
      </c>
      <c r="E364" s="7" t="n">
        <v>146.35</v>
      </c>
      <c r="F364" s="7" t="n">
        <v>143.9</v>
      </c>
      <c r="G364" s="7" t="n">
        <v>152.45</v>
      </c>
      <c r="H364" s="2" t="inlineStr">
        <is>
          <t>1:2.5</t>
        </is>
      </c>
      <c r="I364" s="2" t="n">
        <v>0</v>
      </c>
      <c r="J364" s="7" t="n">
        <v>0</v>
      </c>
      <c r="K364" s="2" t="inlineStr">
        <is>
          <t>PENDING</t>
        </is>
      </c>
      <c r="L364" s="2" t="inlineStr">
        <is>
          <t>Intraday Scanner (STATE 4: Cash Only)</t>
        </is>
      </c>
    </row>
    <row r="365" ht="15.75" customHeight="1" s="57">
      <c r="A365" s="2" t="inlineStr">
        <is>
          <t>2026-10-07</t>
        </is>
      </c>
      <c r="B365" s="2" t="inlineStr">
        <is>
          <t>AARTIIND</t>
        </is>
      </c>
      <c r="C365" s="2" t="inlineStr">
        <is>
          <t>Aarti Industries Limited</t>
        </is>
      </c>
      <c r="D365" s="2" t="inlineStr">
        <is>
          <t>87/100</t>
        </is>
      </c>
      <c r="E365" s="7" t="n">
        <v>492.05</v>
      </c>
      <c r="F365" s="7" t="n">
        <v>482.05</v>
      </c>
      <c r="G365" s="7" t="n">
        <v>517.05</v>
      </c>
      <c r="H365" s="2" t="inlineStr">
        <is>
          <t>1:2.5</t>
        </is>
      </c>
      <c r="I365" s="2" t="n">
        <v>0</v>
      </c>
      <c r="J365" s="7" t="n">
        <v>0</v>
      </c>
      <c r="K365" s="2" t="inlineStr">
        <is>
          <t>PENDING</t>
        </is>
      </c>
      <c r="L365" s="2" t="inlineStr">
        <is>
          <t>Intraday Scanner (STATE 4: Cash Only)</t>
        </is>
      </c>
    </row>
    <row r="366" ht="15.75" customHeight="1" s="57">
      <c r="A366" s="2" t="inlineStr">
        <is>
          <t>2026-10-08</t>
        </is>
      </c>
      <c r="B366" s="2" t="inlineStr">
        <is>
          <t>AURUM</t>
        </is>
      </c>
      <c r="C366" s="2" t="inlineStr">
        <is>
          <t>Aurum PropTech Limited</t>
        </is>
      </c>
      <c r="D366" s="2" t="inlineStr">
        <is>
          <t>98/100</t>
        </is>
      </c>
      <c r="E366" s="7" t="n">
        <v>231.1999969482422</v>
      </c>
      <c r="F366" s="7" t="n">
        <v>216.211430140904</v>
      </c>
      <c r="G366" s="7" t="n">
        <v>268.6714139665876</v>
      </c>
      <c r="H366" s="2" t="inlineStr">
        <is>
          <t>1:2.5</t>
        </is>
      </c>
      <c r="I366" s="2" t="n">
        <v>0</v>
      </c>
      <c r="J366" s="7" t="n">
        <v>0</v>
      </c>
      <c r="K366" s="2" t="inlineStr">
        <is>
          <t>SKIPPED_BEARISH_REGIME</t>
        </is>
      </c>
      <c r="L366" s="2" t="inlineStr">
        <is>
          <t>Swing Scanner (STATE 4: Cash Only)</t>
        </is>
      </c>
    </row>
    <row r="367" ht="15.75" customHeight="1" s="57">
      <c r="A367" s="2" t="inlineStr">
        <is>
          <t>2026-10-08</t>
        </is>
      </c>
      <c r="B367" s="2" t="inlineStr">
        <is>
          <t>THELEELA</t>
        </is>
      </c>
      <c r="C367" s="2" t="inlineStr">
        <is>
          <t>Leela Palaces Hotels &amp; Resorts Limited</t>
        </is>
      </c>
      <c r="D367" s="2" t="inlineStr">
        <is>
          <t>95/100</t>
        </is>
      </c>
      <c r="E367" s="7" t="n">
        <v>602.4500122070312</v>
      </c>
      <c r="F367" s="7" t="n">
        <v>556.471435546875</v>
      </c>
      <c r="G367" s="7" t="n">
        <v>717.3964538574219</v>
      </c>
      <c r="H367" s="2" t="inlineStr">
        <is>
          <t>1:2.5</t>
        </is>
      </c>
      <c r="I367" s="2" t="n">
        <v>0</v>
      </c>
      <c r="J367" s="7" t="n">
        <v>0</v>
      </c>
      <c r="K367" s="2" t="inlineStr">
        <is>
          <t>SKIPPED_BEARISH_REGIME</t>
        </is>
      </c>
      <c r="L367" s="2" t="inlineStr">
        <is>
          <t>Swing Scanner (STATE 4: Cash Only)</t>
        </is>
      </c>
    </row>
    <row r="368" ht="15.75" customHeight="1" s="57">
      <c r="A368" s="2" t="inlineStr">
        <is>
          <t>2026-10-08</t>
        </is>
      </c>
      <c r="B368" s="2" t="inlineStr">
        <is>
          <t>CYIENTDLM</t>
        </is>
      </c>
      <c r="C368" s="2" t="inlineStr">
        <is>
          <t>Cyient DLM Limited</t>
        </is>
      </c>
      <c r="D368" s="2" t="inlineStr">
        <is>
          <t>95/100</t>
        </is>
      </c>
      <c r="E368" s="7" t="n">
        <v>988.2999877929688</v>
      </c>
      <c r="F368" s="7" t="n">
        <v>903.6428309849331</v>
      </c>
      <c r="G368" s="7" t="n">
        <v>1199.942879813058</v>
      </c>
      <c r="H368" s="2" t="inlineStr">
        <is>
          <t>1:2.5</t>
        </is>
      </c>
      <c r="I368" s="2" t="n">
        <v>0</v>
      </c>
      <c r="J368" s="7" t="n">
        <v>0</v>
      </c>
      <c r="K368" s="2" t="inlineStr">
        <is>
          <t>SKIPPED_BEARISH_REGIME</t>
        </is>
      </c>
      <c r="L368" s="2" t="inlineStr">
        <is>
          <t>Swing Scanner (STATE 4: Cash Only)</t>
        </is>
      </c>
    </row>
    <row r="369" ht="15.75" customHeight="1" s="57">
      <c r="A369" s="2" t="inlineStr">
        <is>
          <t>2026-10-08</t>
        </is>
      </c>
      <c r="B369" s="2" t="inlineStr">
        <is>
          <t>GPTINFRA</t>
        </is>
      </c>
      <c r="C369" s="2" t="inlineStr">
        <is>
          <t>GPT Infraprojects Limited</t>
        </is>
      </c>
      <c r="D369" s="2" t="inlineStr">
        <is>
          <t>93/100</t>
        </is>
      </c>
      <c r="E369" s="7" t="n">
        <v>130.0599975585938</v>
      </c>
      <c r="F369" s="7" t="n">
        <v>119.6842825753348</v>
      </c>
      <c r="G369" s="7" t="n">
        <v>155.9992850167411</v>
      </c>
      <c r="H369" s="2" t="inlineStr">
        <is>
          <t>1:2.5</t>
        </is>
      </c>
      <c r="I369" s="2" t="n">
        <v>0</v>
      </c>
      <c r="J369" s="7" t="n">
        <v>0</v>
      </c>
      <c r="K369" s="2" t="inlineStr">
        <is>
          <t>SKIPPED_BEARISH_REGIME</t>
        </is>
      </c>
      <c r="L369" s="2" t="inlineStr">
        <is>
          <t>Swing Scanner (STATE 4: Cash Only)</t>
        </is>
      </c>
    </row>
    <row r="370" ht="15.75" customHeight="1" s="57">
      <c r="A370" s="2" t="inlineStr">
        <is>
          <t>2026-10-08</t>
        </is>
      </c>
      <c r="B370" s="2" t="inlineStr">
        <is>
          <t>HFCL</t>
        </is>
      </c>
      <c r="C370" s="2" t="inlineStr">
        <is>
          <t>HFCL Limited</t>
        </is>
      </c>
      <c r="D370" s="2" t="inlineStr">
        <is>
          <t>93/100</t>
        </is>
      </c>
      <c r="E370" s="7" t="n">
        <v>271.8999938964844</v>
      </c>
      <c r="F370" s="7" t="n">
        <v>251.2210741261931</v>
      </c>
      <c r="G370" s="7" t="n">
        <v>323.5972933222126</v>
      </c>
      <c r="H370" s="2" t="inlineStr">
        <is>
          <t>1:2.5</t>
        </is>
      </c>
      <c r="I370" s="2" t="n">
        <v>0</v>
      </c>
      <c r="J370" s="7" t="n">
        <v>0</v>
      </c>
      <c r="K370" s="2" t="inlineStr">
        <is>
          <t>SKIPPED_BEARISH_REGIME</t>
        </is>
      </c>
      <c r="L370" s="2" t="inlineStr">
        <is>
          <t>Swing Scanner (STATE 4: Cash Only)</t>
        </is>
      </c>
    </row>
    <row r="371" ht="15.75" customHeight="1" s="57">
      <c r="A371" s="2" t="inlineStr">
        <is>
          <t>2026-10-08</t>
        </is>
      </c>
      <c r="B371" s="2" t="inlineStr">
        <is>
          <t>MGL</t>
        </is>
      </c>
      <c r="C371" s="2" t="inlineStr">
        <is>
          <t>Mahanagar Gas Limited</t>
        </is>
      </c>
      <c r="D371" s="2" t="inlineStr">
        <is>
          <t>82/100</t>
        </is>
      </c>
      <c r="E371" s="7" t="n">
        <v>1043.9</v>
      </c>
      <c r="F371" s="7" t="n">
        <v>1034.7</v>
      </c>
      <c r="G371" s="7" t="n">
        <v>1066.85</v>
      </c>
      <c r="H371" s="2" t="inlineStr">
        <is>
          <t>1:2.5</t>
        </is>
      </c>
      <c r="I371" s="2" t="n">
        <v>0</v>
      </c>
      <c r="J371" s="7" t="n">
        <v>0</v>
      </c>
      <c r="K371" s="2" t="inlineStr">
        <is>
          <t>PENDING</t>
        </is>
      </c>
      <c r="L371" s="2" t="inlineStr">
        <is>
          <t>Intraday Scanner (STATE 4: Cash Only)</t>
        </is>
      </c>
    </row>
    <row r="372" ht="15.75" customHeight="1" s="57">
      <c r="A372" s="2" t="inlineStr">
        <is>
          <t>2026-10-08</t>
        </is>
      </c>
      <c r="B372" s="2" t="inlineStr">
        <is>
          <t>TATACOMM</t>
        </is>
      </c>
      <c r="C372" s="2" t="inlineStr">
        <is>
          <t>Tata Communications Limited</t>
        </is>
      </c>
      <c r="D372" s="2" t="inlineStr">
        <is>
          <t>63/100</t>
        </is>
      </c>
      <c r="E372" s="7" t="n">
        <v>1685</v>
      </c>
      <c r="F372" s="7" t="n">
        <v>1662.25</v>
      </c>
      <c r="G372" s="7" t="n">
        <v>1741.95</v>
      </c>
      <c r="H372" s="2" t="inlineStr">
        <is>
          <t>1:2.5</t>
        </is>
      </c>
      <c r="I372" s="2" t="n">
        <v>0</v>
      </c>
      <c r="J372" s="7" t="n">
        <v>0</v>
      </c>
      <c r="K372" s="2" t="inlineStr">
        <is>
          <t>PENDING</t>
        </is>
      </c>
      <c r="L372" s="2" t="inlineStr">
        <is>
          <t>Intraday Scanner (STATE 4: Cash Only)</t>
        </is>
      </c>
    </row>
    <row r="373" ht="15.75" customHeight="1" s="57">
      <c r="A373" s="2" t="inlineStr">
        <is>
          <t>2026-10-09</t>
        </is>
      </c>
      <c r="B373" s="2" t="inlineStr">
        <is>
          <t>CYIENTDLM</t>
        </is>
      </c>
      <c r="C373" s="2" t="inlineStr">
        <is>
          <t>Cyient DLM Limited</t>
        </is>
      </c>
      <c r="D373" s="2" t="inlineStr">
        <is>
          <t>95/100</t>
        </is>
      </c>
      <c r="E373" s="7" t="n">
        <v>981.2999877929688</v>
      </c>
      <c r="F373" s="7" t="n">
        <v>890.5142560686384</v>
      </c>
      <c r="G373" s="7" t="n">
        <v>1208.264317103795</v>
      </c>
      <c r="H373" s="2" t="inlineStr">
        <is>
          <t>1:2.5</t>
        </is>
      </c>
      <c r="I373" s="2" t="n">
        <v>0</v>
      </c>
      <c r="J373" s="7" t="n">
        <v>0</v>
      </c>
      <c r="K373" s="2" t="inlineStr">
        <is>
          <t>PENDING</t>
        </is>
      </c>
      <c r="L373" s="2" t="inlineStr">
        <is>
          <t>Swing Scanner (STATE 3: Capitulation Bottom)</t>
        </is>
      </c>
    </row>
    <row r="374" ht="15.75" customHeight="1" s="57">
      <c r="A374" s="2" t="inlineStr">
        <is>
          <t>2026-10-09</t>
        </is>
      </c>
      <c r="B374" s="2" t="inlineStr">
        <is>
          <t>GPTINFRA</t>
        </is>
      </c>
      <c r="C374" s="2" t="inlineStr">
        <is>
          <t>GPT Infraprojects Limited</t>
        </is>
      </c>
      <c r="D374" s="2" t="inlineStr">
        <is>
          <t>92/100</t>
        </is>
      </c>
      <c r="E374" s="7" t="n">
        <v>121.1900024414062</v>
      </c>
      <c r="F374" s="7" t="n">
        <v>109.9714300973075</v>
      </c>
      <c r="G374" s="7" t="n">
        <v>149.2364333016532</v>
      </c>
      <c r="H374" s="2" t="inlineStr">
        <is>
          <t>1:2.5</t>
        </is>
      </c>
      <c r="I374" s="2" t="n">
        <v>0</v>
      </c>
      <c r="J374" s="7" t="n">
        <v>0</v>
      </c>
      <c r="K374" s="2" t="inlineStr">
        <is>
          <t>PENDING</t>
        </is>
      </c>
      <c r="L374" s="2" t="inlineStr">
        <is>
          <t>Swing Scanner (STATE 3: Capitulation Bottom)</t>
        </is>
      </c>
    </row>
    <row r="375" ht="15.75" customHeight="1" s="57">
      <c r="A375" s="2" t="inlineStr">
        <is>
          <t>2026-10-09</t>
        </is>
      </c>
      <c r="B375" s="2" t="inlineStr">
        <is>
          <t>GRINDWELL</t>
        </is>
      </c>
      <c r="C375" s="2" t="inlineStr">
        <is>
          <t>Grindwell Norton Limited</t>
        </is>
      </c>
      <c r="D375" s="2" t="inlineStr">
        <is>
          <t>92/100</t>
        </is>
      </c>
      <c r="E375" s="7" t="n">
        <v>2007</v>
      </c>
      <c r="F375" s="7" t="n">
        <v>1879.328543526786</v>
      </c>
      <c r="G375" s="7" t="n">
        <v>2326.178641183036</v>
      </c>
      <c r="H375" s="2" t="inlineStr">
        <is>
          <t>1:2.5</t>
        </is>
      </c>
      <c r="I375" s="2" t="n">
        <v>0</v>
      </c>
      <c r="J375" s="7" t="n">
        <v>0</v>
      </c>
      <c r="K375" s="2" t="inlineStr">
        <is>
          <t>PENDING</t>
        </is>
      </c>
      <c r="L375" s="2" t="inlineStr">
        <is>
          <t>Swing Scanner (STATE 3: Capitulation Bottom)</t>
        </is>
      </c>
    </row>
    <row r="376" ht="15.75" customHeight="1" s="57">
      <c r="A376" s="2" t="inlineStr">
        <is>
          <t>2026-10-09</t>
        </is>
      </c>
      <c r="B376" s="2" t="inlineStr">
        <is>
          <t>ATLANTAELE</t>
        </is>
      </c>
      <c r="C376" s="2" t="inlineStr">
        <is>
          <t>ATLANTAELE</t>
        </is>
      </c>
      <c r="D376" s="2" t="inlineStr">
        <is>
          <t>92/100</t>
        </is>
      </c>
      <c r="E376" s="7" t="n">
        <v>1806.599975585938</v>
      </c>
      <c r="F376" s="7" t="n">
        <v>1622.514212472098</v>
      </c>
      <c r="G376" s="7" t="n">
        <v>2266.814383370536</v>
      </c>
      <c r="H376" s="2" t="inlineStr">
        <is>
          <t>1:2.5</t>
        </is>
      </c>
      <c r="I376" s="2" t="n">
        <v>0</v>
      </c>
      <c r="J376" s="7" t="n">
        <v>0</v>
      </c>
      <c r="K376" s="2" t="inlineStr">
        <is>
          <t>PENDING</t>
        </is>
      </c>
      <c r="L376" s="2" t="inlineStr">
        <is>
          <t>Swing Scanner (STATE 3: Capitulation Bottom)</t>
        </is>
      </c>
    </row>
    <row r="377" ht="15.75" customHeight="1" s="57">
      <c r="A377" s="2" t="inlineStr">
        <is>
          <t>2026-10-09</t>
        </is>
      </c>
      <c r="B377" s="2" t="inlineStr">
        <is>
          <t>BBOX</t>
        </is>
      </c>
      <c r="C377" s="2" t="inlineStr">
        <is>
          <t>Black Box Limited</t>
        </is>
      </c>
      <c r="D377" s="2" t="inlineStr">
        <is>
          <t>92/100</t>
        </is>
      </c>
      <c r="E377" s="7" t="n">
        <v>856.5499877929688</v>
      </c>
      <c r="F377" s="7" t="n">
        <v>769.2285679408482</v>
      </c>
      <c r="G377" s="7" t="n">
        <v>1074.85353742327</v>
      </c>
      <c r="H377" s="2" t="inlineStr">
        <is>
          <t>1:2.5</t>
        </is>
      </c>
      <c r="I377" s="2" t="n">
        <v>0</v>
      </c>
      <c r="J377" s="7" t="n">
        <v>0</v>
      </c>
      <c r="K377" s="2" t="inlineStr">
        <is>
          <t>PENDING</t>
        </is>
      </c>
      <c r="L377" s="2" t="inlineStr">
        <is>
          <t>Swing Scanner (STATE 3: Capitulation Bottom)</t>
        </is>
      </c>
    </row>
    <row r="378" ht="15.75" customHeight="1" s="57">
      <c r="A378" s="2" t="inlineStr">
        <is>
          <t>2026-10-09</t>
        </is>
      </c>
      <c r="B378" s="2" t="inlineStr">
        <is>
          <t>EICHERMOT</t>
        </is>
      </c>
      <c r="C378" s="2" t="inlineStr">
        <is>
          <t>Eicher Motors Limited</t>
        </is>
      </c>
      <c r="D378" s="2" t="inlineStr">
        <is>
          <t>100/100</t>
        </is>
      </c>
      <c r="E378" s="7" t="n">
        <v>7050</v>
      </c>
      <c r="F378" s="7" t="n">
        <v>6956.85</v>
      </c>
      <c r="G378" s="7" t="n">
        <v>7282.9</v>
      </c>
      <c r="H378" s="2" t="inlineStr">
        <is>
          <t>1:2.5</t>
        </is>
      </c>
      <c r="I378" s="2" t="n">
        <v>0</v>
      </c>
      <c r="J378" s="7" t="n">
        <v>0</v>
      </c>
      <c r="K378" s="2" t="inlineStr">
        <is>
          <t>PENDING</t>
        </is>
      </c>
      <c r="L378" s="2" t="inlineStr">
        <is>
          <t>Intraday Scanner (STATE 3: Capitulation Bottom)</t>
        </is>
      </c>
    </row>
    <row r="379" ht="15.75" customHeight="1" s="57">
      <c r="A379" s="2" t="inlineStr">
        <is>
          <t>2026-10-09</t>
        </is>
      </c>
      <c r="B379" s="2" t="inlineStr">
        <is>
          <t>SRF</t>
        </is>
      </c>
      <c r="C379" s="2" t="inlineStr">
        <is>
          <t>SRF Limited</t>
        </is>
      </c>
      <c r="D379" s="2" t="inlineStr">
        <is>
          <t>100/100</t>
        </is>
      </c>
      <c r="E379" s="7" t="n">
        <v>2519.5</v>
      </c>
      <c r="F379" s="7" t="n">
        <v>2491.6</v>
      </c>
      <c r="G379" s="7" t="n">
        <v>2589.25</v>
      </c>
      <c r="H379" s="2" t="inlineStr">
        <is>
          <t>1:2.5</t>
        </is>
      </c>
      <c r="I379" s="2" t="n">
        <v>0</v>
      </c>
      <c r="J379" s="7" t="n">
        <v>0</v>
      </c>
      <c r="K379" s="2" t="inlineStr">
        <is>
          <t>PENDING</t>
        </is>
      </c>
      <c r="L379" s="2" t="inlineStr">
        <is>
          <t>Intraday Scanner (STATE 3: Capitulation Bottom)</t>
        </is>
      </c>
    </row>
    <row r="380" ht="15.75" customHeight="1" s="57">
      <c r="A380" s="2" t="inlineStr">
        <is>
          <t>2026-10-09</t>
        </is>
      </c>
      <c r="B380" s="2" t="inlineStr">
        <is>
          <t>AUROPHARMA</t>
        </is>
      </c>
      <c r="C380" s="2" t="inlineStr">
        <is>
          <t>Aurobindo Pharma Limited</t>
        </is>
      </c>
      <c r="D380" s="2" t="inlineStr">
        <is>
          <t>100/100</t>
        </is>
      </c>
      <c r="E380" s="7" t="n">
        <v>1693</v>
      </c>
      <c r="F380" s="7" t="n">
        <v>1674.05</v>
      </c>
      <c r="G380" s="7" t="n">
        <v>1740.4</v>
      </c>
      <c r="H380" s="2" t="inlineStr">
        <is>
          <t>1:2.5</t>
        </is>
      </c>
      <c r="I380" s="2" t="n">
        <v>0</v>
      </c>
      <c r="J380" s="7" t="n">
        <v>0</v>
      </c>
      <c r="K380" s="2" t="inlineStr">
        <is>
          <t>PENDING</t>
        </is>
      </c>
      <c r="L380" s="2" t="inlineStr">
        <is>
          <t>Intraday Scanner (STATE 3: Capitulation Bottom)</t>
        </is>
      </c>
    </row>
    <row r="381" ht="15.75" customHeight="1" s="57">
      <c r="A381" s="2" t="inlineStr">
        <is>
          <t>2026-10-09</t>
        </is>
      </c>
      <c r="B381" s="2" t="inlineStr">
        <is>
          <t>FINEORG</t>
        </is>
      </c>
      <c r="C381" s="2" t="inlineStr">
        <is>
          <t>Fine Organic Industries Limited</t>
        </is>
      </c>
      <c r="D381" s="2" t="inlineStr">
        <is>
          <t>100/100</t>
        </is>
      </c>
      <c r="E381" s="7" t="n">
        <v>5410.5</v>
      </c>
      <c r="F381" s="7" t="n">
        <v>5247.15</v>
      </c>
      <c r="G381" s="7" t="n">
        <v>5818.9</v>
      </c>
      <c r="H381" s="2" t="inlineStr">
        <is>
          <t>1:2.5</t>
        </is>
      </c>
      <c r="I381" s="2" t="n">
        <v>0</v>
      </c>
      <c r="J381" s="7" t="n">
        <v>0</v>
      </c>
      <c r="K381" s="2" t="inlineStr">
        <is>
          <t>PENDING</t>
        </is>
      </c>
      <c r="L381" s="2" t="inlineStr">
        <is>
          <t>Intraday Scanner (STATE 3: Capitulation Bottom)</t>
        </is>
      </c>
    </row>
    <row r="382" ht="15.75" customHeight="1" s="57">
      <c r="A382" s="2" t="inlineStr">
        <is>
          <t>2026-10-09</t>
        </is>
      </c>
      <c r="B382" s="2" t="inlineStr">
        <is>
          <t>SJVN</t>
        </is>
      </c>
      <c r="C382" s="2" t="inlineStr">
        <is>
          <t>SJVN Limited</t>
        </is>
      </c>
      <c r="D382" s="2" t="inlineStr">
        <is>
          <t>100/100</t>
        </is>
      </c>
      <c r="E382" s="7" t="n">
        <v>55.57</v>
      </c>
      <c r="F382" s="7" t="n">
        <v>54.15</v>
      </c>
      <c r="G382" s="7" t="n">
        <v>59.1</v>
      </c>
      <c r="H382" s="2" t="inlineStr">
        <is>
          <t>1:2.5</t>
        </is>
      </c>
      <c r="I382" s="2" t="n">
        <v>1</v>
      </c>
      <c r="J382" s="7" t="n">
        <v>55.57</v>
      </c>
      <c r="K382" s="2" t="inlineStr">
        <is>
          <t>PENDING</t>
        </is>
      </c>
      <c r="L382" s="2" t="inlineStr">
        <is>
          <t>Intraday Scanner (STATE 3: Capitulation Bottom)</t>
        </is>
      </c>
    </row>
    <row r="383" ht="15.75" customHeight="1" s="57">
      <c r="A383" s="2" t="inlineStr">
        <is>
          <t>2026-10-12</t>
        </is>
      </c>
      <c r="B383" s="2" t="inlineStr">
        <is>
          <t>BLUSPRING</t>
        </is>
      </c>
      <c r="C383" s="2" t="inlineStr">
        <is>
          <t>Bluspring Enterprises Limited</t>
        </is>
      </c>
      <c r="D383" s="2" t="inlineStr">
        <is>
          <t>98/100</t>
        </is>
      </c>
      <c r="E383" s="7" t="n">
        <v>146.9600067138672</v>
      </c>
      <c r="F383" s="7" t="n">
        <v>128.0485807146345</v>
      </c>
      <c r="G383" s="7" t="n">
        <v>194.2385717119489</v>
      </c>
      <c r="H383" s="2" t="inlineStr">
        <is>
          <t>1:2.5</t>
        </is>
      </c>
      <c r="I383" s="2" t="n">
        <v>0</v>
      </c>
      <c r="J383" s="7" t="n">
        <v>0</v>
      </c>
      <c r="K383" s="2" t="inlineStr">
        <is>
          <t>PENDING</t>
        </is>
      </c>
      <c r="L383" s="2" t="inlineStr">
        <is>
          <t>Swing Scanner (STATE 3: Capitulation Bottom)</t>
        </is>
      </c>
    </row>
    <row r="384" ht="15.75" customHeight="1" s="57">
      <c r="A384" s="2" t="inlineStr">
        <is>
          <t>2026-10-12</t>
        </is>
      </c>
      <c r="B384" s="2" t="inlineStr">
        <is>
          <t>BBOX</t>
        </is>
      </c>
      <c r="C384" s="2" t="inlineStr">
        <is>
          <t>Black Box Limited</t>
        </is>
      </c>
      <c r="D384" s="2" t="inlineStr">
        <is>
          <t>96/100</t>
        </is>
      </c>
      <c r="E384" s="7" t="n">
        <v>892.0999755859375</v>
      </c>
      <c r="F384" s="7" t="n">
        <v>799.2071271623884</v>
      </c>
      <c r="G384" s="7" t="n">
        <v>1124.33209664481</v>
      </c>
      <c r="H384" s="2" t="inlineStr">
        <is>
          <t>1:2.5</t>
        </is>
      </c>
      <c r="I384" s="2" t="n">
        <v>0</v>
      </c>
      <c r="J384" s="7" t="n">
        <v>0</v>
      </c>
      <c r="K384" s="2" t="inlineStr">
        <is>
          <t>PENDING</t>
        </is>
      </c>
      <c r="L384" s="2" t="inlineStr">
        <is>
          <t>Swing Scanner (STATE 3: Capitulation Bottom)</t>
        </is>
      </c>
    </row>
    <row r="385" ht="15.75" customHeight="1" s="57">
      <c r="A385" s="2" t="inlineStr">
        <is>
          <t>2026-10-12</t>
        </is>
      </c>
      <c r="B385" s="2" t="inlineStr">
        <is>
          <t>VMART</t>
        </is>
      </c>
      <c r="C385" s="2" t="inlineStr">
        <is>
          <t>V-Mart Retail Limited</t>
        </is>
      </c>
      <c r="D385" s="2" t="inlineStr">
        <is>
          <t>96/100</t>
        </is>
      </c>
      <c r="E385" s="7" t="n">
        <v>821.9500122070312</v>
      </c>
      <c r="F385" s="7" t="n">
        <v>762.9714442661831</v>
      </c>
      <c r="G385" s="7" t="n">
        <v>969.3964320591517</v>
      </c>
      <c r="H385" s="2" t="inlineStr">
        <is>
          <t>1:2.5</t>
        </is>
      </c>
      <c r="I385" s="2" t="n">
        <v>0</v>
      </c>
      <c r="J385" s="7" t="n">
        <v>0</v>
      </c>
      <c r="K385" s="2" t="inlineStr">
        <is>
          <t>PENDING</t>
        </is>
      </c>
      <c r="L385" s="2" t="inlineStr">
        <is>
          <t>Swing Scanner (STATE 3: Capitulation Bottom)</t>
        </is>
      </c>
    </row>
    <row r="386" ht="15.75" customHeight="1" s="57">
      <c r="A386" s="2" t="inlineStr">
        <is>
          <t>2026-10-12</t>
        </is>
      </c>
      <c r="B386" s="2" t="inlineStr">
        <is>
          <t>ARIS</t>
        </is>
      </c>
      <c r="C386" s="2" t="inlineStr">
        <is>
          <t>Arisinfra Solutions Limited</t>
        </is>
      </c>
      <c r="D386" s="2" t="inlineStr">
        <is>
          <t>96/100</t>
        </is>
      </c>
      <c r="E386" s="7" t="n">
        <v>140.3099975585938</v>
      </c>
      <c r="F386" s="7" t="n">
        <v>125.0085667201451</v>
      </c>
      <c r="G386" s="7" t="n">
        <v>178.5635746547154</v>
      </c>
      <c r="H386" s="2" t="inlineStr">
        <is>
          <t>1:2.5</t>
        </is>
      </c>
      <c r="I386" s="2" t="n">
        <v>0</v>
      </c>
      <c r="J386" s="7" t="n">
        <v>0</v>
      </c>
      <c r="K386" s="2" t="inlineStr">
        <is>
          <t>PENDING</t>
        </is>
      </c>
      <c r="L386" s="2" t="inlineStr">
        <is>
          <t>Swing Scanner (STATE 3: Capitulation Bottom)</t>
        </is>
      </c>
    </row>
    <row r="387" ht="15.75" customHeight="1" s="57">
      <c r="A387" s="2" t="inlineStr">
        <is>
          <t>2026-10-12</t>
        </is>
      </c>
      <c r="B387" s="2" t="inlineStr">
        <is>
          <t>JAIBALAJI</t>
        </is>
      </c>
      <c r="C387" s="2" t="inlineStr">
        <is>
          <t>Jai Balaji Industries Limited</t>
        </is>
      </c>
      <c r="D387" s="2" t="inlineStr">
        <is>
          <t>96/100</t>
        </is>
      </c>
      <c r="E387" s="7" t="n">
        <v>68.40000152587891</v>
      </c>
      <c r="F387" s="7" t="n">
        <v>62.80000087193081</v>
      </c>
      <c r="G387" s="7" t="n">
        <v>82.40000316074916</v>
      </c>
      <c r="H387" s="2" t="inlineStr">
        <is>
          <t>1:2.5</t>
        </is>
      </c>
      <c r="I387" s="2" t="n">
        <v>0</v>
      </c>
      <c r="J387" s="7" t="n">
        <v>0</v>
      </c>
      <c r="K387" s="2" t="inlineStr">
        <is>
          <t>PENDING</t>
        </is>
      </c>
      <c r="L387" s="2" t="inlineStr">
        <is>
          <t>Swing Scanner (STATE 3: Capitulation Bottom)</t>
        </is>
      </c>
    </row>
    <row r="388" ht="15.75" customHeight="1" s="57">
      <c r="A388" s="2" t="inlineStr">
        <is>
          <t>2026-10-12</t>
        </is>
      </c>
      <c r="B388" s="2" t="inlineStr">
        <is>
          <t>DIVISLAB</t>
        </is>
      </c>
      <c r="C388" s="2" t="inlineStr">
        <is>
          <t>Divi's Laboratories Limited</t>
        </is>
      </c>
      <c r="D388" s="2" t="inlineStr">
        <is>
          <t>100/100</t>
        </is>
      </c>
      <c r="E388" s="7" t="n">
        <v>9426</v>
      </c>
      <c r="F388" s="7" t="n">
        <v>9277.799999999999</v>
      </c>
      <c r="G388" s="7" t="n">
        <v>9796.5</v>
      </c>
      <c r="H388" s="2" t="inlineStr">
        <is>
          <t>1:2.5</t>
        </is>
      </c>
      <c r="I388" s="2" t="n">
        <v>0</v>
      </c>
      <c r="J388" s="7" t="n">
        <v>0</v>
      </c>
      <c r="K388" s="2" t="inlineStr">
        <is>
          <t>PENDING</t>
        </is>
      </c>
      <c r="L388" s="2" t="inlineStr">
        <is>
          <t>Intraday Scanner (STATE 3: Capitulation Bottom)</t>
        </is>
      </c>
    </row>
    <row r="389" ht="15.75" customHeight="1" s="57">
      <c r="A389" s="2" t="inlineStr">
        <is>
          <t>2026-10-12</t>
        </is>
      </c>
      <c r="B389" s="2" t="inlineStr">
        <is>
          <t>POLYMED</t>
        </is>
      </c>
      <c r="C389" s="2" t="inlineStr">
        <is>
          <t>Poly Medicure Limited</t>
        </is>
      </c>
      <c r="D389" s="2" t="inlineStr">
        <is>
          <t>100/100</t>
        </is>
      </c>
      <c r="E389" s="7" t="n">
        <v>1641.2</v>
      </c>
      <c r="F389" s="7" t="n">
        <v>1610.05</v>
      </c>
      <c r="G389" s="7" t="n">
        <v>1719.05</v>
      </c>
      <c r="H389" s="2" t="inlineStr">
        <is>
          <t>1:2.5</t>
        </is>
      </c>
      <c r="I389" s="2" t="n">
        <v>0</v>
      </c>
      <c r="J389" s="7" t="n">
        <v>0</v>
      </c>
      <c r="K389" s="2" t="inlineStr">
        <is>
          <t>PENDING</t>
        </is>
      </c>
      <c r="L389" s="2" t="inlineStr">
        <is>
          <t>Intraday Scanner (STATE 3: Capitulation Bottom)</t>
        </is>
      </c>
    </row>
    <row r="390" ht="15.75" customHeight="1" s="57">
      <c r="A390" s="2" t="inlineStr">
        <is>
          <t>2026-10-12</t>
        </is>
      </c>
      <c r="B390" s="2" t="inlineStr">
        <is>
          <t>TATACOMM</t>
        </is>
      </c>
      <c r="C390" s="2" t="inlineStr">
        <is>
          <t>Tata Communications Limited</t>
        </is>
      </c>
      <c r="D390" s="2" t="inlineStr">
        <is>
          <t>100/100</t>
        </is>
      </c>
      <c r="E390" s="7" t="n">
        <v>1662.7</v>
      </c>
      <c r="F390" s="7" t="n">
        <v>1639.6</v>
      </c>
      <c r="G390" s="7" t="n">
        <v>1720.45</v>
      </c>
      <c r="H390" s="2" t="inlineStr">
        <is>
          <t>1:2.5</t>
        </is>
      </c>
      <c r="I390" s="2" t="n">
        <v>0</v>
      </c>
      <c r="J390" s="7" t="n">
        <v>0</v>
      </c>
      <c r="K390" s="2" t="inlineStr">
        <is>
          <t>PENDING</t>
        </is>
      </c>
      <c r="L390" s="2" t="inlineStr">
        <is>
          <t>Intraday Scanner (STATE 3: Capitulation Bottom)</t>
        </is>
      </c>
    </row>
    <row r="391" ht="15.75" customHeight="1" s="57">
      <c r="A391" s="2" t="inlineStr">
        <is>
          <t>2026-10-12</t>
        </is>
      </c>
      <c r="B391" s="2" t="inlineStr">
        <is>
          <t>SONACOMS</t>
        </is>
      </c>
      <c r="C391" s="2" t="inlineStr">
        <is>
          <t>Sona BLW Precision Forgings Limited</t>
        </is>
      </c>
      <c r="D391" s="2" t="inlineStr">
        <is>
          <t>100/100</t>
        </is>
      </c>
      <c r="E391" s="7" t="n">
        <v>798</v>
      </c>
      <c r="F391" s="7" t="n">
        <v>782.75</v>
      </c>
      <c r="G391" s="7" t="n">
        <v>836.15</v>
      </c>
      <c r="H391" s="2" t="inlineStr">
        <is>
          <t>1:2.5</t>
        </is>
      </c>
      <c r="I391" s="2" t="n">
        <v>0</v>
      </c>
      <c r="J391" s="7" t="n">
        <v>0</v>
      </c>
      <c r="K391" s="2" t="inlineStr">
        <is>
          <t>PENDING</t>
        </is>
      </c>
      <c r="L391" s="2" t="inlineStr">
        <is>
          <t>Intraday Scanner (STATE 3: Capitulation Bottom)</t>
        </is>
      </c>
    </row>
    <row r="392" ht="15.75" customHeight="1" s="57">
      <c r="A392" s="2" t="inlineStr">
        <is>
          <t>2026-10-12</t>
        </is>
      </c>
      <c r="B392" s="2" t="inlineStr">
        <is>
          <t>KALYANKJIL</t>
        </is>
      </c>
      <c r="C392" s="2" t="inlineStr">
        <is>
          <t>Kalyan Jewellers India Limited</t>
        </is>
      </c>
      <c r="D392" s="2" t="inlineStr">
        <is>
          <t>100/100</t>
        </is>
      </c>
      <c r="E392" s="7" t="n">
        <v>567.15</v>
      </c>
      <c r="F392" s="7" t="n">
        <v>555.8</v>
      </c>
      <c r="G392" s="7" t="n">
        <v>595.5</v>
      </c>
      <c r="H392" s="2" t="inlineStr">
        <is>
          <t>1:2.5</t>
        </is>
      </c>
      <c r="I392" s="2" t="n">
        <v>0</v>
      </c>
      <c r="J392" s="7" t="n">
        <v>0</v>
      </c>
      <c r="K392" s="2" t="inlineStr">
        <is>
          <t>PENDING</t>
        </is>
      </c>
      <c r="L392" s="2" t="inlineStr">
        <is>
          <t>Intraday Scanner (STATE 3: Capitulation Bottom)</t>
        </is>
      </c>
    </row>
    <row r="393" ht="15.75" customHeight="1" s="57">
      <c r="A393" s="2" t="inlineStr">
        <is>
          <t>2026-10-13</t>
        </is>
      </c>
      <c r="B393" s="2" t="inlineStr">
        <is>
          <t>COFFEEDAY</t>
        </is>
      </c>
      <c r="C393" s="2" t="inlineStr">
        <is>
          <t>Coffee Day Enterprises Limited</t>
        </is>
      </c>
      <c r="D393" s="2" t="inlineStr">
        <is>
          <t>98/100</t>
        </is>
      </c>
      <c r="E393" s="7" t="n">
        <v>31.70000076293945</v>
      </c>
      <c r="F393" s="7" t="n">
        <v>28.49000004359654</v>
      </c>
      <c r="G393" s="7" t="n">
        <v>39.72500256129673</v>
      </c>
      <c r="H393" s="2" t="inlineStr">
        <is>
          <t>1:2.5</t>
        </is>
      </c>
      <c r="I393" s="2" t="n">
        <v>1</v>
      </c>
      <c r="J393" s="7" t="n">
        <v>31.70000076293945</v>
      </c>
      <c r="K393" s="2" t="inlineStr">
        <is>
          <t>PENDING</t>
        </is>
      </c>
      <c r="L393" s="2" t="inlineStr">
        <is>
          <t>Swing Scanner (STATE 3: Capitulation Bottom)</t>
        </is>
      </c>
    </row>
    <row r="394" ht="15.75" customHeight="1" s="57">
      <c r="A394" s="2" t="inlineStr">
        <is>
          <t>2026-10-13</t>
        </is>
      </c>
      <c r="B394" s="2" t="inlineStr">
        <is>
          <t>GPPL</t>
        </is>
      </c>
      <c r="C394" s="2" t="inlineStr">
        <is>
          <t>Gujarat Pipavav Port Limited</t>
        </is>
      </c>
      <c r="D394" s="2" t="inlineStr">
        <is>
          <t>98/100</t>
        </is>
      </c>
      <c r="E394" s="7" t="n">
        <v>173.1000061035156</v>
      </c>
      <c r="F394" s="7" t="n">
        <v>162.7585819789342</v>
      </c>
      <c r="G394" s="7" t="n">
        <v>198.9535664149693</v>
      </c>
      <c r="H394" s="2" t="inlineStr">
        <is>
          <t>1:2.5</t>
        </is>
      </c>
      <c r="I394" s="2" t="n">
        <v>0</v>
      </c>
      <c r="J394" s="7" t="n">
        <v>0</v>
      </c>
      <c r="K394" s="2" t="inlineStr">
        <is>
          <t>PENDING</t>
        </is>
      </c>
      <c r="L394" s="2" t="inlineStr">
        <is>
          <t>Swing Scanner (STATE 3: Capitulation Bottom)</t>
        </is>
      </c>
    </row>
    <row r="395" ht="15.75" customHeight="1" s="57">
      <c r="A395" s="2" t="inlineStr">
        <is>
          <t>2026-10-13</t>
        </is>
      </c>
      <c r="B395" s="2" t="inlineStr">
        <is>
          <t>BBOX</t>
        </is>
      </c>
      <c r="C395" s="2" t="inlineStr">
        <is>
          <t>Black Box Limited</t>
        </is>
      </c>
      <c r="D395" s="2" t="inlineStr">
        <is>
          <t>98/100</t>
        </is>
      </c>
      <c r="E395" s="7" t="n">
        <v>924.5999755859375</v>
      </c>
      <c r="F395" s="7" t="n">
        <v>832.1999773297991</v>
      </c>
      <c r="G395" s="7" t="n">
        <v>1155.599971226284</v>
      </c>
      <c r="H395" s="2" t="inlineStr">
        <is>
          <t>1:2.5</t>
        </is>
      </c>
      <c r="I395" s="2" t="n">
        <v>0</v>
      </c>
      <c r="J395" s="7" t="n">
        <v>0</v>
      </c>
      <c r="K395" s="2" t="inlineStr">
        <is>
          <t>PENDING</t>
        </is>
      </c>
      <c r="L395" s="2" t="inlineStr">
        <is>
          <t>Swing Scanner (STATE 3: Capitulation Bottom)</t>
        </is>
      </c>
    </row>
    <row r="396" ht="15.75" customHeight="1" s="57">
      <c r="A396" s="2" t="inlineStr">
        <is>
          <t>2026-10-13</t>
        </is>
      </c>
      <c r="B396" s="2" t="inlineStr">
        <is>
          <t>BLUSPRING</t>
        </is>
      </c>
      <c r="C396" s="2" t="inlineStr">
        <is>
          <t>Bluspring Enterprises Limited</t>
        </is>
      </c>
      <c r="D396" s="2" t="inlineStr">
        <is>
          <t>95/100</t>
        </is>
      </c>
      <c r="E396" s="7" t="n">
        <v>157.0099945068359</v>
      </c>
      <c r="F396" s="7" t="n">
        <v>135.5757108415876</v>
      </c>
      <c r="G396" s="7" t="n">
        <v>210.5957036699567</v>
      </c>
      <c r="H396" s="2" t="inlineStr">
        <is>
          <t>1:2.5</t>
        </is>
      </c>
      <c r="I396" s="2" t="n">
        <v>0</v>
      </c>
      <c r="J396" s="7" t="n">
        <v>0</v>
      </c>
      <c r="K396" s="2" t="inlineStr">
        <is>
          <t>PENDING</t>
        </is>
      </c>
      <c r="L396" s="2" t="inlineStr">
        <is>
          <t>Swing Scanner (STATE 3: Capitulation Bottom)</t>
        </is>
      </c>
    </row>
    <row r="397" ht="15.75" customHeight="1" s="57">
      <c r="A397" s="2" t="inlineStr">
        <is>
          <t>2026-10-13</t>
        </is>
      </c>
      <c r="B397" s="2" t="inlineStr">
        <is>
          <t>CPPLUS</t>
        </is>
      </c>
      <c r="C397" s="2" t="inlineStr">
        <is>
          <t>CPPLUS</t>
        </is>
      </c>
      <c r="D397" s="2" t="inlineStr">
        <is>
          <t>93/100</t>
        </is>
      </c>
      <c r="E397" s="7" t="n">
        <v>4134.10009765625</v>
      </c>
      <c r="F397" s="7" t="n">
        <v>3749.443010602678</v>
      </c>
      <c r="G397" s="7" t="n">
        <v>5095.742815290178</v>
      </c>
      <c r="H397" s="2" t="inlineStr">
        <is>
          <t>1:2.5</t>
        </is>
      </c>
      <c r="I397" s="2" t="n">
        <v>0</v>
      </c>
      <c r="J397" s="7" t="n">
        <v>0</v>
      </c>
      <c r="K397" s="2" t="inlineStr">
        <is>
          <t>PENDING</t>
        </is>
      </c>
      <c r="L397" s="2" t="inlineStr">
        <is>
          <t>Swing Scanner (STATE 3: Capitulation Bottom)</t>
        </is>
      </c>
    </row>
    <row r="398" ht="15.75" customHeight="1" s="57">
      <c r="A398" s="2" t="inlineStr">
        <is>
          <t>2026-10-13</t>
        </is>
      </c>
      <c r="B398" s="2" t="inlineStr">
        <is>
          <t>SUNPHARMA</t>
        </is>
      </c>
      <c r="C398" s="2" t="inlineStr">
        <is>
          <t>Sun Pharmaceutical Industries Limited</t>
        </is>
      </c>
      <c r="D398" s="2" t="inlineStr">
        <is>
          <t>100/100</t>
        </is>
      </c>
      <c r="E398" s="7" t="n">
        <v>1770.7</v>
      </c>
      <c r="F398" s="7" t="n">
        <v>1753.2</v>
      </c>
      <c r="G398" s="7" t="n">
        <v>1814.5</v>
      </c>
      <c r="H398" s="2" t="inlineStr">
        <is>
          <t>1:2.5</t>
        </is>
      </c>
      <c r="I398" s="2" t="n">
        <v>0</v>
      </c>
      <c r="J398" s="7" t="n">
        <v>0</v>
      </c>
      <c r="K398" s="2" t="inlineStr">
        <is>
          <t>PENDING</t>
        </is>
      </c>
      <c r="L398" s="2" t="inlineStr">
        <is>
          <t>Intraday Scanner (STATE 3: Capitulation Bottom)</t>
        </is>
      </c>
    </row>
    <row r="399" ht="15.75" customHeight="1" s="57">
      <c r="A399" s="2" t="inlineStr">
        <is>
          <t>2026-10-13</t>
        </is>
      </c>
      <c r="B399" s="2" t="inlineStr">
        <is>
          <t>ASIANPAINT</t>
        </is>
      </c>
      <c r="C399" s="2" t="inlineStr">
        <is>
          <t>Asian Paints Limited</t>
        </is>
      </c>
      <c r="D399" s="2" t="inlineStr">
        <is>
          <t>100/100</t>
        </is>
      </c>
      <c r="E399" s="7" t="n">
        <v>2376</v>
      </c>
      <c r="F399" s="7" t="n">
        <v>2351</v>
      </c>
      <c r="G399" s="7" t="n">
        <v>2438.55</v>
      </c>
      <c r="H399" s="2" t="inlineStr">
        <is>
          <t>1:2.5</t>
        </is>
      </c>
      <c r="I399" s="2" t="n">
        <v>0</v>
      </c>
      <c r="J399" s="7" t="n">
        <v>0</v>
      </c>
      <c r="K399" s="2" t="inlineStr">
        <is>
          <t>PENDING</t>
        </is>
      </c>
      <c r="L399" s="2" t="inlineStr">
        <is>
          <t>Intraday Scanner (STATE 3: Capitulation Bottom)</t>
        </is>
      </c>
    </row>
    <row r="400" ht="15.75" customHeight="1" s="57">
      <c r="A400" s="2" t="inlineStr">
        <is>
          <t>2026-10-13</t>
        </is>
      </c>
      <c r="B400" s="2" t="inlineStr">
        <is>
          <t>ONGC</t>
        </is>
      </c>
      <c r="C400" s="2" t="inlineStr">
        <is>
          <t>Oil and Natural Gas Corporation Limited</t>
        </is>
      </c>
      <c r="D400" s="2" t="inlineStr">
        <is>
          <t>100/100</t>
        </is>
      </c>
      <c r="E400" s="7" t="n">
        <v>222.65</v>
      </c>
      <c r="F400" s="7" t="n">
        <v>220.9</v>
      </c>
      <c r="G400" s="7" t="n">
        <v>227.05</v>
      </c>
      <c r="H400" s="2" t="inlineStr">
        <is>
          <t>1:2.5</t>
        </is>
      </c>
      <c r="I400" s="2" t="n">
        <v>0</v>
      </c>
      <c r="J400" s="7" t="n">
        <v>0</v>
      </c>
      <c r="K400" s="2" t="inlineStr">
        <is>
          <t>PENDING</t>
        </is>
      </c>
      <c r="L400" s="2" t="inlineStr">
        <is>
          <t>Intraday Scanner (STATE 3: Capitulation Bottom)</t>
        </is>
      </c>
    </row>
    <row r="401" ht="15.75" customHeight="1" s="57">
      <c r="A401" s="2" t="inlineStr">
        <is>
          <t>2026-10-13</t>
        </is>
      </c>
      <c r="B401" s="2" t="inlineStr">
        <is>
          <t>HEROMOTOCO</t>
        </is>
      </c>
      <c r="C401" s="2" t="inlineStr">
        <is>
          <t>Hero MotoCorp Limited</t>
        </is>
      </c>
      <c r="D401" s="2" t="inlineStr">
        <is>
          <t>100/100</t>
        </is>
      </c>
      <c r="E401" s="7" t="n">
        <v>4997.5</v>
      </c>
      <c r="F401" s="7" t="n">
        <v>4922.95</v>
      </c>
      <c r="G401" s="7" t="n">
        <v>5183.9</v>
      </c>
      <c r="H401" s="2" t="inlineStr">
        <is>
          <t>1:2.5</t>
        </is>
      </c>
      <c r="I401" s="2" t="n">
        <v>0</v>
      </c>
      <c r="J401" s="7" t="n">
        <v>0</v>
      </c>
      <c r="K401" s="2" t="inlineStr">
        <is>
          <t>PENDING</t>
        </is>
      </c>
      <c r="L401" s="2" t="inlineStr">
        <is>
          <t>Intraday Scanner (STATE 3: Capitulation Bottom)</t>
        </is>
      </c>
    </row>
    <row r="402" ht="15.75" customHeight="1" s="57">
      <c r="A402" s="2" t="inlineStr">
        <is>
          <t>2026-10-13</t>
        </is>
      </c>
      <c r="B402" s="2" t="inlineStr">
        <is>
          <t>SIEMENS</t>
        </is>
      </c>
      <c r="C402" s="2" t="inlineStr">
        <is>
          <t>Siemens Limited</t>
        </is>
      </c>
      <c r="D402" s="2" t="inlineStr">
        <is>
          <t>100/100</t>
        </is>
      </c>
      <c r="E402" s="7" t="n">
        <v>3742</v>
      </c>
      <c r="F402" s="7" t="n">
        <v>3639.75</v>
      </c>
      <c r="G402" s="7" t="n">
        <v>3997.7</v>
      </c>
      <c r="H402" s="2" t="inlineStr">
        <is>
          <t>1:2.5</t>
        </is>
      </c>
      <c r="I402" s="2" t="n">
        <v>0</v>
      </c>
      <c r="J402" s="7" t="n">
        <v>0</v>
      </c>
      <c r="K402" s="2" t="inlineStr">
        <is>
          <t>PENDING</t>
        </is>
      </c>
      <c r="L402" s="2" t="inlineStr">
        <is>
          <t>Intraday Scanner (STATE 3: Capitulation Bottom)</t>
        </is>
      </c>
    </row>
    <row r="403" ht="15.75" customHeight="1" s="57">
      <c r="A403" s="2" t="inlineStr">
        <is>
          <t>2026-10-14</t>
        </is>
      </c>
      <c r="B403" s="2" t="inlineStr">
        <is>
          <t>DRREDDY</t>
        </is>
      </c>
      <c r="C403" s="2" t="inlineStr">
        <is>
          <t>Dr. Reddy's Laboratories Limited</t>
        </is>
      </c>
      <c r="D403" s="2" t="inlineStr">
        <is>
          <t>98/100</t>
        </is>
      </c>
      <c r="E403" s="7" t="n">
        <v>1240</v>
      </c>
      <c r="F403" s="7" t="n">
        <v>1185.714250837054</v>
      </c>
      <c r="G403" s="7" t="n">
        <v>1375.714372907366</v>
      </c>
      <c r="H403" s="2" t="inlineStr">
        <is>
          <t>1:2.5</t>
        </is>
      </c>
      <c r="I403" s="2" t="n">
        <v>0</v>
      </c>
      <c r="J403" s="7" t="n">
        <v>0</v>
      </c>
      <c r="K403" s="2" t="inlineStr">
        <is>
          <t>SKIPPED_BEARISH_REGIME</t>
        </is>
      </c>
      <c r="L403" s="2" t="inlineStr">
        <is>
          <t>Swing Scanner (STATE 4: Cash Only)</t>
        </is>
      </c>
    </row>
    <row r="404" ht="15.75" customHeight="1" s="57">
      <c r="A404" s="2" t="inlineStr">
        <is>
          <t>2026-10-14</t>
        </is>
      </c>
      <c r="B404" s="2" t="inlineStr">
        <is>
          <t>COFORGE</t>
        </is>
      </c>
      <c r="C404" s="2" t="inlineStr">
        <is>
          <t>Coforge Limited</t>
        </is>
      </c>
      <c r="D404" s="2" t="inlineStr">
        <is>
          <t>98/100</t>
        </is>
      </c>
      <c r="E404" s="7" t="n">
        <v>1929</v>
      </c>
      <c r="F404" s="7" t="n">
        <v>1804.499965122768</v>
      </c>
      <c r="G404" s="7" t="n">
        <v>2240.25008719308</v>
      </c>
      <c r="H404" s="2" t="inlineStr">
        <is>
          <t>1:2.5</t>
        </is>
      </c>
      <c r="I404" s="2" t="n">
        <v>0</v>
      </c>
      <c r="J404" s="7" t="n">
        <v>0</v>
      </c>
      <c r="K404" s="2" t="inlineStr">
        <is>
          <t>SKIPPED_BEARISH_REGIME</t>
        </is>
      </c>
      <c r="L404" s="2" t="inlineStr">
        <is>
          <t>Swing Scanner (STATE 4: Cash Only)</t>
        </is>
      </c>
    </row>
    <row r="405" ht="15.75" customHeight="1" s="57">
      <c r="A405" s="2" t="inlineStr">
        <is>
          <t>2026-10-14</t>
        </is>
      </c>
      <c r="B405" s="2" t="inlineStr">
        <is>
          <t>CYIENTDLM</t>
        </is>
      </c>
      <c r="C405" s="2" t="inlineStr">
        <is>
          <t>Cyient DLM Limited</t>
        </is>
      </c>
      <c r="D405" s="2" t="inlineStr">
        <is>
          <t>98/100</t>
        </is>
      </c>
      <c r="E405" s="7" t="n">
        <v>1011.25</v>
      </c>
      <c r="F405" s="7" t="n">
        <v>916.7999703543527</v>
      </c>
      <c r="G405" s="7" t="n">
        <v>1247.375074114118</v>
      </c>
      <c r="H405" s="2" t="inlineStr">
        <is>
          <t>1:2.5</t>
        </is>
      </c>
      <c r="I405" s="2" t="n">
        <v>0</v>
      </c>
      <c r="J405" s="7" t="n">
        <v>0</v>
      </c>
      <c r="K405" s="2" t="inlineStr">
        <is>
          <t>SKIPPED_BEARISH_REGIME</t>
        </is>
      </c>
      <c r="L405" s="2" t="inlineStr">
        <is>
          <t>Swing Scanner (STATE 4: Cash Only)</t>
        </is>
      </c>
    </row>
    <row r="406" ht="15.75" customHeight="1" s="57">
      <c r="A406" s="2" t="inlineStr">
        <is>
          <t>2026-10-14</t>
        </is>
      </c>
      <c r="B406" s="2" t="inlineStr">
        <is>
          <t>AURUM</t>
        </is>
      </c>
      <c r="C406" s="2" t="inlineStr">
        <is>
          <t>Aurum PropTech Limited</t>
        </is>
      </c>
      <c r="D406" s="2" t="inlineStr">
        <is>
          <t>96/100</t>
        </is>
      </c>
      <c r="E406" s="7" t="n">
        <v>236.4299926757812</v>
      </c>
      <c r="F406" s="7" t="n">
        <v>216.9314270019531</v>
      </c>
      <c r="G406" s="7" t="n">
        <v>285.1764068603516</v>
      </c>
      <c r="H406" s="2" t="inlineStr">
        <is>
          <t>1:2.5</t>
        </is>
      </c>
      <c r="I406" s="2" t="n">
        <v>0</v>
      </c>
      <c r="J406" s="7" t="n">
        <v>0</v>
      </c>
      <c r="K406" s="2" t="inlineStr">
        <is>
          <t>SKIPPED_BEARISH_REGIME</t>
        </is>
      </c>
      <c r="L406" s="2" t="inlineStr">
        <is>
          <t>Swing Scanner (STATE 4: Cash Only)</t>
        </is>
      </c>
    </row>
    <row r="407" ht="15.75" customHeight="1" s="57">
      <c r="A407" s="2" t="inlineStr">
        <is>
          <t>2026-10-14</t>
        </is>
      </c>
      <c r="B407" s="2" t="inlineStr">
        <is>
          <t>CPPLUS</t>
        </is>
      </c>
      <c r="C407" s="2" t="inlineStr">
        <is>
          <t>CPPLUS</t>
        </is>
      </c>
      <c r="D407" s="2" t="inlineStr">
        <is>
          <t>95/100</t>
        </is>
      </c>
      <c r="E407" s="7" t="n">
        <v>4376.5</v>
      </c>
      <c r="F407" s="7" t="n">
        <v>3959.800048828125</v>
      </c>
      <c r="G407" s="7" t="n">
        <v>5418.249877929688</v>
      </c>
      <c r="H407" s="2" t="inlineStr">
        <is>
          <t>1:2.5</t>
        </is>
      </c>
      <c r="I407" s="2" t="n">
        <v>0</v>
      </c>
      <c r="J407" s="7" t="n">
        <v>0</v>
      </c>
      <c r="K407" s="2" t="inlineStr">
        <is>
          <t>SKIPPED_BEARISH_REGIME</t>
        </is>
      </c>
      <c r="L407" s="2" t="inlineStr">
        <is>
          <t>Swing Scanner (STATE 4: Cash Only)</t>
        </is>
      </c>
    </row>
    <row r="408" ht="15.75" customHeight="1" s="57">
      <c r="A408" s="2" t="inlineStr">
        <is>
          <t>2026-10-14</t>
        </is>
      </c>
      <c r="B408" s="2" t="inlineStr">
        <is>
          <t>BRITANNIA</t>
        </is>
      </c>
      <c r="C408" s="2" t="inlineStr">
        <is>
          <t>Britannia Industries Limited</t>
        </is>
      </c>
      <c r="D408" s="2" t="inlineStr">
        <is>
          <t>100/100</t>
        </is>
      </c>
      <c r="E408" s="7" t="n">
        <v>4928</v>
      </c>
      <c r="F408" s="7" t="n">
        <v>4873.3</v>
      </c>
      <c r="G408" s="7" t="n">
        <v>5064.8</v>
      </c>
      <c r="H408" s="2" t="inlineStr">
        <is>
          <t>1:2.5</t>
        </is>
      </c>
      <c r="I408" s="2" t="n">
        <v>0</v>
      </c>
      <c r="J408" s="7" t="n">
        <v>0</v>
      </c>
      <c r="K408" s="2" t="inlineStr">
        <is>
          <t>PENDING</t>
        </is>
      </c>
      <c r="L408" s="2" t="inlineStr">
        <is>
          <t>Intraday Scanner (STATE 4: Cash Only)</t>
        </is>
      </c>
    </row>
    <row r="409" ht="15.75" customHeight="1" s="57">
      <c r="A409" s="2" t="inlineStr">
        <is>
          <t>2026-10-14</t>
        </is>
      </c>
      <c r="B409" s="2" t="inlineStr">
        <is>
          <t>IPCALAB</t>
        </is>
      </c>
      <c r="C409" s="2" t="inlineStr">
        <is>
          <t>IPCA Laboratories Limited</t>
        </is>
      </c>
      <c r="D409" s="2" t="inlineStr">
        <is>
          <t>100/100</t>
        </is>
      </c>
      <c r="E409" s="7" t="n">
        <v>1922</v>
      </c>
      <c r="F409" s="7" t="n">
        <v>1891.25</v>
      </c>
      <c r="G409" s="7" t="n">
        <v>1998.9</v>
      </c>
      <c r="H409" s="2" t="inlineStr">
        <is>
          <t>1:2.5</t>
        </is>
      </c>
      <c r="I409" s="2" t="n">
        <v>0</v>
      </c>
      <c r="J409" s="7" t="n">
        <v>0</v>
      </c>
      <c r="K409" s="2" t="inlineStr">
        <is>
          <t>PENDING</t>
        </is>
      </c>
      <c r="L409" s="2" t="inlineStr">
        <is>
          <t>Intraday Scanner (STATE 4: Cash Only)</t>
        </is>
      </c>
    </row>
    <row r="410" ht="15.75" customHeight="1" s="57">
      <c r="A410" s="2" t="inlineStr">
        <is>
          <t>2026-10-14</t>
        </is>
      </c>
      <c r="B410" s="2" t="inlineStr">
        <is>
          <t>GRAPHITE</t>
        </is>
      </c>
      <c r="C410" s="2" t="inlineStr">
        <is>
          <t>Graphite India Limited</t>
        </is>
      </c>
      <c r="D410" s="2" t="inlineStr">
        <is>
          <t>100/100</t>
        </is>
      </c>
      <c r="E410" s="7" t="n">
        <v>805.5</v>
      </c>
      <c r="F410" s="7" t="n">
        <v>789.4</v>
      </c>
      <c r="G410" s="7" t="n">
        <v>845.8</v>
      </c>
      <c r="H410" s="2" t="inlineStr">
        <is>
          <t>1:2.5</t>
        </is>
      </c>
      <c r="I410" s="2" t="n">
        <v>0</v>
      </c>
      <c r="J410" s="7" t="n">
        <v>0</v>
      </c>
      <c r="K410" s="2" t="inlineStr">
        <is>
          <t>PENDING</t>
        </is>
      </c>
      <c r="L410" s="2" t="inlineStr">
        <is>
          <t>Intraday Scanner (STATE 4: Cash Only)</t>
        </is>
      </c>
    </row>
    <row r="411" ht="15.75" customHeight="1" s="57">
      <c r="A411" s="2" t="inlineStr">
        <is>
          <t>2026-10-14</t>
        </is>
      </c>
      <c r="B411" s="2" t="inlineStr">
        <is>
          <t>RATNAMANI</t>
        </is>
      </c>
      <c r="C411" s="2" t="inlineStr">
        <is>
          <t>Ratnamani Metals &amp; Tubes Limited</t>
        </is>
      </c>
      <c r="D411" s="2" t="inlineStr">
        <is>
          <t>100/100</t>
        </is>
      </c>
      <c r="E411" s="7" t="n">
        <v>2570.8</v>
      </c>
      <c r="F411" s="7" t="n">
        <v>2526.85</v>
      </c>
      <c r="G411" s="7" t="n">
        <v>2680.7</v>
      </c>
      <c r="H411" s="2" t="inlineStr">
        <is>
          <t>1:2.5</t>
        </is>
      </c>
      <c r="I411" s="2" t="n">
        <v>0</v>
      </c>
      <c r="J411" s="7" t="n">
        <v>0</v>
      </c>
      <c r="K411" s="2" t="inlineStr">
        <is>
          <t>PENDING</t>
        </is>
      </c>
      <c r="L411" s="2" t="inlineStr">
        <is>
          <t>Intraday Scanner (STATE 4: Cash Only)</t>
        </is>
      </c>
    </row>
    <row r="412" ht="15.75" customHeight="1" s="57">
      <c r="A412" s="2" t="inlineStr">
        <is>
          <t>2026-10-14</t>
        </is>
      </c>
      <c r="B412" s="2" t="inlineStr">
        <is>
          <t>AARTIIND</t>
        </is>
      </c>
      <c r="C412" s="2" t="inlineStr">
        <is>
          <t>Aarti Industries Limited</t>
        </is>
      </c>
      <c r="D412" s="2" t="inlineStr">
        <is>
          <t>100/100</t>
        </is>
      </c>
      <c r="E412" s="7" t="n">
        <v>497.3</v>
      </c>
      <c r="F412" s="7" t="n">
        <v>484.5</v>
      </c>
      <c r="G412" s="7" t="n">
        <v>529.25</v>
      </c>
      <c r="H412" s="2" t="inlineStr">
        <is>
          <t>1:2.5</t>
        </is>
      </c>
      <c r="I412" s="2" t="n">
        <v>0</v>
      </c>
      <c r="J412" s="7" t="n">
        <v>0</v>
      </c>
      <c r="K412" s="2" t="inlineStr">
        <is>
          <t>PENDING</t>
        </is>
      </c>
      <c r="L412" s="2" t="inlineStr">
        <is>
          <t>Intraday Scanner (STATE 4: Cash Only)</t>
        </is>
      </c>
    </row>
    <row r="413" ht="15.75" customHeight="1" s="57">
      <c r="A413" s="2" t="inlineStr">
        <is>
          <t>2026-10-15</t>
        </is>
      </c>
      <c r="B413" s="2" t="inlineStr">
        <is>
          <t>HCLTECH</t>
        </is>
      </c>
      <c r="C413" s="2" t="inlineStr">
        <is>
          <t>HCL Technologies Limited</t>
        </is>
      </c>
      <c r="D413" s="2" t="inlineStr">
        <is>
          <t>98/100</t>
        </is>
      </c>
      <c r="E413" s="7" t="n">
        <v>1327</v>
      </c>
      <c r="F413" s="7" t="n">
        <v>1251.171421595982</v>
      </c>
      <c r="G413" s="7" t="n">
        <v>1516.571446010045</v>
      </c>
      <c r="H413" s="2" t="inlineStr">
        <is>
          <t>1:2.5</t>
        </is>
      </c>
      <c r="I413" s="2" t="n">
        <v>0</v>
      </c>
      <c r="J413" s="7" t="n">
        <v>0</v>
      </c>
      <c r="K413" s="2" t="inlineStr">
        <is>
          <t>SKIPPED_BEARISH_REGIME</t>
        </is>
      </c>
      <c r="L413" s="2" t="inlineStr">
        <is>
          <t>Swing Scanner (STATE 4: Cash Only)</t>
        </is>
      </c>
    </row>
    <row r="414" ht="15.75" customHeight="1" s="57">
      <c r="A414" s="2" t="inlineStr">
        <is>
          <t>2026-10-15</t>
        </is>
      </c>
      <c r="B414" s="2" t="inlineStr">
        <is>
          <t>ABINFRA</t>
        </is>
      </c>
      <c r="C414" s="2" t="inlineStr">
        <is>
          <t>ABINFRA</t>
        </is>
      </c>
      <c r="D414" s="2" t="inlineStr">
        <is>
          <t>98/100</t>
        </is>
      </c>
      <c r="E414" s="7" t="n">
        <v>13.35000038146973</v>
      </c>
      <c r="F414" s="7" t="n">
        <v>12.02142878941127</v>
      </c>
      <c r="G414" s="7" t="n">
        <v>16.67142936161586</v>
      </c>
      <c r="H414" s="2" t="inlineStr">
        <is>
          <t>1:2.5</t>
        </is>
      </c>
      <c r="I414" s="2" t="n">
        <v>0</v>
      </c>
      <c r="J414" s="7" t="n">
        <v>0</v>
      </c>
      <c r="K414" s="2" t="inlineStr">
        <is>
          <t>SKIPPED_BEARISH_REGIME</t>
        </is>
      </c>
      <c r="L414" s="2" t="inlineStr">
        <is>
          <t>Swing Scanner (STATE 4: Cash Only)</t>
        </is>
      </c>
    </row>
    <row r="415" ht="15.75" customHeight="1" s="57">
      <c r="A415" s="2" t="inlineStr">
        <is>
          <t>2026-10-15</t>
        </is>
      </c>
      <c r="B415" s="2" t="inlineStr">
        <is>
          <t>AEROENTER</t>
        </is>
      </c>
      <c r="C415" s="2" t="inlineStr">
        <is>
          <t>Aeroflex Enterprises Limited</t>
        </is>
      </c>
      <c r="D415" s="2" t="inlineStr">
        <is>
          <t>98/100</t>
        </is>
      </c>
      <c r="E415" s="7" t="n">
        <v>134.6499938964844</v>
      </c>
      <c r="F415" s="7" t="n">
        <v>120.2499989100865</v>
      </c>
      <c r="G415" s="7" t="n">
        <v>170.6499813624791</v>
      </c>
      <c r="H415" s="2" t="inlineStr">
        <is>
          <t>1:2.5</t>
        </is>
      </c>
      <c r="I415" s="2" t="n">
        <v>0</v>
      </c>
      <c r="J415" s="7" t="n">
        <v>0</v>
      </c>
      <c r="K415" s="2" t="inlineStr">
        <is>
          <t>SKIPPED_BEARISH_REGIME</t>
        </is>
      </c>
      <c r="L415" s="2" t="inlineStr">
        <is>
          <t>Swing Scanner (STATE 4: Cash Only)</t>
        </is>
      </c>
    </row>
    <row r="416" ht="15.75" customHeight="1" s="57">
      <c r="A416" s="2" t="inlineStr">
        <is>
          <t>2026-10-15</t>
        </is>
      </c>
      <c r="B416" s="2" t="inlineStr">
        <is>
          <t>COFORGE</t>
        </is>
      </c>
      <c r="C416" s="2" t="inlineStr">
        <is>
          <t>Coforge Limited</t>
        </is>
      </c>
      <c r="D416" s="2" t="inlineStr">
        <is>
          <t>98/100</t>
        </is>
      </c>
      <c r="E416" s="7" t="n">
        <v>1928</v>
      </c>
      <c r="F416" s="7" t="n">
        <v>1802.942818777902</v>
      </c>
      <c r="G416" s="7" t="n">
        <v>2240.642953055245</v>
      </c>
      <c r="H416" s="2" t="inlineStr">
        <is>
          <t>1:2.5</t>
        </is>
      </c>
      <c r="I416" s="2" t="n">
        <v>0</v>
      </c>
      <c r="J416" s="7" t="n">
        <v>0</v>
      </c>
      <c r="K416" s="2" t="inlineStr">
        <is>
          <t>SKIPPED_BEARISH_REGIME</t>
        </is>
      </c>
      <c r="L416" s="2" t="inlineStr">
        <is>
          <t>Swing Scanner (STATE 4: Cash Only)</t>
        </is>
      </c>
    </row>
    <row r="417" ht="15.75" customHeight="1" s="57">
      <c r="A417" s="2" t="inlineStr">
        <is>
          <t>2026-10-15</t>
        </is>
      </c>
      <c r="B417" s="2" t="inlineStr">
        <is>
          <t>MRPL</t>
        </is>
      </c>
      <c r="C417" s="2" t="inlineStr">
        <is>
          <t>Mangalore Refinery and Petrochemicals Limited</t>
        </is>
      </c>
      <c r="D417" s="2" t="inlineStr">
        <is>
          <t>98/100</t>
        </is>
      </c>
      <c r="E417" s="7" t="n">
        <v>185.2599945068359</v>
      </c>
      <c r="F417" s="7" t="n">
        <v>168.4142804827009</v>
      </c>
      <c r="G417" s="7" t="n">
        <v>227.3742795671735</v>
      </c>
      <c r="H417" s="2" t="inlineStr">
        <is>
          <t>1:2.5</t>
        </is>
      </c>
      <c r="I417" s="2" t="n">
        <v>0</v>
      </c>
      <c r="J417" s="7" t="n">
        <v>0</v>
      </c>
      <c r="K417" s="2" t="inlineStr">
        <is>
          <t>SKIPPED_BEARISH_REGIME</t>
        </is>
      </c>
      <c r="L417" s="2" t="inlineStr">
        <is>
          <t>Swing Scanner (STATE 4: Cash Only)</t>
        </is>
      </c>
    </row>
    <row r="418" ht="15.75" customHeight="1" s="57">
      <c r="A418" s="2" t="inlineStr">
        <is>
          <t>2026-10-15</t>
        </is>
      </c>
      <c r="B418" s="2" t="inlineStr">
        <is>
          <t>AARTIIND</t>
        </is>
      </c>
      <c r="C418" s="2" t="inlineStr">
        <is>
          <t>Aarti Industries Limited</t>
        </is>
      </c>
      <c r="D418" s="2" t="inlineStr">
        <is>
          <t>100/100</t>
        </is>
      </c>
      <c r="E418" s="7" t="n">
        <v>506.2</v>
      </c>
      <c r="F418" s="7" t="n">
        <v>491.8</v>
      </c>
      <c r="G418" s="7" t="n">
        <v>542.25</v>
      </c>
      <c r="H418" s="2" t="inlineStr">
        <is>
          <t>1:2.5</t>
        </is>
      </c>
      <c r="I418" s="2" t="n">
        <v>0</v>
      </c>
      <c r="J418" s="7" t="n">
        <v>0</v>
      </c>
      <c r="K418" s="2" t="inlineStr">
        <is>
          <t>PENDING</t>
        </is>
      </c>
      <c r="L418" s="2" t="inlineStr">
        <is>
          <t>Intraday Scanner (STATE 4: Cash Only)</t>
        </is>
      </c>
    </row>
    <row r="419" ht="15.75" customHeight="1" s="57">
      <c r="A419" s="2" t="inlineStr">
        <is>
          <t>2026-10-15</t>
        </is>
      </c>
      <c r="B419" s="2" t="inlineStr">
        <is>
          <t>ATUL</t>
        </is>
      </c>
      <c r="C419" s="2" t="inlineStr">
        <is>
          <t>Atul Limited</t>
        </is>
      </c>
      <c r="D419" s="2" t="inlineStr">
        <is>
          <t>99/100</t>
        </is>
      </c>
      <c r="E419" s="7" t="n">
        <v>6197</v>
      </c>
      <c r="F419" s="7" t="n">
        <v>6066.65</v>
      </c>
      <c r="G419" s="7" t="n">
        <v>6522.9</v>
      </c>
      <c r="H419" s="2" t="inlineStr">
        <is>
          <t>1:2.5</t>
        </is>
      </c>
      <c r="I419" s="2" t="n">
        <v>0</v>
      </c>
      <c r="J419" s="7" t="n">
        <v>0</v>
      </c>
      <c r="K419" s="2" t="inlineStr">
        <is>
          <t>PENDING</t>
        </is>
      </c>
      <c r="L419" s="2" t="inlineStr">
        <is>
          <t>Intraday Scanner (STATE 4: Cash Only)</t>
        </is>
      </c>
    </row>
    <row r="420" ht="15.75" customHeight="1" s="57">
      <c r="A420" s="2" t="inlineStr">
        <is>
          <t>2026-10-15</t>
        </is>
      </c>
      <c r="B420" s="2" t="inlineStr">
        <is>
          <t>JSL</t>
        </is>
      </c>
      <c r="C420" s="2" t="inlineStr">
        <is>
          <t>Jindal Stainless Limited</t>
        </is>
      </c>
      <c r="D420" s="2" t="inlineStr">
        <is>
          <t>74/100</t>
        </is>
      </c>
      <c r="E420" s="7" t="n">
        <v>724.65</v>
      </c>
      <c r="F420" s="7" t="n">
        <v>716</v>
      </c>
      <c r="G420" s="7" t="n">
        <v>746.25</v>
      </c>
      <c r="H420" s="2" t="inlineStr">
        <is>
          <t>1:2.5</t>
        </is>
      </c>
      <c r="I420" s="2" t="n">
        <v>0</v>
      </c>
      <c r="J420" s="7" t="n">
        <v>0</v>
      </c>
      <c r="K420" s="2" t="inlineStr">
        <is>
          <t>PENDING</t>
        </is>
      </c>
      <c r="L420" s="2" t="inlineStr">
        <is>
          <t>Intraday Scanner (STATE 4: Cash Only)</t>
        </is>
      </c>
    </row>
    <row r="421" ht="15.75" customHeight="1" s="57">
      <c r="A421" s="2" t="inlineStr">
        <is>
          <t>2026-10-15</t>
        </is>
      </c>
      <c r="B421" s="2" t="inlineStr">
        <is>
          <t>UNOMINDA</t>
        </is>
      </c>
      <c r="C421" s="2" t="inlineStr">
        <is>
          <t>Uno Minda Limited</t>
        </is>
      </c>
      <c r="D421" s="2" t="inlineStr">
        <is>
          <t>64/100</t>
        </is>
      </c>
      <c r="E421" s="7" t="n">
        <v>1117.7</v>
      </c>
      <c r="F421" s="7" t="n">
        <v>1104.7</v>
      </c>
      <c r="G421" s="7" t="n">
        <v>1150.2</v>
      </c>
      <c r="H421" s="2" t="inlineStr">
        <is>
          <t>1:2.5</t>
        </is>
      </c>
      <c r="I421" s="2" t="n">
        <v>0</v>
      </c>
      <c r="J421" s="7" t="n">
        <v>0</v>
      </c>
      <c r="K421" s="2" t="inlineStr">
        <is>
          <t>PENDING</t>
        </is>
      </c>
      <c r="L421" s="2" t="inlineStr">
        <is>
          <t>Intraday Scanner (STATE 4: Cash Only)</t>
        </is>
      </c>
    </row>
    <row r="422" ht="15.75" customHeight="1" s="57">
      <c r="A422" s="2" t="inlineStr">
        <is>
          <t>2026-10-15</t>
        </is>
      </c>
      <c r="B422" s="2" t="inlineStr">
        <is>
          <t>AJANTPHARM</t>
        </is>
      </c>
      <c r="C422" s="2" t="inlineStr">
        <is>
          <t>Ajanta Pharma Limited</t>
        </is>
      </c>
      <c r="D422" s="2" t="inlineStr">
        <is>
          <t>50/100</t>
        </is>
      </c>
      <c r="E422" s="7" t="n">
        <v>3359.4</v>
      </c>
      <c r="F422" s="7" t="n">
        <v>3297.6</v>
      </c>
      <c r="G422" s="7" t="n">
        <v>3513.9</v>
      </c>
      <c r="H422" s="2" t="inlineStr">
        <is>
          <t>1:2.5</t>
        </is>
      </c>
      <c r="I422" s="2" t="n">
        <v>0</v>
      </c>
      <c r="J422" s="7" t="n">
        <v>0</v>
      </c>
      <c r="K422" s="2" t="inlineStr">
        <is>
          <t>PENDING</t>
        </is>
      </c>
      <c r="L422" s="2" t="inlineStr">
        <is>
          <t>Intraday Scanner (STATE 4: Cash Only)</t>
        </is>
      </c>
    </row>
    <row r="423" ht="15.75" customHeight="1" s="57">
      <c r="A423" s="2" t="inlineStr">
        <is>
          <t>2026-10-16</t>
        </is>
      </c>
      <c r="B423" s="2" t="inlineStr">
        <is>
          <t>JINDALSAW</t>
        </is>
      </c>
      <c r="C423" s="2" t="inlineStr">
        <is>
          <t>Jindal Saw Limited</t>
        </is>
      </c>
      <c r="D423" s="2" t="inlineStr">
        <is>
          <t>100/100</t>
        </is>
      </c>
      <c r="E423" s="7" t="n">
        <v>299.2000122070312</v>
      </c>
      <c r="F423" s="7" t="n">
        <v>278.2642953055246</v>
      </c>
      <c r="G423" s="7" t="n">
        <v>351.539304460798</v>
      </c>
      <c r="H423" s="2" t="inlineStr">
        <is>
          <t>1:2.5</t>
        </is>
      </c>
      <c r="I423" s="2" t="n">
        <v>0</v>
      </c>
      <c r="J423" s="7" t="n">
        <v>0</v>
      </c>
      <c r="K423" s="2" t="inlineStr">
        <is>
          <t>PENDING</t>
        </is>
      </c>
      <c r="L423" s="2" t="inlineStr">
        <is>
          <t>Swing Scanner (STATE 2: Bear Relief Rally)</t>
        </is>
      </c>
    </row>
    <row r="424" ht="15.75" customHeight="1" s="57">
      <c r="A424" s="2" t="inlineStr">
        <is>
          <t>2026-10-16</t>
        </is>
      </c>
      <c r="B424" s="2" t="inlineStr">
        <is>
          <t>ELECON</t>
        </is>
      </c>
      <c r="C424" s="2" t="inlineStr">
        <is>
          <t>Elecon Engineering Company Limited</t>
        </is>
      </c>
      <c r="D424" s="2" t="inlineStr">
        <is>
          <t>98/100</t>
        </is>
      </c>
      <c r="E424" s="7" t="n">
        <v>493.0499877929688</v>
      </c>
      <c r="F424" s="7" t="n">
        <v>443.7214181082589</v>
      </c>
      <c r="G424" s="7" t="n">
        <v>616.3714120047433</v>
      </c>
      <c r="H424" s="2" t="inlineStr">
        <is>
          <t>1:2.5</t>
        </is>
      </c>
      <c r="I424" s="2" t="n">
        <v>0</v>
      </c>
      <c r="J424" s="7" t="n">
        <v>0</v>
      </c>
      <c r="K424" s="2" t="inlineStr">
        <is>
          <t>PENDING</t>
        </is>
      </c>
      <c r="L424" s="2" t="inlineStr">
        <is>
          <t>Swing Scanner (STATE 2: Bear Relief Rally)</t>
        </is>
      </c>
    </row>
    <row r="425" ht="15.75" customHeight="1" s="57">
      <c r="A425" s="2" t="inlineStr">
        <is>
          <t>2026-10-16</t>
        </is>
      </c>
      <c r="B425" s="2" t="inlineStr">
        <is>
          <t>JAIBALAJI</t>
        </is>
      </c>
      <c r="C425" s="2" t="inlineStr">
        <is>
          <t>Jai Balaji Industries Limited</t>
        </is>
      </c>
      <c r="D425" s="2" t="inlineStr">
        <is>
          <t>98/100</t>
        </is>
      </c>
      <c r="E425" s="7" t="n">
        <v>74.91000366210938</v>
      </c>
      <c r="F425" s="7" t="n">
        <v>68.29571751185826</v>
      </c>
      <c r="G425" s="7" t="n">
        <v>91.44571903773716</v>
      </c>
      <c r="H425" s="2" t="inlineStr">
        <is>
          <t>1:2.5</t>
        </is>
      </c>
      <c r="I425" s="2" t="n">
        <v>0</v>
      </c>
      <c r="J425" s="7" t="n">
        <v>0</v>
      </c>
      <c r="K425" s="2" t="inlineStr">
        <is>
          <t>PENDING</t>
        </is>
      </c>
      <c r="L425" s="2" t="inlineStr">
        <is>
          <t>Swing Scanner (STATE 2: Bear Relief Rally)</t>
        </is>
      </c>
    </row>
    <row r="426" ht="15.75" customHeight="1" s="57">
      <c r="A426" s="2" t="inlineStr">
        <is>
          <t>2026-10-16</t>
        </is>
      </c>
      <c r="B426" s="2" t="inlineStr">
        <is>
          <t>HCLTECH</t>
        </is>
      </c>
      <c r="C426" s="2" t="inlineStr">
        <is>
          <t>HCL Technologies Limited</t>
        </is>
      </c>
      <c r="D426" s="2" t="inlineStr">
        <is>
          <t>96/100</t>
        </is>
      </c>
      <c r="E426" s="7" t="n">
        <v>1348</v>
      </c>
      <c r="F426" s="7" t="n">
        <v>1268.819149933994</v>
      </c>
      <c r="G426" s="7" t="n">
        <v>1545.952125165014</v>
      </c>
      <c r="H426" s="2" t="inlineStr">
        <is>
          <t>1:2.5</t>
        </is>
      </c>
      <c r="I426" s="2" t="n">
        <v>0</v>
      </c>
      <c r="J426" s="7" t="n">
        <v>0</v>
      </c>
      <c r="K426" s="2" t="inlineStr">
        <is>
          <t>PENDING</t>
        </is>
      </c>
      <c r="L426" s="2" t="inlineStr">
        <is>
          <t>Swing Scanner (STATE 2: Bear Relief Rally)</t>
        </is>
      </c>
    </row>
    <row r="427" ht="15.75" customHeight="1" s="57">
      <c r="A427" s="2" t="inlineStr">
        <is>
          <t>2026-10-16</t>
        </is>
      </c>
      <c r="B427" s="2" t="inlineStr">
        <is>
          <t>ZENSARTECH</t>
        </is>
      </c>
      <c r="C427" s="2" t="inlineStr">
        <is>
          <t>Zensar Technologies Limited</t>
        </is>
      </c>
      <c r="D427" s="2" t="inlineStr">
        <is>
          <t>95/100</t>
        </is>
      </c>
      <c r="E427" s="7" t="n">
        <v>504.4500122070312</v>
      </c>
      <c r="F427" s="7" t="n">
        <v>467.9071480887277</v>
      </c>
      <c r="G427" s="7" t="n">
        <v>595.8071725027902</v>
      </c>
      <c r="H427" s="2" t="inlineStr">
        <is>
          <t>1:2.5</t>
        </is>
      </c>
      <c r="I427" s="2" t="n">
        <v>0</v>
      </c>
      <c r="J427" s="7" t="n">
        <v>0</v>
      </c>
      <c r="K427" s="2" t="inlineStr">
        <is>
          <t>PENDING</t>
        </is>
      </c>
      <c r="L427" s="2" t="inlineStr">
        <is>
          <t>Swing Scanner (STATE 2: Bear Relief Rally)</t>
        </is>
      </c>
    </row>
    <row r="428" ht="15.75" customHeight="1" s="57">
      <c r="A428" s="2" t="inlineStr">
        <is>
          <t>2026-10-16</t>
        </is>
      </c>
      <c r="B428" s="2" t="inlineStr">
        <is>
          <t>HINDUNILVR</t>
        </is>
      </c>
      <c r="C428" s="2" t="inlineStr">
        <is>
          <t>Hindustan Unilever Limited</t>
        </is>
      </c>
      <c r="D428" s="2" t="inlineStr">
        <is>
          <t>100/100</t>
        </is>
      </c>
      <c r="E428" s="7" t="n">
        <v>1893.8</v>
      </c>
      <c r="F428" s="7" t="n">
        <v>1861.75</v>
      </c>
      <c r="G428" s="7" t="n">
        <v>1973.9</v>
      </c>
      <c r="H428" s="2" t="inlineStr">
        <is>
          <t>1:2.5</t>
        </is>
      </c>
      <c r="I428" s="2" t="n">
        <v>0</v>
      </c>
      <c r="J428" s="7" t="n">
        <v>0</v>
      </c>
      <c r="K428" s="2" t="inlineStr">
        <is>
          <t>PENDING</t>
        </is>
      </c>
      <c r="L428" s="2" t="inlineStr">
        <is>
          <t>Intraday Scanner (STATE 2: Bear Relief Rally)</t>
        </is>
      </c>
    </row>
    <row r="429" ht="15.75" customHeight="1" s="57">
      <c r="A429" s="2" t="inlineStr">
        <is>
          <t>2026-10-16</t>
        </is>
      </c>
      <c r="B429" s="2" t="inlineStr">
        <is>
          <t>HAPPSTMNDS</t>
        </is>
      </c>
      <c r="C429" s="2" t="inlineStr">
        <is>
          <t>Happiest Minds Technologies Limited</t>
        </is>
      </c>
      <c r="D429" s="2" t="inlineStr">
        <is>
          <t>100/100</t>
        </is>
      </c>
      <c r="E429" s="7" t="n">
        <v>338</v>
      </c>
      <c r="F429" s="7" t="n">
        <v>325.25</v>
      </c>
      <c r="G429" s="7" t="n">
        <v>369.85</v>
      </c>
      <c r="H429" s="2" t="inlineStr">
        <is>
          <t>1:2.5</t>
        </is>
      </c>
      <c r="I429" s="2" t="n">
        <v>0</v>
      </c>
      <c r="J429" s="7" t="n">
        <v>0</v>
      </c>
      <c r="K429" s="2" t="inlineStr">
        <is>
          <t>PENDING</t>
        </is>
      </c>
      <c r="L429" s="2" t="inlineStr">
        <is>
          <t>Intraday Scanner (STATE 2: Bear Relief Rally)</t>
        </is>
      </c>
    </row>
    <row r="430" ht="15.75" customHeight="1" s="57">
      <c r="A430" s="2" t="inlineStr">
        <is>
          <t>2026-10-16</t>
        </is>
      </c>
      <c r="B430" s="2" t="inlineStr">
        <is>
          <t>METROPOLIS</t>
        </is>
      </c>
      <c r="C430" s="2" t="inlineStr">
        <is>
          <t>Metropolis Healthcare Limited</t>
        </is>
      </c>
      <c r="D430" s="2" t="inlineStr">
        <is>
          <t>100/100</t>
        </is>
      </c>
      <c r="E430" s="7" t="n">
        <v>530.35</v>
      </c>
      <c r="F430" s="7" t="n">
        <v>520.55</v>
      </c>
      <c r="G430" s="7" t="n">
        <v>554.8</v>
      </c>
      <c r="H430" s="2" t="inlineStr">
        <is>
          <t>1:2.5</t>
        </is>
      </c>
      <c r="I430" s="2" t="n">
        <v>0</v>
      </c>
      <c r="J430" s="7" t="n">
        <v>0</v>
      </c>
      <c r="K430" s="2" t="inlineStr">
        <is>
          <t>PENDING</t>
        </is>
      </c>
      <c r="L430" s="2" t="inlineStr">
        <is>
          <t>Intraday Scanner (STATE 2: Bear Relief Rally)</t>
        </is>
      </c>
    </row>
    <row r="431" ht="15.75" customHeight="1" s="57">
      <c r="A431" s="2" t="inlineStr">
        <is>
          <t>2026-10-16</t>
        </is>
      </c>
      <c r="B431" s="2" t="inlineStr">
        <is>
          <t>BATAINDIA</t>
        </is>
      </c>
      <c r="C431" s="2" t="inlineStr">
        <is>
          <t>Bata India Limited</t>
        </is>
      </c>
      <c r="D431" s="2" t="inlineStr">
        <is>
          <t>100/100</t>
        </is>
      </c>
      <c r="E431" s="7" t="n">
        <v>638.65</v>
      </c>
      <c r="F431" s="7" t="n">
        <v>627.85</v>
      </c>
      <c r="G431" s="7" t="n">
        <v>665.7</v>
      </c>
      <c r="H431" s="2" t="inlineStr">
        <is>
          <t>1:2.5</t>
        </is>
      </c>
      <c r="I431" s="2" t="n">
        <v>0</v>
      </c>
      <c r="J431" s="7" t="n">
        <v>0</v>
      </c>
      <c r="K431" s="2" t="inlineStr">
        <is>
          <t>PENDING</t>
        </is>
      </c>
      <c r="L431" s="2" t="inlineStr">
        <is>
          <t>Intraday Scanner (STATE 2: Bear Relief Rally)</t>
        </is>
      </c>
    </row>
    <row r="432" ht="15.75" customHeight="1" s="57">
      <c r="A432" s="2" t="inlineStr">
        <is>
          <t>2026-10-16</t>
        </is>
      </c>
      <c r="B432" s="2" t="inlineStr">
        <is>
          <t>SUZLON</t>
        </is>
      </c>
      <c r="C432" s="2" t="inlineStr">
        <is>
          <t>Suzlon Energy Limited</t>
        </is>
      </c>
      <c r="D432" s="2" t="inlineStr">
        <is>
          <t>100/100</t>
        </is>
      </c>
      <c r="E432" s="7" t="n">
        <v>42</v>
      </c>
      <c r="F432" s="7" t="n">
        <v>40.85</v>
      </c>
      <c r="G432" s="7" t="n">
        <v>44.9</v>
      </c>
      <c r="H432" s="2" t="inlineStr">
        <is>
          <t>1:2.5</t>
        </is>
      </c>
      <c r="I432" s="2" t="n">
        <v>1</v>
      </c>
      <c r="J432" s="7" t="n">
        <v>42</v>
      </c>
      <c r="K432" s="2" t="inlineStr">
        <is>
          <t>PENDING</t>
        </is>
      </c>
      <c r="L432" s="2" t="inlineStr">
        <is>
          <t>Intraday Scanner (STATE 2: Bear Relief Rally)</t>
        </is>
      </c>
    </row>
    <row r="433" ht="15.75" customHeight="1" s="57">
      <c r="A433" s="2" t="inlineStr">
        <is>
          <t>2026-10-19</t>
        </is>
      </c>
      <c r="B433" s="2" t="inlineStr">
        <is>
          <t>HCLTECH</t>
        </is>
      </c>
      <c r="C433" s="2" t="inlineStr">
        <is>
          <t>HCL Technologies Limited</t>
        </is>
      </c>
      <c r="D433" s="2" t="inlineStr">
        <is>
          <t>98/100</t>
        </is>
      </c>
      <c r="E433" s="7" t="n">
        <v>1380</v>
      </c>
      <c r="F433" s="7" t="n">
        <v>1300.078936419904</v>
      </c>
      <c r="G433" s="7" t="n">
        <v>1579.802658950239</v>
      </c>
      <c r="H433" s="2" t="inlineStr">
        <is>
          <t>1:2.5</t>
        </is>
      </c>
      <c r="I433" s="2" t="n">
        <v>0</v>
      </c>
      <c r="J433" s="7" t="n">
        <v>0</v>
      </c>
      <c r="K433" s="2" t="inlineStr">
        <is>
          <t>PENDING</t>
        </is>
      </c>
      <c r="L433" s="2" t="inlineStr">
        <is>
          <t>Swing Scanner (STATE 2: Bear Relief Rally)</t>
        </is>
      </c>
    </row>
    <row r="434" ht="15.75" customHeight="1" s="57">
      <c r="A434" s="2" t="inlineStr">
        <is>
          <t>2026-10-19</t>
        </is>
      </c>
      <c r="B434" s="2" t="inlineStr">
        <is>
          <t>HFCL</t>
        </is>
      </c>
      <c r="C434" s="2" t="inlineStr">
        <is>
          <t>HFCL Limited</t>
        </is>
      </c>
      <c r="D434" s="2" t="inlineStr">
        <is>
          <t>98/100</t>
        </is>
      </c>
      <c r="E434" s="7" t="n">
        <v>256.010009765625</v>
      </c>
      <c r="F434" s="7" t="n">
        <v>228.4128635951451</v>
      </c>
      <c r="G434" s="7" t="n">
        <v>325.0028751918248</v>
      </c>
      <c r="H434" s="2" t="inlineStr">
        <is>
          <t>1:2.5</t>
        </is>
      </c>
      <c r="I434" s="2" t="n">
        <v>0</v>
      </c>
      <c r="J434" s="7" t="n">
        <v>0</v>
      </c>
      <c r="K434" s="2" t="inlineStr">
        <is>
          <t>PENDING</t>
        </is>
      </c>
      <c r="L434" s="2" t="inlineStr">
        <is>
          <t>Swing Scanner (STATE 2: Bear Relief Rally)</t>
        </is>
      </c>
    </row>
    <row r="435" ht="15.75" customHeight="1" s="57">
      <c r="A435" s="2" t="inlineStr">
        <is>
          <t>2026-10-19</t>
        </is>
      </c>
      <c r="B435" s="2" t="inlineStr">
        <is>
          <t>HAL</t>
        </is>
      </c>
      <c r="C435" s="2" t="inlineStr">
        <is>
          <t>Hindustan Aeronautics Limited</t>
        </is>
      </c>
      <c r="D435" s="2" t="inlineStr">
        <is>
          <t>98/100</t>
        </is>
      </c>
      <c r="E435" s="7" t="n">
        <v>4989</v>
      </c>
      <c r="F435" s="7" t="n">
        <v>4749.528529575893</v>
      </c>
      <c r="G435" s="7" t="n">
        <v>5587.678676060268</v>
      </c>
      <c r="H435" s="2" t="inlineStr">
        <is>
          <t>1:2.5</t>
        </is>
      </c>
      <c r="I435" s="2" t="n">
        <v>0</v>
      </c>
      <c r="J435" s="7" t="n">
        <v>0</v>
      </c>
      <c r="K435" s="2" t="inlineStr">
        <is>
          <t>PENDING</t>
        </is>
      </c>
      <c r="L435" s="2" t="inlineStr">
        <is>
          <t>Swing Scanner (STATE 2: Bear Relief Rally)</t>
        </is>
      </c>
    </row>
    <row r="436" ht="15.75" customHeight="1" s="57">
      <c r="A436" s="2" t="inlineStr">
        <is>
          <t>2026-10-19</t>
        </is>
      </c>
      <c r="B436" s="2" t="inlineStr">
        <is>
          <t>JINDALSAW</t>
        </is>
      </c>
      <c r="C436" s="2" t="inlineStr">
        <is>
          <t>Jindal Saw Limited</t>
        </is>
      </c>
      <c r="D436" s="2" t="inlineStr">
        <is>
          <t>98/100</t>
        </is>
      </c>
      <c r="E436" s="7" t="n">
        <v>301.5499877929688</v>
      </c>
      <c r="F436" s="7" t="n">
        <v>279.5785566057478</v>
      </c>
      <c r="G436" s="7" t="n">
        <v>356.4785657610212</v>
      </c>
      <c r="H436" s="2" t="inlineStr">
        <is>
          <t>1:2.5</t>
        </is>
      </c>
      <c r="I436" s="2" t="n">
        <v>0</v>
      </c>
      <c r="J436" s="7" t="n">
        <v>0</v>
      </c>
      <c r="K436" s="2" t="inlineStr">
        <is>
          <t>PENDING</t>
        </is>
      </c>
      <c r="L436" s="2" t="inlineStr">
        <is>
          <t>Swing Scanner (STATE 2: Bear Relief Rally)</t>
        </is>
      </c>
    </row>
    <row r="437" ht="15.75" customHeight="1" s="57">
      <c r="A437" s="2" t="inlineStr">
        <is>
          <t>2026-10-19</t>
        </is>
      </c>
      <c r="B437" s="2" t="inlineStr">
        <is>
          <t>INFY</t>
        </is>
      </c>
      <c r="C437" s="2" t="inlineStr">
        <is>
          <t>Infosys Limited</t>
        </is>
      </c>
      <c r="D437" s="2" t="inlineStr">
        <is>
          <t>95/100</t>
        </is>
      </c>
      <c r="E437" s="7" t="n">
        <v>1161.199951171875</v>
      </c>
      <c r="F437" s="7" t="n">
        <v>1094.407078334263</v>
      </c>
      <c r="G437" s="7" t="n">
        <v>1328.182133265904</v>
      </c>
      <c r="H437" s="2" t="inlineStr">
        <is>
          <t>1:2.5</t>
        </is>
      </c>
      <c r="I437" s="2" t="n">
        <v>0</v>
      </c>
      <c r="J437" s="7" t="n">
        <v>0</v>
      </c>
      <c r="K437" s="2" t="inlineStr">
        <is>
          <t>PENDING</t>
        </is>
      </c>
      <c r="L437" s="2" t="inlineStr">
        <is>
          <t>Swing Scanner (STATE 2: Bear Relief Rally)</t>
        </is>
      </c>
    </row>
    <row r="438" ht="15.75" customHeight="1" s="57">
      <c r="A438" s="2" t="inlineStr">
        <is>
          <t>2026-10-19</t>
        </is>
      </c>
      <c r="B438" s="2" t="inlineStr">
        <is>
          <t>SYNGENE</t>
        </is>
      </c>
      <c r="C438" s="2" t="inlineStr">
        <is>
          <t>Syngene International Limited</t>
        </is>
      </c>
      <c r="D438" s="2" t="inlineStr">
        <is>
          <t>99/100</t>
        </is>
      </c>
      <c r="E438" s="7" t="n">
        <v>399</v>
      </c>
      <c r="F438" s="7" t="n">
        <v>388.6</v>
      </c>
      <c r="G438" s="7" t="n">
        <v>425.05</v>
      </c>
      <c r="H438" s="2" t="inlineStr">
        <is>
          <t>1:2.5</t>
        </is>
      </c>
      <c r="I438" s="2" t="n">
        <v>0</v>
      </c>
      <c r="J438" s="7" t="n">
        <v>0</v>
      </c>
      <c r="K438" s="2" t="inlineStr">
        <is>
          <t>PENDING</t>
        </is>
      </c>
      <c r="L438" s="2" t="inlineStr">
        <is>
          <t>Intraday Scanner (STATE 2: Bear Relief Rally)</t>
        </is>
      </c>
    </row>
    <row r="439" ht="15.75" customHeight="1" s="57">
      <c r="A439" s="2" t="inlineStr">
        <is>
          <t>2026-10-19</t>
        </is>
      </c>
      <c r="B439" s="2" t="inlineStr">
        <is>
          <t>NATCOPHARM</t>
        </is>
      </c>
      <c r="C439" s="2" t="inlineStr">
        <is>
          <t>Natco Pharma Limited</t>
        </is>
      </c>
      <c r="D439" s="2" t="inlineStr">
        <is>
          <t>91/100</t>
        </is>
      </c>
      <c r="E439" s="7" t="n">
        <v>803</v>
      </c>
      <c r="F439" s="7" t="n">
        <v>794</v>
      </c>
      <c r="G439" s="7" t="n">
        <v>825.5</v>
      </c>
      <c r="H439" s="2" t="inlineStr">
        <is>
          <t>1:2.5</t>
        </is>
      </c>
      <c r="I439" s="2" t="n">
        <v>0</v>
      </c>
      <c r="J439" s="7" t="n">
        <v>0</v>
      </c>
      <c r="K439" s="2" t="inlineStr">
        <is>
          <t>PENDING</t>
        </is>
      </c>
      <c r="L439" s="2" t="inlineStr">
        <is>
          <t>Intraday Scanner (STATE 2: Bear Relief Rally)</t>
        </is>
      </c>
    </row>
    <row r="440" ht="15.75" customHeight="1" s="57">
      <c r="A440" s="2" t="inlineStr">
        <is>
          <t>2026-10-19</t>
        </is>
      </c>
      <c r="B440" s="2" t="inlineStr">
        <is>
          <t>TATACHEM</t>
        </is>
      </c>
      <c r="C440" s="2" t="inlineStr">
        <is>
          <t>Tata Chemicals Limited</t>
        </is>
      </c>
      <c r="D440" s="2" t="inlineStr">
        <is>
          <t>85/100</t>
        </is>
      </c>
      <c r="E440" s="7" t="n">
        <v>637.4</v>
      </c>
      <c r="F440" s="7" t="n">
        <v>630.7</v>
      </c>
      <c r="G440" s="7" t="n">
        <v>654.2</v>
      </c>
      <c r="H440" s="2" t="inlineStr">
        <is>
          <t>1:2.5</t>
        </is>
      </c>
      <c r="I440" s="2" t="n">
        <v>0</v>
      </c>
      <c r="J440" s="7" t="n">
        <v>0</v>
      </c>
      <c r="K440" s="2" t="inlineStr">
        <is>
          <t>PENDING</t>
        </is>
      </c>
      <c r="L440" s="2" t="inlineStr">
        <is>
          <t>Intraday Scanner (STATE 2: Bear Relief Rally)</t>
        </is>
      </c>
    </row>
    <row r="441" ht="15.75" customHeight="1" s="57">
      <c r="A441" s="2" t="inlineStr">
        <is>
          <t>2026-10-19</t>
        </is>
      </c>
      <c r="B441" s="2" t="inlineStr">
        <is>
          <t>ABB</t>
        </is>
      </c>
      <c r="C441" s="2" t="inlineStr">
        <is>
          <t>ABB India Limited</t>
        </is>
      </c>
      <c r="D441" s="2" t="inlineStr">
        <is>
          <t>75/100</t>
        </is>
      </c>
      <c r="E441" s="7" t="n">
        <v>6974</v>
      </c>
      <c r="F441" s="7" t="n">
        <v>6863</v>
      </c>
      <c r="G441" s="7" t="n">
        <v>7251.5</v>
      </c>
      <c r="H441" s="2" t="inlineStr">
        <is>
          <t>1:2.5</t>
        </is>
      </c>
      <c r="I441" s="2" t="n">
        <v>0</v>
      </c>
      <c r="J441" s="7" t="n">
        <v>0</v>
      </c>
      <c r="K441" s="2" t="inlineStr">
        <is>
          <t>PENDING</t>
        </is>
      </c>
      <c r="L441" s="2" t="inlineStr">
        <is>
          <t>Intraday Scanner (STATE 2: Bear Relief Rally)</t>
        </is>
      </c>
    </row>
    <row r="442" ht="15.75" customHeight="1" s="57">
      <c r="A442" s="2" t="inlineStr">
        <is>
          <t>2026-10-20</t>
        </is>
      </c>
      <c r="B442" s="2" t="inlineStr">
        <is>
          <t>JAYBARMARU</t>
        </is>
      </c>
      <c r="C442" s="2" t="inlineStr">
        <is>
          <t>Jay Bharat Maruti Limited</t>
        </is>
      </c>
      <c r="D442" s="2" t="inlineStr">
        <is>
          <t>98/100</t>
        </is>
      </c>
      <c r="E442" s="7" t="n">
        <v>129.5800018310547</v>
      </c>
      <c r="F442" s="7" t="n">
        <v>115.3728572300502</v>
      </c>
      <c r="G442" s="7" t="n">
        <v>165.0978633335658</v>
      </c>
      <c r="H442" s="2" t="inlineStr">
        <is>
          <t>1:2.5</t>
        </is>
      </c>
      <c r="I442" s="2" t="n">
        <v>0</v>
      </c>
      <c r="J442" s="7" t="n">
        <v>0</v>
      </c>
      <c r="K442" s="2" t="inlineStr">
        <is>
          <t>SKIPPED_BEARISH_REGIME</t>
        </is>
      </c>
      <c r="L442" s="2" t="inlineStr">
        <is>
          <t>Swing Scanner (STATE 4: Cash Only)</t>
        </is>
      </c>
    </row>
    <row r="443" ht="15.75" customHeight="1" s="57">
      <c r="A443" s="2" t="inlineStr">
        <is>
          <t>2026-10-20</t>
        </is>
      </c>
      <c r="B443" s="2" t="inlineStr">
        <is>
          <t>MPHASIS</t>
        </is>
      </c>
      <c r="C443" s="2" t="inlineStr">
        <is>
          <t>Mphasis Limited</t>
        </is>
      </c>
      <c r="D443" s="2" t="inlineStr">
        <is>
          <t>97/100</t>
        </is>
      </c>
      <c r="E443" s="7" t="n">
        <v>2500</v>
      </c>
      <c r="F443" s="7" t="n">
        <v>2341.028564453125</v>
      </c>
      <c r="G443" s="7" t="n">
        <v>2897.428588867188</v>
      </c>
      <c r="H443" s="2" t="inlineStr">
        <is>
          <t>1:2.5</t>
        </is>
      </c>
      <c r="I443" s="2" t="n">
        <v>0</v>
      </c>
      <c r="J443" s="7" t="n">
        <v>0</v>
      </c>
      <c r="K443" s="2" t="inlineStr">
        <is>
          <t>SKIPPED_BEARISH_REGIME</t>
        </is>
      </c>
      <c r="L443" s="2" t="inlineStr">
        <is>
          <t>Swing Scanner (STATE 4: Cash Only)</t>
        </is>
      </c>
    </row>
    <row r="444" ht="15.75" customHeight="1" s="57">
      <c r="A444" s="2" t="inlineStr">
        <is>
          <t>2026-10-20</t>
        </is>
      </c>
      <c r="B444" s="2" t="inlineStr">
        <is>
          <t>PERSISTENT</t>
        </is>
      </c>
      <c r="C444" s="2" t="inlineStr">
        <is>
          <t>Persistent Systems Limited</t>
        </is>
      </c>
      <c r="D444" s="2" t="inlineStr">
        <is>
          <t>96/100</t>
        </is>
      </c>
      <c r="E444" s="7" t="n">
        <v>5690</v>
      </c>
      <c r="F444" s="7" t="n">
        <v>5281</v>
      </c>
      <c r="G444" s="7" t="n">
        <v>6712.5</v>
      </c>
      <c r="H444" s="2" t="inlineStr">
        <is>
          <t>1:2.5</t>
        </is>
      </c>
      <c r="I444" s="2" t="n">
        <v>0</v>
      </c>
      <c r="J444" s="7" t="n">
        <v>0</v>
      </c>
      <c r="K444" s="2" t="inlineStr">
        <is>
          <t>SKIPPED_BEARISH_REGIME</t>
        </is>
      </c>
      <c r="L444" s="2" t="inlineStr">
        <is>
          <t>Swing Scanner (STATE 4: Cash Only)</t>
        </is>
      </c>
    </row>
    <row r="445" ht="15.75" customHeight="1" s="57">
      <c r="A445" s="2" t="inlineStr">
        <is>
          <t>2026-10-20</t>
        </is>
      </c>
      <c r="B445" s="2" t="inlineStr">
        <is>
          <t>PTCIL</t>
        </is>
      </c>
      <c r="C445" s="2" t="inlineStr">
        <is>
          <t>PTC Industries Limited</t>
        </is>
      </c>
      <c r="D445" s="2" t="inlineStr">
        <is>
          <t>95/100</t>
        </is>
      </c>
      <c r="E445" s="7" t="n">
        <v>25045</v>
      </c>
      <c r="F445" s="7" t="n">
        <v>23112.85714285714</v>
      </c>
      <c r="G445" s="7" t="n">
        <v>29875.35714285714</v>
      </c>
      <c r="H445" s="2" t="inlineStr">
        <is>
          <t>1:2.5</t>
        </is>
      </c>
      <c r="I445" s="2" t="n">
        <v>0</v>
      </c>
      <c r="J445" s="7" t="n">
        <v>0</v>
      </c>
      <c r="K445" s="2" t="inlineStr">
        <is>
          <t>SKIPPED_BEARISH_REGIME</t>
        </is>
      </c>
      <c r="L445" s="2" t="inlineStr">
        <is>
          <t>Swing Scanner (STATE 4: Cash Only)</t>
        </is>
      </c>
    </row>
    <row r="446" ht="15.75" customHeight="1" s="57">
      <c r="A446" s="2" t="inlineStr">
        <is>
          <t>2026-10-20</t>
        </is>
      </c>
      <c r="B446" s="2" t="inlineStr">
        <is>
          <t>TCS</t>
        </is>
      </c>
      <c r="C446" s="2" t="inlineStr">
        <is>
          <t>Tata Consultancy Services</t>
        </is>
      </c>
      <c r="D446" s="2" t="inlineStr">
        <is>
          <t>95/100</t>
        </is>
      </c>
      <c r="E446" s="7" t="n">
        <v>2460.89990234375</v>
      </c>
      <c r="F446" s="7" t="n">
        <v>2304.799319617561</v>
      </c>
      <c r="G446" s="7" t="n">
        <v>2851.151359159222</v>
      </c>
      <c r="H446" s="2" t="inlineStr">
        <is>
          <t>1:2.5</t>
        </is>
      </c>
      <c r="I446" s="2" t="n">
        <v>0</v>
      </c>
      <c r="J446" s="7" t="n">
        <v>0</v>
      </c>
      <c r="K446" s="2" t="inlineStr">
        <is>
          <t>SKIPPED_BEARISH_REGIME</t>
        </is>
      </c>
      <c r="L446" s="2" t="inlineStr">
        <is>
          <t>Swing Scanner (STATE 4: Cash Only)</t>
        </is>
      </c>
    </row>
    <row r="447" ht="15.75" customHeight="1" s="57">
      <c r="A447" s="2" t="inlineStr">
        <is>
          <t>2026-10-20</t>
        </is>
      </c>
      <c r="B447" s="2" t="inlineStr">
        <is>
          <t>SYNGENE</t>
        </is>
      </c>
      <c r="C447" s="2" t="inlineStr">
        <is>
          <t>Syngene International Limited</t>
        </is>
      </c>
      <c r="D447" s="2" t="inlineStr">
        <is>
          <t>99/100</t>
        </is>
      </c>
      <c r="E447" s="7" t="n">
        <v>399</v>
      </c>
      <c r="F447" s="7" t="n">
        <v>388.6</v>
      </c>
      <c r="G447" s="7" t="n">
        <v>425.05</v>
      </c>
      <c r="H447" s="2" t="inlineStr">
        <is>
          <t>1:2.5</t>
        </is>
      </c>
      <c r="I447" s="2" t="n">
        <v>0</v>
      </c>
      <c r="J447" s="7" t="n">
        <v>0</v>
      </c>
      <c r="K447" s="2" t="inlineStr">
        <is>
          <t>PENDING</t>
        </is>
      </c>
      <c r="L447" s="2" t="inlineStr">
        <is>
          <t>Intraday Scanner (STATE 4: Cash Only)</t>
        </is>
      </c>
    </row>
    <row r="448" ht="15.75" customHeight="1" s="57">
      <c r="A448" s="2" t="inlineStr">
        <is>
          <t>2026-10-20</t>
        </is>
      </c>
      <c r="B448" s="2" t="inlineStr">
        <is>
          <t>NATCOPHARM</t>
        </is>
      </c>
      <c r="C448" s="2" t="inlineStr">
        <is>
          <t>Natco Pharma Limited</t>
        </is>
      </c>
      <c r="D448" s="2" t="inlineStr">
        <is>
          <t>91/100</t>
        </is>
      </c>
      <c r="E448" s="7" t="n">
        <v>803</v>
      </c>
      <c r="F448" s="7" t="n">
        <v>794</v>
      </c>
      <c r="G448" s="7" t="n">
        <v>825.5</v>
      </c>
      <c r="H448" s="2" t="inlineStr">
        <is>
          <t>1:2.5</t>
        </is>
      </c>
      <c r="I448" s="2" t="n">
        <v>0</v>
      </c>
      <c r="J448" s="7" t="n">
        <v>0</v>
      </c>
      <c r="K448" s="2" t="inlineStr">
        <is>
          <t>PENDING</t>
        </is>
      </c>
      <c r="L448" s="2" t="inlineStr">
        <is>
          <t>Intraday Scanner (STATE 4: Cash Only)</t>
        </is>
      </c>
    </row>
    <row r="449" ht="15.75" customHeight="1" s="57">
      <c r="A449" s="2" t="inlineStr">
        <is>
          <t>2026-10-20</t>
        </is>
      </c>
      <c r="B449" s="2" t="inlineStr">
        <is>
          <t>TATACHEM</t>
        </is>
      </c>
      <c r="C449" s="2" t="inlineStr">
        <is>
          <t>Tata Chemicals Limited</t>
        </is>
      </c>
      <c r="D449" s="2" t="inlineStr">
        <is>
          <t>85/100</t>
        </is>
      </c>
      <c r="E449" s="7" t="n">
        <v>637.4</v>
      </c>
      <c r="F449" s="7" t="n">
        <v>630.7</v>
      </c>
      <c r="G449" s="7" t="n">
        <v>654.2</v>
      </c>
      <c r="H449" s="2" t="inlineStr">
        <is>
          <t>1:2.5</t>
        </is>
      </c>
      <c r="I449" s="2" t="n">
        <v>0</v>
      </c>
      <c r="J449" s="7" t="n">
        <v>0</v>
      </c>
      <c r="K449" s="2" t="inlineStr">
        <is>
          <t>PENDING</t>
        </is>
      </c>
      <c r="L449" s="2" t="inlineStr">
        <is>
          <t>Intraday Scanner (STATE 4: Cash Only)</t>
        </is>
      </c>
    </row>
    <row r="450" ht="15.75" customHeight="1" s="57">
      <c r="A450" s="2" t="inlineStr">
        <is>
          <t>2026-10-20</t>
        </is>
      </c>
      <c r="B450" s="2" t="inlineStr">
        <is>
          <t>ABB</t>
        </is>
      </c>
      <c r="C450" s="2" t="inlineStr">
        <is>
          <t>ABB India Limited</t>
        </is>
      </c>
      <c r="D450" s="2" t="inlineStr">
        <is>
          <t>75/100</t>
        </is>
      </c>
      <c r="E450" s="7" t="n">
        <v>6974</v>
      </c>
      <c r="F450" s="7" t="n">
        <v>6863</v>
      </c>
      <c r="G450" s="7" t="n">
        <v>7251.5</v>
      </c>
      <c r="H450" s="2" t="inlineStr">
        <is>
          <t>1:2.5</t>
        </is>
      </c>
      <c r="I450" s="2" t="n">
        <v>0</v>
      </c>
      <c r="J450" s="7" t="n">
        <v>0</v>
      </c>
      <c r="K450" s="2" t="inlineStr">
        <is>
          <t>PENDING</t>
        </is>
      </c>
      <c r="L450" s="2" t="inlineStr">
        <is>
          <t>Intraday Scanner (STATE 4: Cash Only)</t>
        </is>
      </c>
    </row>
    <row r="451" ht="15.75" customHeight="1" s="57">
      <c r="A451" s="2" t="inlineStr">
        <is>
          <t>2026-10-21</t>
        </is>
      </c>
      <c r="B451" s="2" t="inlineStr">
        <is>
          <t>JAYBARMARU</t>
        </is>
      </c>
      <c r="C451" s="2" t="inlineStr">
        <is>
          <t>Jay Bharat Maruti Limited</t>
        </is>
      </c>
      <c r="D451" s="2" t="inlineStr">
        <is>
          <t>98/100</t>
        </is>
      </c>
      <c r="E451" s="7" t="n">
        <v>129.5800018310547</v>
      </c>
      <c r="F451" s="7" t="n">
        <v>115.3728572300502</v>
      </c>
      <c r="G451" s="7" t="n">
        <v>165.0978633335658</v>
      </c>
      <c r="H451" s="2" t="inlineStr">
        <is>
          <t>1:2.5</t>
        </is>
      </c>
      <c r="I451" s="2" t="n">
        <v>0</v>
      </c>
      <c r="J451" s="7" t="n">
        <v>0</v>
      </c>
      <c r="K451" s="2" t="inlineStr">
        <is>
          <t>SKIPPED_BEARISH_REGIME</t>
        </is>
      </c>
      <c r="L451" s="2" t="inlineStr">
        <is>
          <t>Swing Scanner (STATE 4: Cash Only)</t>
        </is>
      </c>
    </row>
    <row r="452" ht="15.75" customHeight="1" s="57">
      <c r="A452" s="2" t="inlineStr">
        <is>
          <t>2026-10-21</t>
        </is>
      </c>
      <c r="B452" s="2" t="inlineStr">
        <is>
          <t>MPHASIS</t>
        </is>
      </c>
      <c r="C452" s="2" t="inlineStr">
        <is>
          <t>Mphasis Limited</t>
        </is>
      </c>
      <c r="D452" s="2" t="inlineStr">
        <is>
          <t>97/100</t>
        </is>
      </c>
      <c r="E452" s="7" t="n">
        <v>2500</v>
      </c>
      <c r="F452" s="7" t="n">
        <v>2341.028564453125</v>
      </c>
      <c r="G452" s="7" t="n">
        <v>2897.428588867188</v>
      </c>
      <c r="H452" s="2" t="inlineStr">
        <is>
          <t>1:2.5</t>
        </is>
      </c>
      <c r="I452" s="2" t="n">
        <v>0</v>
      </c>
      <c r="J452" s="7" t="n">
        <v>0</v>
      </c>
      <c r="K452" s="2" t="inlineStr">
        <is>
          <t>SKIPPED_BEARISH_REGIME</t>
        </is>
      </c>
      <c r="L452" s="2" t="inlineStr">
        <is>
          <t>Swing Scanner (STATE 4: Cash Only)</t>
        </is>
      </c>
    </row>
    <row r="453" ht="15.75" customHeight="1" s="57">
      <c r="A453" s="2" t="inlineStr">
        <is>
          <t>2026-10-21</t>
        </is>
      </c>
      <c r="B453" s="2" t="inlineStr">
        <is>
          <t>PERSISTENT</t>
        </is>
      </c>
      <c r="C453" s="2" t="inlineStr">
        <is>
          <t>Persistent Systems Limited</t>
        </is>
      </c>
      <c r="D453" s="2" t="inlineStr">
        <is>
          <t>96/100</t>
        </is>
      </c>
      <c r="E453" s="7" t="n">
        <v>5690</v>
      </c>
      <c r="F453" s="7" t="n">
        <v>5281</v>
      </c>
      <c r="G453" s="7" t="n">
        <v>6712.5</v>
      </c>
      <c r="H453" s="2" t="inlineStr">
        <is>
          <t>1:2.5</t>
        </is>
      </c>
      <c r="I453" s="2" t="n">
        <v>0</v>
      </c>
      <c r="J453" s="7" t="n">
        <v>0</v>
      </c>
      <c r="K453" s="2" t="inlineStr">
        <is>
          <t>SKIPPED_BEARISH_REGIME</t>
        </is>
      </c>
      <c r="L453" s="2" t="inlineStr">
        <is>
          <t>Swing Scanner (STATE 4: Cash Only)</t>
        </is>
      </c>
    </row>
    <row r="454" ht="15.75" customHeight="1" s="57">
      <c r="A454" s="2" t="inlineStr">
        <is>
          <t>2026-10-21</t>
        </is>
      </c>
      <c r="B454" s="2" t="inlineStr">
        <is>
          <t>TCS</t>
        </is>
      </c>
      <c r="C454" s="2" t="inlineStr">
        <is>
          <t>Tata Consultancy Services</t>
        </is>
      </c>
      <c r="D454" s="2" t="inlineStr">
        <is>
          <t>95/100</t>
        </is>
      </c>
      <c r="E454" s="7" t="n">
        <v>2460.89990234375</v>
      </c>
      <c r="F454" s="7" t="n">
        <v>2304.799319617561</v>
      </c>
      <c r="G454" s="7" t="n">
        <v>2851.151359159222</v>
      </c>
      <c r="H454" s="2" t="inlineStr">
        <is>
          <t>1:2.5</t>
        </is>
      </c>
      <c r="I454" s="2" t="n">
        <v>0</v>
      </c>
      <c r="J454" s="7" t="n">
        <v>0</v>
      </c>
      <c r="K454" s="2" t="inlineStr">
        <is>
          <t>SKIPPED_BEARISH_REGIME</t>
        </is>
      </c>
      <c r="L454" s="2" t="inlineStr">
        <is>
          <t>Swing Scanner (STATE 4: Cash Only)</t>
        </is>
      </c>
    </row>
    <row r="455" ht="15.75" customHeight="1" s="57">
      <c r="A455" s="2" t="inlineStr">
        <is>
          <t>2026-10-21</t>
        </is>
      </c>
      <c r="B455" s="2" t="inlineStr">
        <is>
          <t>THELEELA</t>
        </is>
      </c>
      <c r="C455" s="2" t="inlineStr">
        <is>
          <t>Leela Palaces Hotels &amp; Resorts Limited</t>
        </is>
      </c>
      <c r="D455" s="2" t="inlineStr">
        <is>
          <t>95/100</t>
        </is>
      </c>
      <c r="E455" s="7" t="n">
        <v>622.75</v>
      </c>
      <c r="F455" s="7" t="n">
        <v>555.5571463448661</v>
      </c>
      <c r="G455" s="7" t="n">
        <v>790.7321341378348</v>
      </c>
      <c r="H455" s="2" t="inlineStr">
        <is>
          <t>1:2.5</t>
        </is>
      </c>
      <c r="I455" s="2" t="n">
        <v>0</v>
      </c>
      <c r="J455" s="7" t="n">
        <v>0</v>
      </c>
      <c r="K455" s="2" t="inlineStr">
        <is>
          <t>SKIPPED_BEARISH_REGIME</t>
        </is>
      </c>
      <c r="L455" s="2" t="inlineStr">
        <is>
          <t>Swing Scanner (STATE 4: Cash Only)</t>
        </is>
      </c>
    </row>
    <row r="456" ht="15.75" customHeight="1" s="57">
      <c r="A456" s="2" t="inlineStr">
        <is>
          <t>2026-10-21</t>
        </is>
      </c>
      <c r="B456" s="2" t="inlineStr">
        <is>
          <t>HCLTECH</t>
        </is>
      </c>
      <c r="C456" s="2" t="inlineStr">
        <is>
          <t>HCL Technologies Limited</t>
        </is>
      </c>
      <c r="D456" s="2" t="inlineStr">
        <is>
          <t>100/100</t>
        </is>
      </c>
      <c r="E456" s="7" t="n">
        <v>1424.2</v>
      </c>
      <c r="F456" s="7" t="n">
        <v>1392.95</v>
      </c>
      <c r="G456" s="7" t="n">
        <v>1502.35</v>
      </c>
      <c r="H456" s="2" t="inlineStr">
        <is>
          <t>1:2.5</t>
        </is>
      </c>
      <c r="I456" s="2" t="n">
        <v>0</v>
      </c>
      <c r="J456" s="7" t="n">
        <v>0</v>
      </c>
      <c r="K456" s="2" t="inlineStr">
        <is>
          <t>PENDING</t>
        </is>
      </c>
      <c r="L456" s="2" t="inlineStr">
        <is>
          <t>Intraday Scanner (STATE 4: Cash Only)</t>
        </is>
      </c>
    </row>
    <row r="457" ht="15.75" customHeight="1" s="57">
      <c r="A457" s="2" t="inlineStr">
        <is>
          <t>2026-10-21</t>
        </is>
      </c>
      <c r="B457" s="2" t="inlineStr">
        <is>
          <t>BERGEPAINT</t>
        </is>
      </c>
      <c r="C457" s="2" t="inlineStr">
        <is>
          <t>Berger Paints India Limited</t>
        </is>
      </c>
      <c r="D457" s="2" t="inlineStr">
        <is>
          <t>100/100</t>
        </is>
      </c>
      <c r="E457" s="7" t="n">
        <v>475.2</v>
      </c>
      <c r="F457" s="7" t="n">
        <v>469.9</v>
      </c>
      <c r="G457" s="7" t="n">
        <v>488.5</v>
      </c>
      <c r="H457" s="2" t="inlineStr">
        <is>
          <t>1:2.5</t>
        </is>
      </c>
      <c r="I457" s="2" t="n">
        <v>0</v>
      </c>
      <c r="J457" s="7" t="n">
        <v>0</v>
      </c>
      <c r="K457" s="2" t="inlineStr">
        <is>
          <t>PENDING</t>
        </is>
      </c>
      <c r="L457" s="2" t="inlineStr">
        <is>
          <t>Intraday Scanner (STATE 4: Cash Only)</t>
        </is>
      </c>
    </row>
    <row r="458" ht="15.75" customHeight="1" s="57">
      <c r="A458" s="2" t="inlineStr">
        <is>
          <t>2026-10-21</t>
        </is>
      </c>
      <c r="B458" s="2" t="inlineStr">
        <is>
          <t>LUPIN</t>
        </is>
      </c>
      <c r="C458" s="2" t="inlineStr">
        <is>
          <t>Lupin Limited</t>
        </is>
      </c>
      <c r="D458" s="2" t="inlineStr">
        <is>
          <t>100/100</t>
        </is>
      </c>
      <c r="E458" s="7" t="n">
        <v>1964</v>
      </c>
      <c r="F458" s="7" t="n">
        <v>1945.8</v>
      </c>
      <c r="G458" s="7" t="n">
        <v>2009.55</v>
      </c>
      <c r="H458" s="2" t="inlineStr">
        <is>
          <t>1:2.5</t>
        </is>
      </c>
      <c r="I458" s="2" t="n">
        <v>0</v>
      </c>
      <c r="J458" s="7" t="n">
        <v>0</v>
      </c>
      <c r="K458" s="2" t="inlineStr">
        <is>
          <t>PENDING</t>
        </is>
      </c>
      <c r="L458" s="2" t="inlineStr">
        <is>
          <t>Intraday Scanner (STATE 4: Cash Only)</t>
        </is>
      </c>
    </row>
    <row r="459" ht="15.75" customHeight="1" s="57">
      <c r="A459" s="2" t="inlineStr">
        <is>
          <t>2026-10-21</t>
        </is>
      </c>
      <c r="B459" s="2" t="inlineStr">
        <is>
          <t>MANKIND</t>
        </is>
      </c>
      <c r="C459" s="2" t="inlineStr">
        <is>
          <t>Mankind Pharma Limited</t>
        </is>
      </c>
      <c r="D459" s="2" t="inlineStr">
        <is>
          <t>100/100</t>
        </is>
      </c>
      <c r="E459" s="7" t="n">
        <v>2285.5</v>
      </c>
      <c r="F459" s="7" t="n">
        <v>2246.85</v>
      </c>
      <c r="G459" s="7" t="n">
        <v>2382.15</v>
      </c>
      <c r="H459" s="2" t="inlineStr">
        <is>
          <t>1:2.5</t>
        </is>
      </c>
      <c r="I459" s="2" t="n">
        <v>0</v>
      </c>
      <c r="J459" s="7" t="n">
        <v>0</v>
      </c>
      <c r="K459" s="2" t="inlineStr">
        <is>
          <t>PENDING</t>
        </is>
      </c>
      <c r="L459" s="2" t="inlineStr">
        <is>
          <t>Intraday Scanner (STATE 4: Cash Only)</t>
        </is>
      </c>
    </row>
    <row r="460" ht="15.75" customHeight="1" s="57">
      <c r="A460" s="2" t="inlineStr">
        <is>
          <t>2026-10-21</t>
        </is>
      </c>
      <c r="B460" s="2" t="inlineStr">
        <is>
          <t>COROMANDEL</t>
        </is>
      </c>
      <c r="C460" s="2" t="inlineStr">
        <is>
          <t>Coromandel International Limited</t>
        </is>
      </c>
      <c r="D460" s="2" t="inlineStr">
        <is>
          <t>100/100</t>
        </is>
      </c>
      <c r="E460" s="7" t="n">
        <v>1791.7</v>
      </c>
      <c r="F460" s="7" t="n">
        <v>1749.05</v>
      </c>
      <c r="G460" s="7" t="n">
        <v>1898.25</v>
      </c>
      <c r="H460" s="2" t="inlineStr">
        <is>
          <t>1:2.5</t>
        </is>
      </c>
      <c r="I460" s="2" t="n">
        <v>0</v>
      </c>
      <c r="J460" s="7" t="n">
        <v>0</v>
      </c>
      <c r="K460" s="2" t="inlineStr">
        <is>
          <t>PENDING</t>
        </is>
      </c>
      <c r="L460" s="2" t="inlineStr">
        <is>
          <t>Intraday Scanner (STATE 4: Cash Only)</t>
        </is>
      </c>
    </row>
    <row r="461" ht="15.75" customHeight="1" s="57">
      <c r="A461" s="2" t="inlineStr">
        <is>
          <t>2026-10-22</t>
        </is>
      </c>
      <c r="B461" s="2" t="inlineStr">
        <is>
          <t>PTCIL</t>
        </is>
      </c>
      <c r="C461" s="2" t="inlineStr">
        <is>
          <t>PTC Industries Limited</t>
        </is>
      </c>
      <c r="D461" s="2" t="inlineStr">
        <is>
          <t>97/100</t>
        </is>
      </c>
      <c r="E461" s="7" t="n">
        <v>25115</v>
      </c>
      <c r="F461" s="7" t="n">
        <v>23192.85714285714</v>
      </c>
      <c r="G461" s="7" t="n">
        <v>29920.35714285714</v>
      </c>
      <c r="H461" s="2" t="inlineStr">
        <is>
          <t>1:2.5</t>
        </is>
      </c>
      <c r="I461" s="2" t="n">
        <v>0</v>
      </c>
      <c r="J461" s="7" t="n">
        <v>0</v>
      </c>
      <c r="K461" s="2" t="inlineStr">
        <is>
          <t>SKIPPED_BEARISH_REGIME</t>
        </is>
      </c>
      <c r="L461" s="2" t="inlineStr">
        <is>
          <t>Swing Scanner (STATE 4: Cash Only)</t>
        </is>
      </c>
    </row>
    <row r="462" ht="15.75" customHeight="1" s="57">
      <c r="A462" s="2" t="inlineStr">
        <is>
          <t>2026-10-22</t>
        </is>
      </c>
      <c r="B462" s="2" t="inlineStr">
        <is>
          <t>TCS</t>
        </is>
      </c>
      <c r="C462" s="2" t="inlineStr">
        <is>
          <t>Tata Consultancy Services</t>
        </is>
      </c>
      <c r="D462" s="2" t="inlineStr">
        <is>
          <t>95/100</t>
        </is>
      </c>
      <c r="E462" s="7" t="n">
        <v>2529</v>
      </c>
      <c r="F462" s="7" t="n">
        <v>2370.045310470009</v>
      </c>
      <c r="G462" s="7" t="n">
        <v>2926.386723824979</v>
      </c>
      <c r="H462" s="2" t="inlineStr">
        <is>
          <t>1:2.5</t>
        </is>
      </c>
      <c r="I462" s="2" t="n">
        <v>0</v>
      </c>
      <c r="J462" s="7" t="n">
        <v>0</v>
      </c>
      <c r="K462" s="2" t="inlineStr">
        <is>
          <t>SKIPPED_BEARISH_REGIME</t>
        </is>
      </c>
      <c r="L462" s="2" t="inlineStr">
        <is>
          <t>Swing Scanner (STATE 4: Cash Only)</t>
        </is>
      </c>
    </row>
    <row r="463" ht="15.75" customHeight="1" s="57">
      <c r="A463" s="2" t="inlineStr">
        <is>
          <t>2026-10-22</t>
        </is>
      </c>
      <c r="B463" s="2" t="inlineStr">
        <is>
          <t>MPHASIS</t>
        </is>
      </c>
      <c r="C463" s="2" t="inlineStr">
        <is>
          <t>Mphasis Limited</t>
        </is>
      </c>
      <c r="D463" s="2" t="inlineStr">
        <is>
          <t>95/100</t>
        </is>
      </c>
      <c r="E463" s="7" t="n">
        <v>2575</v>
      </c>
      <c r="F463" s="7" t="n">
        <v>2415.385707310268</v>
      </c>
      <c r="G463" s="7" t="n">
        <v>2974.03573172433</v>
      </c>
      <c r="H463" s="2" t="inlineStr">
        <is>
          <t>1:2.5</t>
        </is>
      </c>
      <c r="I463" s="2" t="n">
        <v>0</v>
      </c>
      <c r="J463" s="7" t="n">
        <v>0</v>
      </c>
      <c r="K463" s="2" t="inlineStr">
        <is>
          <t>SKIPPED_BEARISH_REGIME</t>
        </is>
      </c>
      <c r="L463" s="2" t="inlineStr">
        <is>
          <t>Swing Scanner (STATE 4: Cash Only)</t>
        </is>
      </c>
    </row>
    <row r="464" ht="15.75" customHeight="1" s="57">
      <c r="A464" s="2" t="inlineStr">
        <is>
          <t>2026-10-22</t>
        </is>
      </c>
      <c r="B464" s="2" t="inlineStr">
        <is>
          <t>INFY</t>
        </is>
      </c>
      <c r="C464" s="2" t="inlineStr">
        <is>
          <t>Infosys Limited</t>
        </is>
      </c>
      <c r="D464" s="2" t="inlineStr">
        <is>
          <t>95/100</t>
        </is>
      </c>
      <c r="E464" s="7" t="n">
        <v>1168</v>
      </c>
      <c r="F464" s="7" t="n">
        <v>1098.578552246094</v>
      </c>
      <c r="G464" s="7" t="n">
        <v>1341.553619384766</v>
      </c>
      <c r="H464" s="2" t="inlineStr">
        <is>
          <t>1:2.5</t>
        </is>
      </c>
      <c r="I464" s="2" t="n">
        <v>0</v>
      </c>
      <c r="J464" s="7" t="n">
        <v>0</v>
      </c>
      <c r="K464" s="2" t="inlineStr">
        <is>
          <t>SKIPPED_BEARISH_REGIME</t>
        </is>
      </c>
      <c r="L464" s="2" t="inlineStr">
        <is>
          <t>Swing Scanner (STATE 4: Cash Only)</t>
        </is>
      </c>
    </row>
    <row r="465" ht="15.75" customHeight="1" s="57">
      <c r="A465" s="2" t="inlineStr">
        <is>
          <t>2026-10-22</t>
        </is>
      </c>
      <c r="B465" s="2" t="inlineStr">
        <is>
          <t>COFORGE</t>
        </is>
      </c>
      <c r="C465" s="2" t="inlineStr">
        <is>
          <t>Coforge Limited</t>
        </is>
      </c>
      <c r="D465" s="2" t="inlineStr">
        <is>
          <t>95/100</t>
        </is>
      </c>
      <c r="E465" s="7" t="n">
        <v>1951</v>
      </c>
      <c r="F465" s="7" t="n">
        <v>1824.971400669643</v>
      </c>
      <c r="G465" s="7" t="n">
        <v>2266.071498325893</v>
      </c>
      <c r="H465" s="2" t="inlineStr">
        <is>
          <t>1:2.5</t>
        </is>
      </c>
      <c r="I465" s="2" t="n">
        <v>0</v>
      </c>
      <c r="J465" s="7" t="n">
        <v>0</v>
      </c>
      <c r="K465" s="2" t="inlineStr">
        <is>
          <t>SKIPPED_BEARISH_REGIME</t>
        </is>
      </c>
      <c r="L465" s="2" t="inlineStr">
        <is>
          <t>Swing Scanner (STATE 4: Cash Only)</t>
        </is>
      </c>
    </row>
    <row r="466" ht="15.75" customHeight="1" s="57">
      <c r="A466" s="2" t="inlineStr">
        <is>
          <t>2026-10-22</t>
        </is>
      </c>
      <c r="B466" s="2" t="inlineStr">
        <is>
          <t>CIPLA</t>
        </is>
      </c>
      <c r="C466" s="2" t="inlineStr">
        <is>
          <t>Cipla Limited</t>
        </is>
      </c>
      <c r="D466" s="2" t="inlineStr">
        <is>
          <t>100/100</t>
        </is>
      </c>
      <c r="E466" s="7" t="n">
        <v>1330.9</v>
      </c>
      <c r="F466" s="7" t="n">
        <v>1318.5</v>
      </c>
      <c r="G466" s="7" t="n">
        <v>1361.95</v>
      </c>
      <c r="H466" s="2" t="inlineStr">
        <is>
          <t>1:2.5</t>
        </is>
      </c>
      <c r="I466" s="2" t="n">
        <v>0</v>
      </c>
      <c r="J466" s="7" t="n">
        <v>0</v>
      </c>
      <c r="K466" s="2" t="inlineStr">
        <is>
          <t>PENDING</t>
        </is>
      </c>
      <c r="L466" s="2" t="inlineStr">
        <is>
          <t>Intraday Scanner (STATE 4: Cash Only)</t>
        </is>
      </c>
    </row>
    <row r="467" ht="15.75" customHeight="1" s="57">
      <c r="A467" s="2" t="inlineStr">
        <is>
          <t>2026-10-22</t>
        </is>
      </c>
      <c r="B467" s="2" t="inlineStr">
        <is>
          <t>GRASIM</t>
        </is>
      </c>
      <c r="C467" s="2" t="inlineStr">
        <is>
          <t>Grasim Industries Limited</t>
        </is>
      </c>
      <c r="D467" s="2" t="inlineStr">
        <is>
          <t>100/100</t>
        </is>
      </c>
      <c r="E467" s="7" t="n">
        <v>2894.4</v>
      </c>
      <c r="F467" s="7" t="n">
        <v>2856.4</v>
      </c>
      <c r="G467" s="7" t="n">
        <v>2989.35</v>
      </c>
      <c r="H467" s="2" t="inlineStr">
        <is>
          <t>1:2.5</t>
        </is>
      </c>
      <c r="I467" s="2" t="n">
        <v>0</v>
      </c>
      <c r="J467" s="7" t="n">
        <v>0</v>
      </c>
      <c r="K467" s="2" t="inlineStr">
        <is>
          <t>PENDING</t>
        </is>
      </c>
      <c r="L467" s="2" t="inlineStr">
        <is>
          <t>Intraday Scanner (STATE 4: Cash Only)</t>
        </is>
      </c>
    </row>
    <row r="468" ht="15.75" customHeight="1" s="57">
      <c r="A468" s="2" t="inlineStr">
        <is>
          <t>2026-10-22</t>
        </is>
      </c>
      <c r="B468" s="2" t="inlineStr">
        <is>
          <t>DEVYANI</t>
        </is>
      </c>
      <c r="C468" s="2" t="inlineStr">
        <is>
          <t>Devyani International Limited</t>
        </is>
      </c>
      <c r="D468" s="2" t="inlineStr">
        <is>
          <t>100/100</t>
        </is>
      </c>
      <c r="E468" s="7" t="n">
        <v>119.35</v>
      </c>
      <c r="F468" s="7" t="n">
        <v>116.25</v>
      </c>
      <c r="G468" s="7" t="n">
        <v>127.15</v>
      </c>
      <c r="H468" s="2" t="inlineStr">
        <is>
          <t>1:2.5</t>
        </is>
      </c>
      <c r="I468" s="2" t="n">
        <v>0</v>
      </c>
      <c r="J468" s="7" t="n">
        <v>0</v>
      </c>
      <c r="K468" s="2" t="inlineStr">
        <is>
          <t>PENDING</t>
        </is>
      </c>
      <c r="L468" s="2" t="inlineStr">
        <is>
          <t>Intraday Scanner (STATE 4: Cash Only)</t>
        </is>
      </c>
    </row>
    <row r="469" ht="15.75" customHeight="1" s="57">
      <c r="A469" s="2" t="inlineStr">
        <is>
          <t>2026-10-22</t>
        </is>
      </c>
      <c r="B469" s="2" t="inlineStr">
        <is>
          <t>GRINDWELL</t>
        </is>
      </c>
      <c r="C469" s="2" t="inlineStr">
        <is>
          <t>Grindwell Norton Limited</t>
        </is>
      </c>
      <c r="D469" s="2" t="inlineStr">
        <is>
          <t>100/100</t>
        </is>
      </c>
      <c r="E469" s="7" t="n">
        <v>1877.5</v>
      </c>
      <c r="F469" s="7" t="n">
        <v>1829.85</v>
      </c>
      <c r="G469" s="7" t="n">
        <v>1996.6</v>
      </c>
      <c r="H469" s="2" t="inlineStr">
        <is>
          <t>1:2.5</t>
        </is>
      </c>
      <c r="I469" s="2" t="n">
        <v>0</v>
      </c>
      <c r="J469" s="7" t="n">
        <v>0</v>
      </c>
      <c r="K469" s="2" t="inlineStr">
        <is>
          <t>PENDING</t>
        </is>
      </c>
      <c r="L469" s="2" t="inlineStr">
        <is>
          <t>Intraday Scanner (STATE 4: Cash Only)</t>
        </is>
      </c>
    </row>
    <row r="470" ht="15.75" customHeight="1" s="57">
      <c r="A470" s="2" t="inlineStr">
        <is>
          <t>2026-10-22</t>
        </is>
      </c>
      <c r="B470" s="2" t="inlineStr">
        <is>
          <t>GRANULES</t>
        </is>
      </c>
      <c r="C470" s="2" t="inlineStr">
        <is>
          <t>Granules India Limited</t>
        </is>
      </c>
      <c r="D470" s="2" t="inlineStr">
        <is>
          <t>97/100</t>
        </is>
      </c>
      <c r="E470" s="7" t="n">
        <v>817</v>
      </c>
      <c r="F470" s="7" t="n">
        <v>804.7</v>
      </c>
      <c r="G470" s="7" t="n">
        <v>847.75</v>
      </c>
      <c r="H470" s="2" t="inlineStr">
        <is>
          <t>1:2.5</t>
        </is>
      </c>
      <c r="I470" s="2" t="n">
        <v>0</v>
      </c>
      <c r="J470" s="7" t="n">
        <v>0</v>
      </c>
      <c r="K470" s="2" t="inlineStr">
        <is>
          <t>PENDING</t>
        </is>
      </c>
      <c r="L470" s="2" t="inlineStr">
        <is>
          <t>Intraday Scanner (STATE 4: Cash Only)</t>
        </is>
      </c>
    </row>
    <row r="471" ht="15.75" customHeight="1" s="57">
      <c r="A471" s="2" t="inlineStr">
        <is>
          <t>2026-10-23</t>
        </is>
      </c>
      <c r="B471" s="2" t="inlineStr">
        <is>
          <t>INDHOTEL</t>
        </is>
      </c>
      <c r="C471" s="2" t="inlineStr">
        <is>
          <t>The Indian Hotels Company Limited</t>
        </is>
      </c>
      <c r="D471" s="2" t="inlineStr">
        <is>
          <t>98/100</t>
        </is>
      </c>
      <c r="E471" s="7" t="n">
        <v>782.2999877929688</v>
      </c>
      <c r="F471" s="7" t="n">
        <v>740.3999808175223</v>
      </c>
      <c r="G471" s="7" t="n">
        <v>887.0500052315848</v>
      </c>
      <c r="H471" s="2" t="inlineStr">
        <is>
          <t>1:2.5</t>
        </is>
      </c>
      <c r="I471" s="2" t="n">
        <v>0</v>
      </c>
      <c r="J471" s="7" t="n">
        <v>0</v>
      </c>
      <c r="K471" s="2" t="inlineStr">
        <is>
          <t>SKIPPED_BEARISH_REGIME</t>
        </is>
      </c>
      <c r="L471" s="2" t="inlineStr">
        <is>
          <t>Swing Scanner (STATE 4: Cash Only)</t>
        </is>
      </c>
    </row>
    <row r="472" ht="15.75" customHeight="1" s="57">
      <c r="A472" s="2" t="inlineStr">
        <is>
          <t>2026-10-23</t>
        </is>
      </c>
      <c r="B472" s="2" t="inlineStr">
        <is>
          <t>WIPRO</t>
        </is>
      </c>
      <c r="C472" s="2" t="inlineStr">
        <is>
          <t>Wipro Limited</t>
        </is>
      </c>
      <c r="D472" s="2" t="inlineStr">
        <is>
          <t>97/100</t>
        </is>
      </c>
      <c r="E472" s="7" t="n">
        <v>190.4100036621094</v>
      </c>
      <c r="F472" s="7" t="n">
        <v>179.9471435546875</v>
      </c>
      <c r="G472" s="7" t="n">
        <v>216.5671539306641</v>
      </c>
      <c r="H472" s="2" t="inlineStr">
        <is>
          <t>1:2.5</t>
        </is>
      </c>
      <c r="I472" s="2" t="n">
        <v>0</v>
      </c>
      <c r="J472" s="7" t="n">
        <v>0</v>
      </c>
      <c r="K472" s="2" t="inlineStr">
        <is>
          <t>SKIPPED_BEARISH_REGIME</t>
        </is>
      </c>
      <c r="L472" s="2" t="inlineStr">
        <is>
          <t>Swing Scanner (STATE 4: Cash Only)</t>
        </is>
      </c>
    </row>
    <row r="473" ht="15.75" customHeight="1" s="57">
      <c r="A473" s="2" t="inlineStr">
        <is>
          <t>2026-10-23</t>
        </is>
      </c>
      <c r="B473" s="2" t="inlineStr">
        <is>
          <t>PVRINOX</t>
        </is>
      </c>
      <c r="C473" s="2" t="inlineStr">
        <is>
          <t>PVR INOX Limited</t>
        </is>
      </c>
      <c r="D473" s="2" t="inlineStr">
        <is>
          <t>95/100</t>
        </is>
      </c>
      <c r="E473" s="7" t="n">
        <v>1419.900024414062</v>
      </c>
      <c r="F473" s="7" t="n">
        <v>1318.17147391183</v>
      </c>
      <c r="G473" s="7" t="n">
        <v>1674.221400669643</v>
      </c>
      <c r="H473" s="2" t="inlineStr">
        <is>
          <t>1:2.5</t>
        </is>
      </c>
      <c r="I473" s="2" t="n">
        <v>0</v>
      </c>
      <c r="J473" s="7" t="n">
        <v>0</v>
      </c>
      <c r="K473" s="2" t="inlineStr">
        <is>
          <t>SKIPPED_BEARISH_REGIME</t>
        </is>
      </c>
      <c r="L473" s="2" t="inlineStr">
        <is>
          <t>Swing Scanner (STATE 4: Cash Only)</t>
        </is>
      </c>
    </row>
    <row r="474" ht="15.75" customHeight="1" s="57">
      <c r="A474" s="2" t="inlineStr">
        <is>
          <t>2026-10-23</t>
        </is>
      </c>
      <c r="B474" s="2" t="inlineStr">
        <is>
          <t>TECHM</t>
        </is>
      </c>
      <c r="C474" s="2" t="inlineStr">
        <is>
          <t>Tech Mahindra Limited</t>
        </is>
      </c>
      <c r="D474" s="2" t="inlineStr">
        <is>
          <t>95/100</t>
        </is>
      </c>
      <c r="E474" s="7" t="n">
        <v>1814.099975585938</v>
      </c>
      <c r="F474" s="7" t="n">
        <v>1699.377073829646</v>
      </c>
      <c r="G474" s="7" t="n">
        <v>2100.907229976666</v>
      </c>
      <c r="H474" s="2" t="inlineStr">
        <is>
          <t>1:2.5</t>
        </is>
      </c>
      <c r="I474" s="2" t="n">
        <v>0</v>
      </c>
      <c r="J474" s="7" t="n">
        <v>0</v>
      </c>
      <c r="K474" s="2" t="inlineStr">
        <is>
          <t>SKIPPED_BEARISH_REGIME</t>
        </is>
      </c>
      <c r="L474" s="2" t="inlineStr">
        <is>
          <t>Swing Scanner (STATE 4: Cash Only)</t>
        </is>
      </c>
    </row>
    <row r="475" ht="15.75" customHeight="1" s="57">
      <c r="A475" s="2" t="inlineStr">
        <is>
          <t>2026-10-23</t>
        </is>
      </c>
      <c r="B475" s="2" t="inlineStr">
        <is>
          <t>PERSISTENT</t>
        </is>
      </c>
      <c r="C475" s="2" t="inlineStr">
        <is>
          <t>Persistent Systems Limited</t>
        </is>
      </c>
      <c r="D475" s="2" t="inlineStr">
        <is>
          <t>92/100</t>
        </is>
      </c>
      <c r="E475" s="7" t="n">
        <v>5740.5</v>
      </c>
      <c r="F475" s="7" t="n">
        <v>5341.571428571428</v>
      </c>
      <c r="G475" s="7" t="n">
        <v>6737.821428571428</v>
      </c>
      <c r="H475" s="2" t="inlineStr">
        <is>
          <t>1:2.5</t>
        </is>
      </c>
      <c r="I475" s="2" t="n">
        <v>0</v>
      </c>
      <c r="J475" s="7" t="n">
        <v>0</v>
      </c>
      <c r="K475" s="2" t="inlineStr">
        <is>
          <t>SKIPPED_BEARISH_REGIME</t>
        </is>
      </c>
      <c r="L475" s="2" t="inlineStr">
        <is>
          <t>Swing Scanner (STATE 4: Cash Only)</t>
        </is>
      </c>
    </row>
    <row r="476" ht="15.75" customHeight="1" s="57">
      <c r="A476" s="2" t="inlineStr">
        <is>
          <t>2026-10-23</t>
        </is>
      </c>
      <c r="B476" s="2" t="inlineStr">
        <is>
          <t>PIDILITIND</t>
        </is>
      </c>
      <c r="C476" s="2" t="inlineStr">
        <is>
          <t>Pidilite Industries Limited</t>
        </is>
      </c>
      <c r="D476" s="2" t="inlineStr">
        <is>
          <t>100/100</t>
        </is>
      </c>
      <c r="E476" s="7" t="n">
        <v>1487.7</v>
      </c>
      <c r="F476" s="7" t="n">
        <v>1469.2</v>
      </c>
      <c r="G476" s="7" t="n">
        <v>1533.9</v>
      </c>
      <c r="H476" s="2" t="inlineStr">
        <is>
          <t>1:2.5</t>
        </is>
      </c>
      <c r="I476" s="2" t="n">
        <v>0</v>
      </c>
      <c r="J476" s="7" t="n">
        <v>0</v>
      </c>
      <c r="K476" s="2" t="inlineStr">
        <is>
          <t>PENDING</t>
        </is>
      </c>
      <c r="L476" s="2" t="inlineStr">
        <is>
          <t>Intraday Scanner (STATE 4: Cash Only)</t>
        </is>
      </c>
    </row>
    <row r="477" ht="15.75" customHeight="1" s="57">
      <c r="A477" s="2" t="inlineStr">
        <is>
          <t>2026-10-23</t>
        </is>
      </c>
      <c r="B477" s="2" t="inlineStr">
        <is>
          <t>IPCALAB</t>
        </is>
      </c>
      <c r="C477" s="2" t="inlineStr">
        <is>
          <t>IPCA Laboratories Limited</t>
        </is>
      </c>
      <c r="D477" s="2" t="inlineStr">
        <is>
          <t>100/100</t>
        </is>
      </c>
      <c r="E477" s="7" t="n">
        <v>1953.3</v>
      </c>
      <c r="F477" s="7" t="n">
        <v>1901.45</v>
      </c>
      <c r="G477" s="7" t="n">
        <v>2083</v>
      </c>
      <c r="H477" s="2" t="inlineStr">
        <is>
          <t>1:2.5</t>
        </is>
      </c>
      <c r="I477" s="2" t="n">
        <v>0</v>
      </c>
      <c r="J477" s="7" t="n">
        <v>0</v>
      </c>
      <c r="K477" s="2" t="inlineStr">
        <is>
          <t>PENDING</t>
        </is>
      </c>
      <c r="L477" s="2" t="inlineStr">
        <is>
          <t>Intraday Scanner (STATE 4: Cash Only)</t>
        </is>
      </c>
    </row>
    <row r="478" ht="15.75" customHeight="1" s="57">
      <c r="A478" s="2" t="inlineStr">
        <is>
          <t>2026-10-23</t>
        </is>
      </c>
      <c r="B478" s="2" t="inlineStr">
        <is>
          <t>SHREECEM</t>
        </is>
      </c>
      <c r="C478" s="2" t="inlineStr">
        <is>
          <t>Shree Cement Limited</t>
        </is>
      </c>
      <c r="D478" s="2" t="inlineStr">
        <is>
          <t>99/100</t>
        </is>
      </c>
      <c r="E478" s="7" t="n">
        <v>22735</v>
      </c>
      <c r="F478" s="7" t="n">
        <v>22388.5</v>
      </c>
      <c r="G478" s="7" t="n">
        <v>23601.25</v>
      </c>
      <c r="H478" s="2" t="inlineStr">
        <is>
          <t>1:2.5</t>
        </is>
      </c>
      <c r="I478" s="2" t="n">
        <v>0</v>
      </c>
      <c r="J478" s="7" t="n">
        <v>0</v>
      </c>
      <c r="K478" s="2" t="inlineStr">
        <is>
          <t>PENDING</t>
        </is>
      </c>
      <c r="L478" s="2" t="inlineStr">
        <is>
          <t>Intraday Scanner (STATE 4: Cash Only)</t>
        </is>
      </c>
    </row>
    <row r="479" ht="15.75" customHeight="1" s="57">
      <c r="A479" s="2" t="inlineStr">
        <is>
          <t>2026-10-23</t>
        </is>
      </c>
      <c r="B479" s="2" t="inlineStr">
        <is>
          <t>ULTRACEMCO</t>
        </is>
      </c>
      <c r="C479" s="2" t="inlineStr">
        <is>
          <t>UltraTech Cement Limited</t>
        </is>
      </c>
      <c r="D479" s="2" t="inlineStr">
        <is>
          <t>96/100</t>
        </is>
      </c>
      <c r="E479" s="7" t="n">
        <v>11050</v>
      </c>
      <c r="F479" s="7" t="n">
        <v>10851.4</v>
      </c>
      <c r="G479" s="7" t="n">
        <v>11546.5</v>
      </c>
      <c r="H479" s="2" t="inlineStr">
        <is>
          <t>1:2.5</t>
        </is>
      </c>
      <c r="I479" s="2" t="n">
        <v>0</v>
      </c>
      <c r="J479" s="7" t="n">
        <v>0</v>
      </c>
      <c r="K479" s="2" t="inlineStr">
        <is>
          <t>PENDING</t>
        </is>
      </c>
      <c r="L479" s="2" t="inlineStr">
        <is>
          <t>Intraday Scanner (STATE 4: Cash Only)</t>
        </is>
      </c>
    </row>
    <row r="480" ht="15.75" customHeight="1" s="57">
      <c r="A480" s="2" t="inlineStr">
        <is>
          <t>2026-10-23</t>
        </is>
      </c>
      <c r="B480" s="2" t="inlineStr">
        <is>
          <t>LALPATHLAB</t>
        </is>
      </c>
      <c r="C480" s="2" t="inlineStr">
        <is>
          <t>Dr. Lal PathLab Limited</t>
        </is>
      </c>
      <c r="D480" s="2" t="inlineStr">
        <is>
          <t>95/100</t>
        </is>
      </c>
      <c r="E480" s="7" t="n">
        <v>1838.2</v>
      </c>
      <c r="F480" s="7" t="n">
        <v>1806.5</v>
      </c>
      <c r="G480" s="7" t="n">
        <v>1917.45</v>
      </c>
      <c r="H480" s="2" t="inlineStr">
        <is>
          <t>1:2.5</t>
        </is>
      </c>
      <c r="I480" s="2" t="n">
        <v>0</v>
      </c>
      <c r="J480" s="7" t="n">
        <v>0</v>
      </c>
      <c r="K480" s="2" t="inlineStr">
        <is>
          <t>PENDING</t>
        </is>
      </c>
      <c r="L480" s="2" t="inlineStr">
        <is>
          <t>Intraday Scanner (STATE 4: Cash Only)</t>
        </is>
      </c>
    </row>
    <row r="481" ht="15.75" customHeight="1" s="57">
      <c r="A481" s="2" t="inlineStr">
        <is>
          <t>2026-10-26</t>
        </is>
      </c>
      <c r="B481" s="2" t="inlineStr">
        <is>
          <t>INDHOTEL</t>
        </is>
      </c>
      <c r="C481" s="2" t="inlineStr">
        <is>
          <t>The Indian Hotels Company Limited</t>
        </is>
      </c>
      <c r="D481" s="2" t="inlineStr">
        <is>
          <t>98/100</t>
        </is>
      </c>
      <c r="E481" s="7" t="n">
        <v>781.75</v>
      </c>
      <c r="F481" s="7" t="n">
        <v>738.5785696847098</v>
      </c>
      <c r="G481" s="7" t="n">
        <v>889.6785757882254</v>
      </c>
      <c r="H481" s="2" t="inlineStr">
        <is>
          <t>1:2.5</t>
        </is>
      </c>
      <c r="I481" s="2" t="n">
        <v>0</v>
      </c>
      <c r="J481" s="7" t="n">
        <v>0</v>
      </c>
      <c r="K481" s="2" t="inlineStr">
        <is>
          <t>SKIPPED_BEARISH_REGIME</t>
        </is>
      </c>
      <c r="L481" s="2" t="inlineStr">
        <is>
          <t>Swing Scanner (STATE 4: Cash Only)</t>
        </is>
      </c>
    </row>
    <row r="482" ht="15.75" customHeight="1" s="57">
      <c r="A482" s="2" t="inlineStr">
        <is>
          <t>2026-10-26</t>
        </is>
      </c>
      <c r="B482" s="2" t="inlineStr">
        <is>
          <t>CYIENT</t>
        </is>
      </c>
      <c r="C482" s="2" t="inlineStr">
        <is>
          <t>Cyient Limited</t>
        </is>
      </c>
      <c r="D482" s="2" t="inlineStr">
        <is>
          <t>98/100</t>
        </is>
      </c>
      <c r="E482" s="7" t="n">
        <v>1233</v>
      </c>
      <c r="F482" s="7" t="n">
        <v>1119.985665457589</v>
      </c>
      <c r="G482" s="7" t="n">
        <v>1515.535836356027</v>
      </c>
      <c r="H482" s="2" t="inlineStr">
        <is>
          <t>1:2.5</t>
        </is>
      </c>
      <c r="I482" s="2" t="n">
        <v>0</v>
      </c>
      <c r="J482" s="7" t="n">
        <v>0</v>
      </c>
      <c r="K482" s="2" t="inlineStr">
        <is>
          <t>SKIPPED_BEARISH_REGIME</t>
        </is>
      </c>
      <c r="L482" s="2" t="inlineStr">
        <is>
          <t>Swing Scanner (STATE 4: Cash Only)</t>
        </is>
      </c>
    </row>
    <row r="483" ht="15.75" customHeight="1" s="57">
      <c r="A483" s="2" t="inlineStr">
        <is>
          <t>2026-10-26</t>
        </is>
      </c>
      <c r="B483" s="2" t="inlineStr">
        <is>
          <t>INFY</t>
        </is>
      </c>
      <c r="C483" s="2" t="inlineStr">
        <is>
          <t>Infosys Limited</t>
        </is>
      </c>
      <c r="D483" s="2" t="inlineStr">
        <is>
          <t>94/100</t>
        </is>
      </c>
      <c r="E483" s="7" t="n">
        <v>1153.800048828125</v>
      </c>
      <c r="F483" s="7" t="n">
        <v>1067.592895507812</v>
      </c>
      <c r="G483" s="7" t="n">
        <v>1369.317932128906</v>
      </c>
      <c r="H483" s="2" t="inlineStr">
        <is>
          <t>1:2.5</t>
        </is>
      </c>
      <c r="I483" s="2" t="n">
        <v>0</v>
      </c>
      <c r="J483" s="7" t="n">
        <v>0</v>
      </c>
      <c r="K483" s="2" t="inlineStr">
        <is>
          <t>SKIPPED_BEARISH_REGIME</t>
        </is>
      </c>
      <c r="L483" s="2" t="inlineStr">
        <is>
          <t>Swing Scanner (STATE 4: Cash Only)</t>
        </is>
      </c>
    </row>
    <row r="484" ht="15.75" customHeight="1" s="57">
      <c r="A484" s="2" t="inlineStr">
        <is>
          <t>2026-10-26</t>
        </is>
      </c>
      <c r="B484" s="2" t="inlineStr">
        <is>
          <t>TCS</t>
        </is>
      </c>
      <c r="C484" s="2" t="inlineStr">
        <is>
          <t>Tata Consultancy Services</t>
        </is>
      </c>
      <c r="D484" s="2" t="inlineStr">
        <is>
          <t>93/100</t>
        </is>
      </c>
      <c r="E484" s="7" t="n">
        <v>2530</v>
      </c>
      <c r="F484" s="7" t="n">
        <v>2363.142300268785</v>
      </c>
      <c r="G484" s="7" t="n">
        <v>2947.144249328038</v>
      </c>
      <c r="H484" s="2" t="inlineStr">
        <is>
          <t>1:2.5</t>
        </is>
      </c>
      <c r="I484" s="2" t="n">
        <v>0</v>
      </c>
      <c r="J484" s="7" t="n">
        <v>0</v>
      </c>
      <c r="K484" s="2" t="inlineStr">
        <is>
          <t>SKIPPED_BEARISH_REGIME</t>
        </is>
      </c>
      <c r="L484" s="2" t="inlineStr">
        <is>
          <t>Swing Scanner (STATE 4: Cash Only)</t>
        </is>
      </c>
    </row>
    <row r="485" ht="15.75" customHeight="1" s="57">
      <c r="A485" s="2" t="inlineStr">
        <is>
          <t>2026-10-26</t>
        </is>
      </c>
      <c r="B485" s="2" t="inlineStr">
        <is>
          <t>PERSISTENT</t>
        </is>
      </c>
      <c r="C485" s="2" t="inlineStr">
        <is>
          <t>Persistent Systems Limited</t>
        </is>
      </c>
      <c r="D485" s="2" t="inlineStr">
        <is>
          <t>92/100</t>
        </is>
      </c>
      <c r="E485" s="7" t="n">
        <v>5727.5</v>
      </c>
      <c r="F485" s="7" t="n">
        <v>5315.071428571428</v>
      </c>
      <c r="G485" s="7" t="n">
        <v>6758.571428571428</v>
      </c>
      <c r="H485" s="2" t="inlineStr">
        <is>
          <t>1:2.5</t>
        </is>
      </c>
      <c r="I485" s="2" t="n">
        <v>0</v>
      </c>
      <c r="J485" s="7" t="n">
        <v>0</v>
      </c>
      <c r="K485" s="2" t="inlineStr">
        <is>
          <t>SKIPPED_BEARISH_REGIME</t>
        </is>
      </c>
      <c r="L485" s="2" t="inlineStr">
        <is>
          <t>Swing Scanner (STATE 4: Cash Only)</t>
        </is>
      </c>
    </row>
    <row r="486" ht="15.75" customHeight="1" s="57">
      <c r="A486" s="2" t="inlineStr">
        <is>
          <t>2026-10-26</t>
        </is>
      </c>
      <c r="B486" s="2" t="inlineStr">
        <is>
          <t>HINDUNILVR</t>
        </is>
      </c>
      <c r="C486" s="2" t="inlineStr">
        <is>
          <t>Hindustan Unilever Limited</t>
        </is>
      </c>
      <c r="D486" s="2" t="inlineStr">
        <is>
          <t>100/100</t>
        </is>
      </c>
      <c r="E486" s="7" t="n">
        <v>1818.6</v>
      </c>
      <c r="F486" s="7" t="n">
        <v>1786.55</v>
      </c>
      <c r="G486" s="7" t="n">
        <v>1898.8</v>
      </c>
      <c r="H486" s="2" t="inlineStr">
        <is>
          <t>1:2.5</t>
        </is>
      </c>
      <c r="I486" s="2" t="n">
        <v>0</v>
      </c>
      <c r="J486" s="7" t="n">
        <v>0</v>
      </c>
      <c r="K486" s="2" t="inlineStr">
        <is>
          <t>PENDING</t>
        </is>
      </c>
      <c r="L486" s="2" t="inlineStr">
        <is>
          <t>Intraday Scanner (STATE 4: Cash Only)</t>
        </is>
      </c>
    </row>
    <row r="487" ht="15.75" customHeight="1" s="57">
      <c r="A487" s="2" t="inlineStr">
        <is>
          <t>2026-10-26</t>
        </is>
      </c>
      <c r="B487" s="2" t="inlineStr">
        <is>
          <t>ASIANPAINT</t>
        </is>
      </c>
      <c r="C487" s="2" t="inlineStr">
        <is>
          <t>Asian Paints Limited</t>
        </is>
      </c>
      <c r="D487" s="2" t="inlineStr">
        <is>
          <t>100/100</t>
        </is>
      </c>
      <c r="E487" s="7" t="n">
        <v>2322</v>
      </c>
      <c r="F487" s="7" t="n">
        <v>2287.45</v>
      </c>
      <c r="G487" s="7" t="n">
        <v>2408.3</v>
      </c>
      <c r="H487" s="2" t="inlineStr">
        <is>
          <t>1:2.5</t>
        </is>
      </c>
      <c r="I487" s="2" t="n">
        <v>0</v>
      </c>
      <c r="J487" s="7" t="n">
        <v>0</v>
      </c>
      <c r="K487" s="2" t="inlineStr">
        <is>
          <t>PENDING</t>
        </is>
      </c>
      <c r="L487" s="2" t="inlineStr">
        <is>
          <t>Intraday Scanner (STATE 4: Cash Only)</t>
        </is>
      </c>
    </row>
    <row r="488" ht="15.75" customHeight="1" s="57">
      <c r="A488" s="2" t="inlineStr">
        <is>
          <t>2026-10-26</t>
        </is>
      </c>
      <c r="B488" s="2" t="inlineStr">
        <is>
          <t>GRASIM</t>
        </is>
      </c>
      <c r="C488" s="2" t="inlineStr">
        <is>
          <t>Grasim Industries Limited</t>
        </is>
      </c>
      <c r="D488" s="2" t="inlineStr">
        <is>
          <t>100/100</t>
        </is>
      </c>
      <c r="E488" s="7" t="n">
        <v>2950</v>
      </c>
      <c r="F488" s="7" t="n">
        <v>2912</v>
      </c>
      <c r="G488" s="7" t="n">
        <v>3044.95</v>
      </c>
      <c r="H488" s="2" t="inlineStr">
        <is>
          <t>1:2.5</t>
        </is>
      </c>
      <c r="I488" s="2" t="n">
        <v>0</v>
      </c>
      <c r="J488" s="7" t="n">
        <v>0</v>
      </c>
      <c r="K488" s="2" t="inlineStr">
        <is>
          <t>PENDING</t>
        </is>
      </c>
      <c r="L488" s="2" t="inlineStr">
        <is>
          <t>Intraday Scanner (STATE 4: Cash Only)</t>
        </is>
      </c>
    </row>
    <row r="489" ht="15.75" customHeight="1" s="57">
      <c r="A489" s="2" t="inlineStr">
        <is>
          <t>2026-10-26</t>
        </is>
      </c>
      <c r="B489" s="2" t="inlineStr">
        <is>
          <t>HEROMOTOCO</t>
        </is>
      </c>
      <c r="C489" s="2" t="inlineStr">
        <is>
          <t>Hero MotoCorp Limited</t>
        </is>
      </c>
      <c r="D489" s="2" t="inlineStr">
        <is>
          <t>100/100</t>
        </is>
      </c>
      <c r="E489" s="7" t="n">
        <v>5199</v>
      </c>
      <c r="F489" s="7" t="n">
        <v>5095.65</v>
      </c>
      <c r="G489" s="7" t="n">
        <v>5457.4</v>
      </c>
      <c r="H489" s="2" t="inlineStr">
        <is>
          <t>1:2.5</t>
        </is>
      </c>
      <c r="I489" s="2" t="n">
        <v>0</v>
      </c>
      <c r="J489" s="7" t="n">
        <v>0</v>
      </c>
      <c r="K489" s="2" t="inlineStr">
        <is>
          <t>PENDING</t>
        </is>
      </c>
      <c r="L489" s="2" t="inlineStr">
        <is>
          <t>Intraday Scanner (STATE 4: Cash Only)</t>
        </is>
      </c>
    </row>
    <row r="490" ht="15.75" customHeight="1" s="57">
      <c r="A490" s="2" t="inlineStr">
        <is>
          <t>2026-10-26</t>
        </is>
      </c>
      <c r="B490" s="2" t="inlineStr">
        <is>
          <t>JSWSTEEL</t>
        </is>
      </c>
      <c r="C490" s="2" t="inlineStr">
        <is>
          <t>JSW Steel Limited</t>
        </is>
      </c>
      <c r="D490" s="2" t="inlineStr">
        <is>
          <t>100/100</t>
        </is>
      </c>
      <c r="E490" s="7" t="n">
        <v>1260</v>
      </c>
      <c r="F490" s="7" t="n">
        <v>1236.35</v>
      </c>
      <c r="G490" s="7" t="n">
        <v>1319.2</v>
      </c>
      <c r="H490" s="2" t="inlineStr">
        <is>
          <t>1:2.5</t>
        </is>
      </c>
      <c r="I490" s="2" t="n">
        <v>0</v>
      </c>
      <c r="J490" s="7" t="n">
        <v>0</v>
      </c>
      <c r="K490" s="2" t="inlineStr">
        <is>
          <t>PENDING</t>
        </is>
      </c>
      <c r="L490" s="2" t="inlineStr">
        <is>
          <t>Intraday Scanner (STATE 4: Cash Only)</t>
        </is>
      </c>
    </row>
    <row r="491" ht="15.75" customHeight="1" s="5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 ht="15.75" customHeight="1" s="5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 ht="15.75" customHeight="1" s="5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 ht="15.75" customHeight="1" s="5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 ht="15.75" customHeight="1" s="5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 ht="15.75" customHeight="1" s="5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 ht="15.75" customHeight="1" s="5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 ht="15.75" customHeight="1" s="5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 ht="15.75" customHeight="1" s="5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 ht="15.75" customHeight="1" s="5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 ht="15.75" customHeight="1" s="5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 ht="15.75" customHeight="1" s="5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 ht="15.75" customHeight="1" s="5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 ht="15.75" customHeight="1" s="5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 ht="15.75" customHeight="1" s="5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 ht="15.75" customHeight="1" s="5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 ht="15.75" customHeight="1" s="5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 ht="15.75" customHeight="1" s="5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 ht="15.75" customHeight="1" s="5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 ht="15.75" customHeight="1" s="5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 ht="15.75" customHeight="1" s="5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 ht="15.75" customHeight="1" s="5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 ht="15.75" customHeight="1" s="5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 ht="15.75" customHeight="1" s="5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 ht="15.75" customHeight="1" s="5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 ht="15.75" customHeight="1" s="5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 ht="15.75" customHeight="1" s="5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 ht="15.75" customHeight="1" s="5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 ht="15.75" customHeight="1" s="5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 ht="15.75" customHeight="1" s="5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 ht="15.75" customHeight="1" s="5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 ht="15.75" customHeight="1" s="5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 ht="15.75" customHeight="1" s="5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 ht="15.75" customHeight="1" s="5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 ht="15.75" customHeight="1" s="5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 ht="15.75" customHeight="1" s="5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 ht="15.75" customHeight="1" s="5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 ht="15.75" customHeight="1" s="5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 ht="15.75" customHeight="1" s="5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 ht="15.75" customHeight="1" s="5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 ht="15.75" customHeight="1" s="5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 ht="15.75" customHeight="1" s="5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 ht="15.75" customHeight="1" s="5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 ht="15.75" customHeight="1" s="5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 ht="15.75" customHeight="1" s="5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 ht="15.75" customHeight="1" s="5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 ht="15.75" customHeight="1" s="5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 ht="15.75" customHeight="1" s="5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 ht="15.75" customHeight="1" s="5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 ht="15.75" customHeight="1" s="5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 ht="15.75" customHeight="1" s="5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 ht="15.75" customHeight="1" s="5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 ht="15.75" customHeight="1" s="5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 ht="15.75" customHeight="1" s="5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 ht="15.75" customHeight="1" s="5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 ht="15.75" customHeight="1" s="5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 ht="15.75" customHeight="1" s="5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 ht="15.75" customHeight="1" s="5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 ht="15.75" customHeight="1" s="5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 ht="15.75" customHeight="1" s="5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 ht="15.75" customHeight="1" s="5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 ht="15.75" customHeight="1" s="5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 ht="15.75" customHeight="1" s="5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 ht="15.75" customHeight="1" s="5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 ht="15.75" customHeight="1" s="5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 ht="15.75" customHeight="1" s="5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 ht="15.75" customHeight="1" s="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 ht="15.75" customHeight="1" s="5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 ht="15.75" customHeight="1" s="5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 ht="15.75" customHeight="1" s="5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 ht="15.75" customHeight="1" s="5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 ht="15.75" customHeight="1" s="5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 ht="15.75" customHeight="1" s="5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 ht="15.75" customHeight="1" s="5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 ht="15.75" customHeight="1" s="5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 ht="15.75" customHeight="1" s="5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 ht="15.75" customHeight="1" s="5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 ht="15.75" customHeight="1" s="5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 ht="15.75" customHeight="1" s="5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 ht="15.75" customHeight="1" s="5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 ht="15.75" customHeight="1" s="5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 ht="15.75" customHeight="1" s="5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 ht="15.75" customHeight="1" s="5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 ht="15.75" customHeight="1" s="5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 ht="15.75" customHeight="1" s="5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 ht="15.75" customHeight="1" s="5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 ht="15.75" customHeight="1" s="5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 ht="15.75" customHeight="1" s="5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 ht="15.75" customHeight="1" s="5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 ht="15.75" customHeight="1" s="5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 ht="15.75" customHeight="1" s="5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 ht="15.75" customHeight="1" s="5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 ht="15.75" customHeight="1" s="5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 ht="15.75" customHeight="1" s="5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 ht="15.75" customHeight="1" s="5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 ht="15.75" customHeight="1" s="5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 ht="15.75" customHeight="1" s="5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 ht="15.75" customHeight="1" s="5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 ht="15.75" customHeight="1" s="5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 ht="15.75" customHeight="1" s="5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 ht="15.75" customHeight="1" s="5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 ht="15.75" customHeight="1" s="5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 ht="15.75" customHeight="1" s="5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 ht="15.75" customHeight="1" s="5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 ht="15.75" customHeight="1" s="5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 ht="15.75" customHeight="1" s="5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 ht="15.75" customHeight="1" s="5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 ht="15.75" customHeight="1" s="5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 ht="15.75" customHeight="1" s="5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 ht="15.75" customHeight="1" s="5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 ht="15.75" customHeight="1" s="5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 ht="15.75" customHeight="1" s="5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 ht="15.75" customHeight="1" s="5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 ht="15.75" customHeight="1" s="5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 ht="15.75" customHeight="1" s="5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 ht="15.75" customHeight="1" s="5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 ht="15.75" customHeight="1" s="5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 ht="15.75" customHeight="1" s="5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 ht="15.75" customHeight="1" s="5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 ht="15.75" customHeight="1" s="5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 ht="15.75" customHeight="1" s="5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 ht="15.75" customHeight="1" s="5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 ht="15.75" customHeight="1" s="5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 ht="15.75" customHeight="1" s="5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 ht="15.75" customHeight="1" s="5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 ht="15.75" customHeight="1" s="5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 ht="15.75" customHeight="1" s="5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 ht="15.75" customHeight="1" s="5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 ht="15.75" customHeight="1" s="5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 ht="15.75" customHeight="1" s="5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 ht="15.75" customHeight="1" s="5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 ht="15.75" customHeight="1" s="5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 ht="15.75" customHeight="1" s="5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 ht="15.75" customHeight="1" s="5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 ht="15.75" customHeight="1" s="5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 ht="15.75" customHeight="1" s="5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 ht="15.75" customHeight="1" s="5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 ht="15.75" customHeight="1" s="5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 ht="15.75" customHeight="1" s="5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 ht="15.75" customHeight="1" s="5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 ht="15.75" customHeight="1" s="5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 ht="15.75" customHeight="1" s="5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 ht="15.75" customHeight="1" s="5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 ht="15.75" customHeight="1" s="5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 ht="15.75" customHeight="1" s="5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 ht="15.75" customHeight="1" s="5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 ht="15.75" customHeight="1" s="5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 ht="15.75" customHeight="1" s="5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 ht="15.75" customHeight="1" s="5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 ht="15.75" customHeight="1" s="5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 ht="15.75" customHeight="1" s="5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 ht="15.75" customHeight="1" s="5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 ht="15.75" customHeight="1" s="5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 ht="15.75" customHeight="1" s="5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 ht="15.75" customHeight="1" s="5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 ht="15.75" customHeight="1" s="5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 ht="15.75" customHeight="1" s="5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 ht="15.75" customHeight="1" s="5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 ht="15.75" customHeight="1" s="5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 ht="15.75" customHeight="1" s="5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 ht="15.75" customHeight="1" s="5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 ht="15.75" customHeight="1" s="5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 ht="15.75" customHeight="1" s="5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 ht="15.75" customHeight="1" s="5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 ht="15.75" customHeight="1" s="5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 ht="15.75" customHeight="1" s="5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 ht="15.75" customHeight="1" s="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 ht="15.75" customHeight="1" s="5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 ht="15.75" customHeight="1" s="5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 ht="15.75" customHeight="1" s="5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 ht="15.75" customHeight="1" s="5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 ht="15.75" customHeight="1" s="5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 ht="15.75" customHeight="1" s="5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 ht="15.75" customHeight="1" s="5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 ht="15.75" customHeight="1" s="5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 ht="15.75" customHeight="1" s="5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 ht="15.75" customHeight="1" s="5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 ht="15.75" customHeight="1" s="5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 ht="15.75" customHeight="1" s="5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 ht="15.75" customHeight="1" s="5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 ht="15.75" customHeight="1" s="5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 ht="15.75" customHeight="1" s="5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 ht="15.75" customHeight="1" s="5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 ht="15.75" customHeight="1" s="5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 ht="15.75" customHeight="1" s="5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 ht="15.75" customHeight="1" s="5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 ht="15.75" customHeight="1" s="5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 ht="15.75" customHeight="1" s="5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 ht="15.75" customHeight="1" s="5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 ht="15.75" customHeight="1" s="5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 ht="15.75" customHeight="1" s="5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 ht="15.75" customHeight="1" s="5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 ht="15.75" customHeight="1" s="5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 ht="15.75" customHeight="1" s="5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 ht="15.75" customHeight="1" s="5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 ht="15.75" customHeight="1" s="5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 ht="15.75" customHeight="1" s="5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 ht="15.75" customHeight="1" s="5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 ht="15.75" customHeight="1" s="5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 ht="15.75" customHeight="1" s="5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 ht="15.75" customHeight="1" s="5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 ht="15.75" customHeight="1" s="5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 ht="15.75" customHeight="1" s="5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 ht="15.75" customHeight="1" s="5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 ht="15.75" customHeight="1" s="5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 ht="15.75" customHeight="1" s="5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 ht="15.75" customHeight="1" s="5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 ht="15.75" customHeight="1" s="5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 ht="15.75" customHeight="1" s="5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 ht="15.75" customHeight="1" s="5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 ht="15.75" customHeight="1" s="5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 ht="15.75" customHeight="1" s="5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 ht="15.75" customHeight="1" s="5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 ht="15.75" customHeight="1" s="5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 ht="15.75" customHeight="1" s="5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 ht="15.75" customHeight="1" s="5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 ht="15.75" customHeight="1" s="5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 ht="15.75" customHeight="1" s="5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 ht="15.75" customHeight="1" s="5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 ht="15.75" customHeight="1" s="5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 ht="15.75" customHeight="1" s="5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 ht="15.75" customHeight="1" s="5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 ht="15.75" customHeight="1" s="5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 ht="15.75" customHeight="1" s="5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 ht="15.75" customHeight="1" s="5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 ht="15.75" customHeight="1" s="5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 ht="15.75" customHeight="1" s="5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 ht="15.75" customHeight="1" s="5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 ht="15.75" customHeight="1" s="5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 ht="15.75" customHeight="1" s="5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 ht="15.75" customHeight="1" s="5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 ht="15.75" customHeight="1" s="5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 ht="15.75" customHeight="1" s="5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 ht="15.75" customHeight="1" s="5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 ht="15.75" customHeight="1" s="5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 ht="15.75" customHeight="1" s="5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 ht="15.75" customHeight="1" s="5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 ht="15.75" customHeight="1" s="5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 ht="15.75" customHeight="1" s="5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 ht="15.75" customHeight="1" s="5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 ht="15.75" customHeight="1" s="5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 ht="15.75" customHeight="1" s="5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 ht="15.75" customHeight="1" s="5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 ht="15.75" customHeight="1" s="5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 ht="15.75" customHeight="1" s="5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 ht="15.75" customHeight="1" s="5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 ht="15.75" customHeight="1" s="5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 ht="15.75" customHeight="1" s="5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 ht="15.75" customHeight="1" s="5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 ht="15.75" customHeight="1" s="5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 ht="15.75" customHeight="1" s="5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 ht="15.75" customHeight="1" s="5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 ht="15.75" customHeight="1" s="5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 ht="15.75" customHeight="1" s="5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 ht="15.75" customHeight="1" s="5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 ht="15.75" customHeight="1" s="5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 ht="15.75" customHeight="1" s="5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 ht="15.75" customHeight="1" s="5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 ht="15.75" customHeight="1" s="5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 ht="15.75" customHeight="1" s="5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 ht="15.75" customHeight="1" s="5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 ht="15.75" customHeight="1" s="5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 ht="15.75" customHeight="1" s="5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 ht="15.75" customHeight="1" s="5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 ht="15.75" customHeight="1" s="5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 ht="15.75" customHeight="1" s="5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 ht="15.75" customHeight="1" s="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 ht="15.75" customHeight="1" s="5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 ht="15.75" customHeight="1" s="5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 ht="15.75" customHeight="1" s="5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 ht="15.75" customHeight="1" s="5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 ht="15.75" customHeight="1" s="5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 ht="15.75" customHeight="1" s="5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 ht="15.75" customHeight="1" s="5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 ht="15.75" customHeight="1" s="5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 ht="15.75" customHeight="1" s="5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 ht="15.75" customHeight="1" s="5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 ht="15.75" customHeight="1" s="5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 ht="15.75" customHeight="1" s="5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 ht="15.75" customHeight="1" s="5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 ht="15.75" customHeight="1" s="5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 ht="15.75" customHeight="1" s="5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 ht="15.75" customHeight="1" s="5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 ht="15.75" customHeight="1" s="5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 ht="15.75" customHeight="1" s="5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 ht="15.75" customHeight="1" s="5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 ht="15.75" customHeight="1" s="5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 ht="15.75" customHeight="1" s="5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 ht="15.75" customHeight="1" s="5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 ht="15.75" customHeight="1" s="5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 ht="15.75" customHeight="1" s="5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 ht="15.75" customHeight="1" s="5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 ht="15.75" customHeight="1" s="5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 ht="15.75" customHeight="1" s="5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 ht="15.75" customHeight="1" s="5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 ht="15.75" customHeight="1" s="5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 ht="15.75" customHeight="1" s="5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 ht="15.75" customHeight="1" s="5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 ht="15.75" customHeight="1" s="5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 ht="15.75" customHeight="1" s="5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 ht="15.75" customHeight="1" s="5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 ht="15.75" customHeight="1" s="5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 ht="15.75" customHeight="1" s="5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 ht="15.75" customHeight="1" s="5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 ht="15.75" customHeight="1" s="5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 ht="15.75" customHeight="1" s="5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 ht="15.75" customHeight="1" s="5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 ht="15.75" customHeight="1" s="5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 ht="15.75" customHeight="1" s="5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 ht="15.75" customHeight="1" s="5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 ht="15.75" customHeight="1" s="5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 ht="15.75" customHeight="1" s="5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 ht="15.75" customHeight="1" s="5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 ht="15.75" customHeight="1" s="5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 ht="15.75" customHeight="1" s="5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 ht="15.75" customHeight="1" s="5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 ht="15.75" customHeight="1" s="5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 ht="15.75" customHeight="1" s="5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 ht="15.75" customHeight="1" s="5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 ht="15.75" customHeight="1" s="5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 ht="15.75" customHeight="1" s="5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 ht="15.75" customHeight="1" s="5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 ht="15.75" customHeight="1" s="5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 ht="15.75" customHeight="1" s="5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 ht="15.75" customHeight="1" s="5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 ht="15.75" customHeight="1" s="5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 ht="15.75" customHeight="1" s="5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 ht="15.75" customHeight="1" s="5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 ht="15.75" customHeight="1" s="5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 ht="15.75" customHeight="1" s="5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 ht="15.75" customHeight="1" s="5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 ht="15.75" customHeight="1" s="5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 ht="15.75" customHeight="1" s="5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 ht="15.75" customHeight="1" s="5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 ht="15.75" customHeight="1" s="5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 ht="15.75" customHeight="1" s="5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 ht="15.75" customHeight="1" s="5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 ht="15.75" customHeight="1" s="5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 ht="15.75" customHeight="1" s="5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 ht="15.75" customHeight="1" s="5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 ht="15.75" customHeight="1" s="5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 ht="15.75" customHeight="1" s="5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 ht="15.75" customHeight="1" s="5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 ht="15.75" customHeight="1" s="5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 ht="15.75" customHeight="1" s="5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 ht="15.75" customHeight="1" s="5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 ht="15.75" customHeight="1" s="5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 ht="15.75" customHeight="1" s="5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 ht="15.75" customHeight="1" s="5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 ht="15.75" customHeight="1" s="5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 ht="15.75" customHeight="1" s="5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 ht="15.75" customHeight="1" s="5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 ht="15.75" customHeight="1" s="5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 ht="15.75" customHeight="1" s="5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 ht="15.75" customHeight="1" s="5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 ht="15.75" customHeight="1" s="5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 ht="15.75" customHeight="1" s="5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 ht="15.75" customHeight="1" s="5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 ht="15.75" customHeight="1" s="5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 ht="15.75" customHeight="1" s="5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 ht="15.75" customHeight="1" s="5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 ht="15.75" customHeight="1" s="5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 ht="15.75" customHeight="1" s="5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 ht="15.75" customHeight="1" s="5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 ht="15.75" customHeight="1" s="5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 ht="15.75" customHeight="1" s="5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 ht="15.75" customHeight="1" s="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 ht="15.75" customHeight="1" s="5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 ht="15.75" customHeight="1" s="5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 ht="15.75" customHeight="1" s="5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 ht="15.75" customHeight="1" s="5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 ht="15.75" customHeight="1" s="5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 ht="15.75" customHeight="1" s="5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 ht="15.75" customHeight="1" s="5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 ht="15.75" customHeight="1" s="5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 ht="15.75" customHeight="1" s="5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 ht="15.75" customHeight="1" s="5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 ht="15.75" customHeight="1" s="5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 ht="15.75" customHeight="1" s="5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 ht="15.75" customHeight="1" s="5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 ht="15.75" customHeight="1" s="5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 ht="15.75" customHeight="1" s="5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 ht="15.75" customHeight="1" s="5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 ht="15.75" customHeight="1" s="5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 ht="15.75" customHeight="1" s="5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 ht="15.75" customHeight="1" s="5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 ht="15.75" customHeight="1" s="5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 ht="15.75" customHeight="1" s="5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 ht="15.75" customHeight="1" s="5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 ht="15.75" customHeight="1" s="5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 ht="15.75" customHeight="1" s="5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 ht="15.75" customHeight="1" s="5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 ht="15.75" customHeight="1" s="5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 ht="15.75" customHeight="1" s="5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 ht="15.75" customHeight="1" s="5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 ht="15.75" customHeight="1" s="5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 ht="15.75" customHeight="1" s="5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 ht="15.75" customHeight="1" s="5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 ht="15.75" customHeight="1" s="5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 ht="15.75" customHeight="1" s="5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 ht="15.75" customHeight="1" s="5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 ht="15.75" customHeight="1" s="5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 ht="15.75" customHeight="1" s="5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 ht="15.75" customHeight="1" s="5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 ht="15.75" customHeight="1" s="5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 ht="15.75" customHeight="1" s="5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 ht="15.75" customHeight="1" s="5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 ht="15.75" customHeight="1" s="5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 ht="15.75" customHeight="1" s="5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 ht="15.75" customHeight="1" s="5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 ht="15.75" customHeight="1" s="5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 ht="15.75" customHeight="1" s="5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 ht="15.75" customHeight="1" s="5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 ht="15.75" customHeight="1" s="5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 ht="15.75" customHeight="1" s="5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 ht="15.75" customHeight="1" s="5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 ht="15.75" customHeight="1" s="5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 ht="15.75" customHeight="1" s="5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 ht="15.75" customHeight="1" s="5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 ht="15.75" customHeight="1" s="5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 ht="15.75" customHeight="1" s="5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 ht="15.75" customHeight="1" s="5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 ht="15.75" customHeight="1" s="5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 ht="15.75" customHeight="1" s="5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 ht="15.75" customHeight="1" s="5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 ht="15.75" customHeight="1" s="5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 ht="15.75" customHeight="1" s="5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 ht="15.75" customHeight="1" s="5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 ht="15.75" customHeight="1" s="5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 ht="15.75" customHeight="1" s="5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 ht="15.75" customHeight="1" s="5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 ht="15.75" customHeight="1" s="5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 ht="15.75" customHeight="1" s="5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 ht="15.75" customHeight="1" s="5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 ht="15.75" customHeight="1" s="5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 ht="15.75" customHeight="1" s="5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 ht="15.75" customHeight="1" s="5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 ht="15.75" customHeight="1" s="5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 ht="15.75" customHeight="1" s="5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 ht="15.75" customHeight="1" s="5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 ht="15.75" customHeight="1" s="5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 ht="15.75" customHeight="1" s="5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 ht="15.75" customHeight="1" s="5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 ht="15.75" customHeight="1" s="5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 ht="15.75" customHeight="1" s="5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 ht="15.75" customHeight="1" s="5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 ht="15.75" customHeight="1" s="5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 ht="15.75" customHeight="1" s="5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 ht="15.75" customHeight="1" s="5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 ht="15.75" customHeight="1" s="5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 ht="15.75" customHeight="1" s="5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 ht="15.75" customHeight="1" s="5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 ht="15.75" customHeight="1" s="5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 ht="15.75" customHeight="1" s="5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 ht="15.75" customHeight="1" s="5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 ht="15.75" customHeight="1" s="5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 ht="15.75" customHeight="1" s="5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 ht="15.75" customHeight="1" s="5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 ht="15.75" customHeight="1" s="5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 ht="15.75" customHeight="1" s="5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 ht="15.75" customHeight="1" s="5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 ht="15.75" customHeight="1" s="5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 ht="15.75" customHeight="1" s="5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 ht="15.75" customHeight="1" s="5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 ht="15.75" customHeight="1" s="5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 ht="15.75" customHeight="1" s="5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 ht="15.75" customHeight="1" s="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 ht="15.75" customHeight="1" s="5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 ht="15.75" customHeight="1" s="5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 ht="15.75" customHeight="1" s="5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 ht="15.75" customHeight="1" s="5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 ht="15.75" customHeight="1" s="5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 ht="15.75" customHeight="1" s="5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 ht="15.75" customHeight="1" s="5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 ht="15.75" customHeight="1" s="5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 ht="15.75" customHeight="1" s="5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 ht="15.75" customHeight="1" s="5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 ht="15.75" customHeight="1" s="5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 ht="15.75" customHeight="1" s="5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 ht="15.75" customHeight="1" s="5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 ht="15.75" customHeight="1" s="5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 ht="15.75" customHeight="1" s="5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 ht="15.75" customHeight="1" s="5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 ht="15.75" customHeight="1" s="5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 ht="15.75" customHeight="1" s="5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 ht="15.75" customHeight="1" s="5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 ht="15.75" customHeight="1" s="5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 ht="15.75" customHeight="1" s="5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 ht="15.75" customHeight="1" s="5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 ht="15.75" customHeight="1" s="5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 ht="15.75" customHeight="1" s="5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 ht="15.75" customHeight="1" s="5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 ht="15.75" customHeight="1" s="5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 ht="15.75" customHeight="1" s="5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 ht="15.75" customHeight="1" s="5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 ht="15.75" customHeight="1" s="5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 ht="15.75" customHeight="1" s="5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 ht="15.75" customHeight="1" s="5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 ht="15.75" customHeight="1" s="5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 ht="15.75" customHeight="1" s="5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 ht="15.75" customHeight="1" s="5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 ht="15.75" customHeight="1" s="5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 ht="15.75" customHeight="1" s="5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 ht="15.75" customHeight="1" s="5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 ht="15.75" customHeight="1" s="5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 ht="15.75" customHeight="1" s="5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 ht="15.75" customHeight="1" s="5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 ht="15.75" customHeight="1" s="5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 ht="15.75" customHeight="1" s="5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 ht="15.75" customHeight="1" s="5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9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57" min="1" max="2"/>
    <col width="18" customWidth="1" style="57" min="3" max="3"/>
    <col width="40" customWidth="1" style="57" min="4" max="4"/>
    <col width="8.710000000000001" customWidth="1" style="57" min="5" max="6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Amount</t>
        </is>
      </c>
      <c r="D1" s="6" t="inlineStr">
        <is>
          <t>Notes</t>
        </is>
      </c>
      <c r="E1" s="2" t="n"/>
      <c r="F1" s="2" t="n"/>
    </row>
    <row r="2">
      <c r="A2" s="6" t="inlineStr">
        <is>
          <t>21-7-2026</t>
        </is>
      </c>
      <c r="B2" s="6" t="inlineStr">
        <is>
          <t>DEPOSIT</t>
        </is>
      </c>
      <c r="C2" s="7" t="n">
        <v>10000</v>
      </c>
      <c r="D2" s="2" t="n"/>
      <c r="E2" s="2" t="n"/>
      <c r="F2" s="2" t="n"/>
    </row>
    <row r="3">
      <c r="A3" s="6" t="inlineStr">
        <is>
          <t>2026-07-22</t>
        </is>
      </c>
      <c r="B3" s="6" t="inlineStr">
        <is>
          <t>WITHDRAWAL</t>
        </is>
      </c>
      <c r="C3" s="7" t="n">
        <v>1.76</v>
      </c>
      <c r="D3" s="6" t="inlineStr">
        <is>
          <t>Brokerage &amp; taxes on SONACOMS BUY (2 qty @ 734.70)</t>
        </is>
      </c>
      <c r="E3" s="2" t="n"/>
      <c r="F3" s="2" t="n"/>
    </row>
    <row r="4">
      <c r="A4" s="6" t="inlineStr">
        <is>
          <t>2026-07-22</t>
        </is>
      </c>
      <c r="B4" s="6" t="inlineStr">
        <is>
          <t>WITHDRAWAL</t>
        </is>
      </c>
      <c r="C4" s="7" t="n">
        <v>1.52</v>
      </c>
      <c r="D4" s="6" t="inlineStr">
        <is>
          <t>Brokerage &amp; taxes on JSWSTEEL BUY (1 qty @ 1265.10)</t>
        </is>
      </c>
      <c r="E4" s="2" t="n"/>
      <c r="F4" s="2" t="n"/>
    </row>
    <row r="5">
      <c r="A5" s="6" t="inlineStr">
        <is>
          <t>2026-07-24</t>
        </is>
      </c>
      <c r="B5" s="6" t="inlineStr">
        <is>
          <t>WITHDRAWAL</t>
        </is>
      </c>
      <c r="C5" s="7" t="n">
        <v>181.62</v>
      </c>
      <c r="D5" s="6" t="inlineStr">
        <is>
          <t>Adjustment: Brokerage &amp; taxes on past completed trades (SUNPHARMA, JSWSTEEL, TECHM)</t>
        </is>
      </c>
      <c r="E5" s="2" t="n"/>
      <c r="F5" s="2" t="n"/>
    </row>
    <row r="6">
      <c r="A6" s="6" t="inlineStr">
        <is>
          <t>2026-07-27</t>
        </is>
      </c>
      <c r="B6" s="6" t="inlineStr">
        <is>
          <t>WITHDRAWAL</t>
        </is>
      </c>
      <c r="C6" s="7" t="n">
        <v>1.89</v>
      </c>
      <c r="D6" s="6" t="inlineStr">
        <is>
          <t>Brokerage &amp; taxes on TECHM BUY (1 qty @ 1579.00)</t>
        </is>
      </c>
      <c r="E6" s="2" t="n"/>
      <c r="F6" s="2" t="n"/>
    </row>
    <row r="7">
      <c r="A7" s="6" t="inlineStr">
        <is>
          <t>2026-07-31</t>
        </is>
      </c>
      <c r="B7" s="6" t="inlineStr">
        <is>
          <t>WITHDRAWAL</t>
        </is>
      </c>
      <c r="C7" s="7" t="n">
        <v>1.76</v>
      </c>
      <c r="D7" s="6" t="inlineStr">
        <is>
          <t>Brokerage &amp; taxes on BERGEPAINT BUY</t>
        </is>
      </c>
      <c r="E7" s="2" t="n"/>
      <c r="F7" s="2" t="n"/>
    </row>
    <row r="8">
      <c r="A8" s="6" t="inlineStr">
        <is>
          <t>2026-08-03</t>
        </is>
      </c>
      <c r="B8" s="6" t="inlineStr">
        <is>
          <t>WITHDRAWAL</t>
        </is>
      </c>
      <c r="C8" s="7" t="n">
        <v>0.61</v>
      </c>
      <c r="D8" s="6" t="inlineStr">
        <is>
          <t>Brokerage &amp; taxes on ADVANCE BUY (4 qty @ 127.80)</t>
        </is>
      </c>
      <c r="E8" s="2" t="n"/>
      <c r="F8" s="2" t="n"/>
    </row>
    <row r="9">
      <c r="A9" s="6" t="inlineStr">
        <is>
          <t>2026-08-03</t>
        </is>
      </c>
      <c r="B9" s="6" t="inlineStr">
        <is>
          <t>WITHDRAWAL</t>
        </is>
      </c>
      <c r="C9" s="7" t="n">
        <v>0.12</v>
      </c>
      <c r="D9" s="6" t="inlineStr">
        <is>
          <t>Brokerage &amp; taxes on ADVANCE BUY (1 qty @ 100.00)</t>
        </is>
      </c>
      <c r="E9" s="2" t="n"/>
      <c r="F9" s="2" t="n"/>
    </row>
    <row r="10">
      <c r="A10" s="6" t="inlineStr">
        <is>
          <t>2026-08-04</t>
        </is>
      </c>
      <c r="B10" s="6" t="inlineStr">
        <is>
          <t>WITHDRAWAL</t>
        </is>
      </c>
      <c r="C10" s="7" t="n">
        <v>1.84</v>
      </c>
      <c r="D10" s="6" t="inlineStr">
        <is>
          <t>Brokerage &amp; taxes on NESTLEIND BUY (1 qty @ 1530.00)</t>
        </is>
      </c>
      <c r="E10" s="2" t="n"/>
      <c r="F10" s="2" t="n"/>
    </row>
    <row r="11">
      <c r="A11" s="6" t="inlineStr">
        <is>
          <t>2026-08-04</t>
        </is>
      </c>
      <c r="B11" s="6" t="inlineStr">
        <is>
          <t>WITHDRAWAL</t>
        </is>
      </c>
      <c r="C11" s="7" t="n">
        <v>1.97</v>
      </c>
      <c r="D11" s="6" t="inlineStr">
        <is>
          <t>Brokerage &amp; taxes on PIDILITIND BUY (1 qty @ 1642.50)</t>
        </is>
      </c>
      <c r="E11" s="2" t="n"/>
      <c r="F11" s="2" t="n"/>
    </row>
    <row r="12">
      <c r="A12" s="6" t="inlineStr">
        <is>
          <t>2026-08-04</t>
        </is>
      </c>
      <c r="B12" s="6" t="inlineStr">
        <is>
          <t>WITHDRAWAL</t>
        </is>
      </c>
      <c r="C12" s="7" t="n">
        <v>1.83</v>
      </c>
      <c r="D12" s="6" t="inlineStr">
        <is>
          <t>Brokerage &amp; taxes on NESTLEIND SELL (1 qty @ 1520.10)</t>
        </is>
      </c>
      <c r="E12" s="2" t="n"/>
      <c r="F12" s="2" t="n"/>
    </row>
    <row r="13">
      <c r="A13" s="6" t="inlineStr">
        <is>
          <t>2026-08-04</t>
        </is>
      </c>
      <c r="B13" s="6" t="inlineStr">
        <is>
          <t>WITHDRAWAL</t>
        </is>
      </c>
      <c r="C13" s="7" t="n">
        <v>1.96</v>
      </c>
      <c r="D13" s="6" t="inlineStr">
        <is>
          <t>Brokerage &amp; taxes on PIDILITIND SELL (1 qty @ 1634.50)</t>
        </is>
      </c>
      <c r="E13" s="2" t="n"/>
      <c r="F13" s="2" t="n"/>
    </row>
    <row r="14">
      <c r="A14" s="6" t="inlineStr">
        <is>
          <t>2026-08-05</t>
        </is>
      </c>
      <c r="B14" s="6" t="inlineStr">
        <is>
          <t>WITHDRAWAL</t>
        </is>
      </c>
      <c r="C14" s="7" t="n">
        <v>0.84</v>
      </c>
      <c r="D14" s="6" t="inlineStr">
        <is>
          <t>Brokerage &amp; taxes on VISAKAIND BUY (8 qty @ 86.99)</t>
        </is>
      </c>
      <c r="E14" s="2" t="n"/>
      <c r="F14" s="2" t="n"/>
    </row>
    <row r="15">
      <c r="A15" s="6" t="inlineStr">
        <is>
          <t>2026-08-05</t>
        </is>
      </c>
      <c r="B15" s="6" t="inlineStr">
        <is>
          <t>WITHDRAWAL</t>
        </is>
      </c>
      <c r="C15" s="7" t="n">
        <v>0.8</v>
      </c>
      <c r="D15" s="6" t="inlineStr">
        <is>
          <t>Brokerage &amp; taxes on EXCELSOFT BUY (8 qty @ 82.99)</t>
        </is>
      </c>
      <c r="E15" s="2" t="n"/>
      <c r="F15" s="2" t="n"/>
    </row>
    <row r="16">
      <c r="A16" s="6" t="inlineStr">
        <is>
          <t>2026-08-05</t>
        </is>
      </c>
      <c r="B16" s="6" t="inlineStr">
        <is>
          <t>WITHDRAWAL</t>
        </is>
      </c>
      <c r="C16" s="7" t="n">
        <v>0.79</v>
      </c>
      <c r="D16" s="6" t="inlineStr">
        <is>
          <t>Brokerage &amp; taxes on EXCELSOFT BUY (8 qty @ 82.50)</t>
        </is>
      </c>
      <c r="E16" s="2" t="n"/>
      <c r="F16" s="2" t="n"/>
    </row>
    <row r="17">
      <c r="A17" s="6" t="inlineStr">
        <is>
          <t>2026-08-05</t>
        </is>
      </c>
      <c r="B17" s="6" t="inlineStr">
        <is>
          <t>WITHDRAWAL</t>
        </is>
      </c>
      <c r="C17" s="7" t="n">
        <v>17.59</v>
      </c>
      <c r="D17" s="6" t="inlineStr">
        <is>
          <t>Brokerage &amp; taxes on SONACOMS SELL (2 qty @ 798.25)</t>
        </is>
      </c>
      <c r="E17" s="2" t="n"/>
      <c r="F17" s="2" t="n"/>
    </row>
    <row r="18">
      <c r="A18" s="6" t="inlineStr">
        <is>
          <t>2026-08-05</t>
        </is>
      </c>
      <c r="B18" s="6" t="inlineStr">
        <is>
          <t>WITHDRAWAL</t>
        </is>
      </c>
      <c r="C18" s="7" t="n">
        <v>1.23</v>
      </c>
      <c r="D18" s="6" t="inlineStr">
        <is>
          <t>Brokerage &amp; taxes on SONATSOFTW BUY (3 qty @ 341.20)</t>
        </is>
      </c>
      <c r="E18" s="2" t="n"/>
      <c r="F18" s="2" t="n"/>
    </row>
    <row r="19">
      <c r="A19" s="6" t="inlineStr">
        <is>
          <t>2026-08-05</t>
        </is>
      </c>
      <c r="B19" s="6" t="inlineStr">
        <is>
          <t>WITHDRAWAL</t>
        </is>
      </c>
      <c r="C19" s="7" t="n">
        <v>1.23</v>
      </c>
      <c r="D19" s="6" t="inlineStr">
        <is>
          <t>Brokerage &amp; taxes on SONATSOFTW BUY (3 qty @ 341.15)</t>
        </is>
      </c>
      <c r="E19" s="2" t="n"/>
      <c r="F19" s="2" t="n"/>
    </row>
    <row r="20">
      <c r="A20" s="6" t="inlineStr">
        <is>
          <t>2026-08-05</t>
        </is>
      </c>
      <c r="B20" s="6" t="inlineStr">
        <is>
          <t>WITHDRAWAL</t>
        </is>
      </c>
      <c r="C20" s="7" t="n">
        <v>1.05</v>
      </c>
      <c r="D20" s="6" t="inlineStr">
        <is>
          <t>Brokerage &amp; taxes on IFGLEXPOR BUY (4 qty @ 219.60)</t>
        </is>
      </c>
      <c r="E20" s="2" t="n"/>
      <c r="F20" s="2" t="n"/>
    </row>
    <row r="21" ht="15.75" customHeight="1" s="57">
      <c r="A21" s="6" t="inlineStr">
        <is>
          <t>2026-08-05</t>
        </is>
      </c>
      <c r="B21" s="6" t="inlineStr">
        <is>
          <t>WITHDRAWAL</t>
        </is>
      </c>
      <c r="C21" s="7" t="n">
        <v>0.97</v>
      </c>
      <c r="D21" s="6" t="inlineStr">
        <is>
          <t>Brokerage &amp; taxes on SAPPHIRE BUY (4 qty @ 202.50)</t>
        </is>
      </c>
      <c r="E21" s="2" t="n"/>
      <c r="F21" s="2" t="n"/>
    </row>
    <row r="22" ht="15.75" customHeight="1" s="57">
      <c r="A22" s="6" t="inlineStr">
        <is>
          <t>2026-08-05</t>
        </is>
      </c>
      <c r="B22" s="6" t="inlineStr">
        <is>
          <t>WITHDRAWAL</t>
        </is>
      </c>
      <c r="C22" s="7" t="n">
        <v>1.27</v>
      </c>
      <c r="D22" s="6" t="inlineStr">
        <is>
          <t>Brokerage &amp; taxes on AEROENTER BUY (8 qty @ 132.15)</t>
        </is>
      </c>
      <c r="E22" s="2" t="n"/>
      <c r="F22" s="2" t="n"/>
    </row>
    <row r="23" ht="15.75" customHeight="1" s="57">
      <c r="A23" s="6" t="inlineStr">
        <is>
          <t>2026-08-05</t>
        </is>
      </c>
      <c r="B23" s="6" t="inlineStr">
        <is>
          <t>WITHDRAWAL</t>
        </is>
      </c>
      <c r="C23" s="7" t="n">
        <v>0.6899999999999999</v>
      </c>
      <c r="D23" s="6" t="inlineStr">
        <is>
          <t>Brokerage &amp; taxes on TATASTEEL BUY (3 qty @ 193.00)</t>
        </is>
      </c>
      <c r="E23" s="2" t="n"/>
      <c r="F23" s="2" t="n"/>
    </row>
    <row r="24" ht="15.75" customHeight="1" s="57">
      <c r="A24" s="6" t="inlineStr">
        <is>
          <t>2026-08-06</t>
        </is>
      </c>
      <c r="B24" s="6" t="inlineStr">
        <is>
          <t>WITHDRAWAL</t>
        </is>
      </c>
      <c r="C24" s="7" t="n">
        <v>1.27</v>
      </c>
      <c r="D24" s="6" t="inlineStr">
        <is>
          <t>Brokerage &amp; taxes on AEROENTER BUY (8 qty @ 132.01)</t>
        </is>
      </c>
      <c r="E24" s="2" t="n"/>
      <c r="F24" s="2" t="n"/>
    </row>
    <row r="25" ht="15.75" customHeight="1" s="57">
      <c r="A25" s="6" t="inlineStr">
        <is>
          <t>2026-08-06</t>
        </is>
      </c>
      <c r="B25" s="6" t="inlineStr">
        <is>
          <t>WITHDRAWAL</t>
        </is>
      </c>
      <c r="C25" s="7" t="n">
        <v>0.23</v>
      </c>
      <c r="D25" s="6" t="inlineStr">
        <is>
          <t>Brokerage &amp; taxes on TATASTEEL BUY (1 qty @ 192.60)</t>
        </is>
      </c>
      <c r="E25" s="2" t="n"/>
      <c r="F25" s="2" t="n"/>
    </row>
    <row r="26" ht="15.75" customHeight="1" s="57">
      <c r="A26" s="6" t="inlineStr">
        <is>
          <t>2026-08-06</t>
        </is>
      </c>
      <c r="B26" s="6" t="inlineStr">
        <is>
          <t>WITHDRAWAL</t>
        </is>
      </c>
      <c r="C26" s="7" t="n">
        <v>16.13</v>
      </c>
      <c r="D26" s="6" t="inlineStr">
        <is>
          <t>Brokerage &amp; taxes on TATASTEEL SELL (1 qty @ 191.65)</t>
        </is>
      </c>
      <c r="E26" s="2" t="n"/>
      <c r="F26" s="2" t="n"/>
    </row>
    <row r="27" ht="15.75" customHeight="1" s="57">
      <c r="A27" s="6" t="inlineStr">
        <is>
          <t>2026-08-10</t>
        </is>
      </c>
      <c r="B27" s="6" t="inlineStr">
        <is>
          <t>WITHDRAWAL</t>
        </is>
      </c>
      <c r="C27" s="7" t="n">
        <v>16.79</v>
      </c>
      <c r="D27" s="6" t="inlineStr">
        <is>
          <t>Brokerage &amp; taxes on VISAKAIND SELL (8 qty @ 103.24)</t>
        </is>
      </c>
      <c r="E27" s="2" t="n"/>
      <c r="F27" s="2" t="n"/>
    </row>
    <row r="28" ht="15.75" customHeight="1" s="57">
      <c r="A28" s="6" t="inlineStr">
        <is>
          <t>2026-08-10</t>
        </is>
      </c>
      <c r="B28" s="6" t="inlineStr">
        <is>
          <t>WITHDRAWAL</t>
        </is>
      </c>
      <c r="C28" s="7" t="n">
        <v>16.92</v>
      </c>
      <c r="D28" s="6" t="inlineStr">
        <is>
          <t>Brokerage &amp; taxes on SONATSOFTW SELL (3 qty @ 316.20)</t>
        </is>
      </c>
      <c r="E28" s="2" t="n"/>
      <c r="F28" s="2" t="n"/>
    </row>
    <row r="29" ht="15.75" customHeight="1" s="57">
      <c r="A29" s="6" t="inlineStr">
        <is>
          <t>2026-08-10</t>
        </is>
      </c>
      <c r="B29" s="6" t="inlineStr">
        <is>
          <t>WITHDRAWAL</t>
        </is>
      </c>
      <c r="C29" s="7" t="n">
        <v>16.58</v>
      </c>
      <c r="D29" s="6" t="inlineStr">
        <is>
          <t>Brokerage &amp; taxes on EXCELSOFT SELL (8 qty @ 77.58)</t>
        </is>
      </c>
      <c r="E29" s="2" t="n"/>
      <c r="F29" s="2" t="n"/>
    </row>
    <row r="30" ht="15.75" customHeight="1" s="57">
      <c r="A30" s="6" t="inlineStr">
        <is>
          <t>2026-08-11</t>
        </is>
      </c>
      <c r="B30" s="6" t="inlineStr">
        <is>
          <t>WITHDRAWAL</t>
        </is>
      </c>
      <c r="C30" s="7" t="n">
        <v>1.56</v>
      </c>
      <c r="D30" s="6" t="inlineStr">
        <is>
          <t>Brokerage &amp; taxes on HARSHA BUY (3 qty @ 432.60)</t>
        </is>
      </c>
      <c r="E30" s="2" t="n"/>
      <c r="F30" s="2" t="n"/>
    </row>
    <row r="31" ht="15.75" customHeight="1" s="57">
      <c r="A31" s="6" t="inlineStr">
        <is>
          <t>2026-08-11</t>
        </is>
      </c>
      <c r="B31" s="6" t="inlineStr">
        <is>
          <t>WITHDRAWAL</t>
        </is>
      </c>
      <c r="C31" s="7" t="n">
        <v>0.99</v>
      </c>
      <c r="D31" s="6" t="inlineStr">
        <is>
          <t>Brokerage &amp; taxes on CONFIPET BUY (10 qty @ 82.74)</t>
        </is>
      </c>
      <c r="E31" s="2" t="n"/>
      <c r="F31" s="2" t="n"/>
    </row>
    <row r="32" ht="15.75" customHeight="1" s="57">
      <c r="A32" s="2" t="inlineStr">
        <is>
          <t>2026-08-12</t>
        </is>
      </c>
      <c r="B32" s="2" t="inlineStr">
        <is>
          <t>WITHDRAWAL</t>
        </is>
      </c>
      <c r="C32" s="7" t="n">
        <v>2.44</v>
      </c>
      <c r="D32" s="2" t="inlineStr">
        <is>
          <t>Brokerage &amp; taxes on BEL BUY (5 qty @ 405.85)</t>
        </is>
      </c>
      <c r="E32" s="2" t="n"/>
      <c r="F32" s="2" t="n"/>
    </row>
    <row r="33" ht="15.75" customHeight="1" s="57">
      <c r="A33" s="2" t="inlineStr">
        <is>
          <t>2026-08-12</t>
        </is>
      </c>
      <c r="B33" s="2" t="inlineStr">
        <is>
          <t>WITHDRAWAL</t>
        </is>
      </c>
      <c r="C33" s="7" t="n">
        <v>16.67</v>
      </c>
      <c r="D33" s="2" t="inlineStr">
        <is>
          <t>Brokerage &amp; taxes on SAPPHIRE SELL (3 qty @ 236.75)</t>
        </is>
      </c>
      <c r="E33" s="2" t="n"/>
      <c r="F33" s="2" t="n"/>
    </row>
    <row r="34" ht="15.75" customHeight="1" s="57">
      <c r="A34" s="2" t="inlineStr">
        <is>
          <t>2026-08-12</t>
        </is>
      </c>
      <c r="B34" s="2" t="inlineStr">
        <is>
          <t>WITHDRAWAL</t>
        </is>
      </c>
      <c r="C34" s="7" t="n">
        <v>3.87</v>
      </c>
      <c r="D34" s="2" t="inlineStr">
        <is>
          <t>Brokerage &amp; taxes on CLEAN BUY (4 qty @ 806.25)</t>
        </is>
      </c>
      <c r="E34" s="2" t="n"/>
      <c r="F34" s="2" t="n"/>
    </row>
    <row r="35" ht="15.75" customHeight="1" s="57">
      <c r="A35" s="2" t="inlineStr">
        <is>
          <t>2026-08-12</t>
        </is>
      </c>
      <c r="B35" s="2" t="inlineStr">
        <is>
          <t>WITHDRAWAL</t>
        </is>
      </c>
      <c r="C35" s="7" t="n">
        <v>16.7</v>
      </c>
      <c r="D35" s="2" t="inlineStr">
        <is>
          <t>Brokerage &amp; taxes on CONFIPET SELL (10 qty @ 74.45)</t>
        </is>
      </c>
      <c r="E35" s="2" t="n"/>
      <c r="F35" s="2" t="n"/>
    </row>
    <row r="36" ht="15.75" customHeight="1" s="57">
      <c r="A36" s="2" t="n"/>
      <c r="B36" s="2" t="n"/>
      <c r="C36" s="2" t="n"/>
      <c r="D36" s="2" t="n"/>
      <c r="E36" s="2" t="n"/>
      <c r="F36" s="2" t="n"/>
    </row>
    <row r="37" ht="15.75" customHeight="1" s="57">
      <c r="A37" s="2" t="n"/>
      <c r="B37" s="2" t="n"/>
      <c r="C37" s="2" t="n"/>
      <c r="D37" s="2" t="n"/>
      <c r="E37" s="2" t="n"/>
      <c r="F37" s="2" t="n"/>
    </row>
    <row r="38" ht="15.75" customHeight="1" s="57">
      <c r="A38" s="2" t="n"/>
      <c r="B38" s="2" t="n"/>
      <c r="C38" s="2" t="n"/>
      <c r="D38" s="2" t="n"/>
      <c r="E38" s="2" t="n"/>
      <c r="F38" s="2" t="n"/>
    </row>
    <row r="39" ht="15.75" customHeight="1" s="57">
      <c r="A39" s="2" t="n"/>
      <c r="B39" s="2" t="n"/>
      <c r="C39" s="2" t="n"/>
      <c r="D39" s="2" t="n"/>
      <c r="E39" s="2" t="n"/>
      <c r="F39" s="2" t="n"/>
    </row>
    <row r="40" ht="15.75" customHeight="1" s="57">
      <c r="A40" s="2" t="n"/>
      <c r="B40" s="2" t="n"/>
      <c r="C40" s="2" t="n"/>
      <c r="D40" s="2" t="n"/>
      <c r="E40" s="2" t="n"/>
      <c r="F40" s="2" t="n"/>
    </row>
    <row r="41" ht="15.75" customHeight="1" s="57">
      <c r="A41" s="2" t="n"/>
      <c r="B41" s="2" t="n"/>
      <c r="C41" s="2" t="n"/>
      <c r="D41" s="2" t="n"/>
      <c r="E41" s="2" t="n"/>
      <c r="F41" s="2" t="n"/>
    </row>
    <row r="42" ht="15.75" customHeight="1" s="57">
      <c r="A42" s="2" t="n"/>
      <c r="B42" s="2" t="n"/>
      <c r="C42" s="2" t="n"/>
      <c r="D42" s="2" t="n"/>
      <c r="E42" s="2" t="n"/>
      <c r="F42" s="2" t="n"/>
    </row>
    <row r="43" ht="15.75" customHeight="1" s="57">
      <c r="A43" s="2" t="n"/>
      <c r="B43" s="2" t="n"/>
      <c r="C43" s="2" t="n"/>
      <c r="D43" s="2" t="n"/>
      <c r="E43" s="2" t="n"/>
      <c r="F43" s="2" t="n"/>
    </row>
    <row r="44" ht="15.75" customHeight="1" s="57">
      <c r="A44" s="2" t="n"/>
      <c r="B44" s="2" t="n"/>
      <c r="C44" s="2" t="n"/>
      <c r="D44" s="2" t="n"/>
      <c r="E44" s="2" t="n"/>
      <c r="F44" s="2" t="n"/>
    </row>
    <row r="45" ht="15.75" customHeight="1" s="57">
      <c r="A45" s="2" t="n"/>
      <c r="B45" s="2" t="n"/>
      <c r="C45" s="2" t="n"/>
      <c r="D45" s="2" t="n"/>
      <c r="E45" s="2" t="n"/>
      <c r="F45" s="2" t="n"/>
    </row>
    <row r="46" ht="15.75" customHeight="1" s="57">
      <c r="A46" s="2" t="n"/>
      <c r="B46" s="2" t="n"/>
      <c r="C46" s="2" t="n"/>
      <c r="D46" s="2" t="n"/>
      <c r="E46" s="2" t="n"/>
      <c r="F46" s="2" t="n"/>
    </row>
    <row r="47" ht="15.75" customHeight="1" s="57">
      <c r="A47" s="2" t="n"/>
      <c r="B47" s="2" t="n"/>
      <c r="C47" s="2" t="n"/>
      <c r="D47" s="2" t="n"/>
      <c r="E47" s="2" t="n"/>
      <c r="F47" s="2" t="n"/>
    </row>
    <row r="48" ht="15.75" customHeight="1" s="57">
      <c r="A48" s="2" t="n"/>
      <c r="B48" s="2" t="n"/>
      <c r="C48" s="2" t="n"/>
      <c r="D48" s="2" t="n"/>
      <c r="E48" s="2" t="n"/>
      <c r="F48" s="2" t="n"/>
    </row>
    <row r="49" ht="15.75" customHeight="1" s="57">
      <c r="A49" s="2" t="n"/>
      <c r="B49" s="2" t="n"/>
      <c r="C49" s="2" t="n"/>
      <c r="D49" s="2" t="n"/>
      <c r="E49" s="2" t="n"/>
      <c r="F49" s="2" t="n"/>
    </row>
    <row r="50" ht="15.75" customHeight="1" s="57">
      <c r="A50" s="2" t="n"/>
      <c r="B50" s="2" t="n"/>
      <c r="C50" s="2" t="n"/>
      <c r="D50" s="2" t="n"/>
      <c r="E50" s="2" t="n"/>
      <c r="F50" s="2" t="n"/>
    </row>
    <row r="51" ht="15.75" customHeight="1" s="57">
      <c r="A51" s="2" t="n"/>
      <c r="B51" s="2" t="n"/>
      <c r="C51" s="2" t="n"/>
      <c r="D51" s="2" t="n"/>
      <c r="E51" s="2" t="n"/>
      <c r="F51" s="2" t="n"/>
    </row>
    <row r="52" ht="15.75" customHeight="1" s="57">
      <c r="A52" s="2" t="n"/>
      <c r="B52" s="2" t="n"/>
      <c r="C52" s="2" t="n"/>
      <c r="D52" s="2" t="n"/>
      <c r="E52" s="2" t="n"/>
      <c r="F52" s="2" t="n"/>
    </row>
    <row r="53" ht="15.75" customHeight="1" s="57">
      <c r="A53" s="2" t="n"/>
      <c r="B53" s="2" t="n"/>
      <c r="C53" s="2" t="n"/>
      <c r="D53" s="2" t="n"/>
      <c r="E53" s="2" t="n"/>
      <c r="F53" s="2" t="n"/>
    </row>
    <row r="54" ht="15.75" customHeight="1" s="57">
      <c r="A54" s="2" t="n"/>
      <c r="B54" s="2" t="n"/>
      <c r="C54" s="2" t="n"/>
      <c r="D54" s="2" t="n"/>
      <c r="E54" s="2" t="n"/>
      <c r="F54" s="2" t="n"/>
    </row>
    <row r="55" ht="15.75" customHeight="1" s="57">
      <c r="A55" s="2" t="n"/>
      <c r="B55" s="2" t="n"/>
      <c r="C55" s="2" t="n"/>
      <c r="D55" s="2" t="n"/>
      <c r="E55" s="2" t="n"/>
      <c r="F55" s="2" t="n"/>
    </row>
    <row r="56" ht="15.75" customHeight="1" s="57">
      <c r="A56" s="2" t="n"/>
      <c r="B56" s="2" t="n"/>
      <c r="C56" s="2" t="n"/>
      <c r="D56" s="2" t="n"/>
      <c r="E56" s="2" t="n"/>
      <c r="F56" s="2" t="n"/>
    </row>
    <row r="57" ht="15.75" customHeight="1" s="57">
      <c r="A57" s="2" t="n"/>
      <c r="B57" s="2" t="n"/>
      <c r="C57" s="2" t="n"/>
      <c r="D57" s="2" t="n"/>
      <c r="E57" s="2" t="n"/>
      <c r="F57" s="2" t="n"/>
    </row>
    <row r="58" ht="15.75" customHeight="1" s="57">
      <c r="A58" s="2" t="n"/>
      <c r="B58" s="2" t="n"/>
      <c r="C58" s="2" t="n"/>
      <c r="D58" s="2" t="n"/>
      <c r="E58" s="2" t="n"/>
      <c r="F58" s="2" t="n"/>
    </row>
    <row r="59" ht="15.75" customHeight="1" s="57">
      <c r="A59" s="2" t="n"/>
      <c r="B59" s="2" t="n"/>
      <c r="C59" s="2" t="n"/>
      <c r="D59" s="2" t="n"/>
      <c r="E59" s="2" t="n"/>
      <c r="F59" s="2" t="n"/>
    </row>
    <row r="60" ht="15.75" customHeight="1" s="57">
      <c r="A60" s="2" t="n"/>
      <c r="B60" s="2" t="n"/>
      <c r="C60" s="2" t="n"/>
      <c r="D60" s="2" t="n"/>
      <c r="E60" s="2" t="n"/>
      <c r="F60" s="2" t="n"/>
    </row>
    <row r="61" ht="15.75" customHeight="1" s="57">
      <c r="A61" s="2" t="n"/>
      <c r="B61" s="2" t="n"/>
      <c r="C61" s="2" t="n"/>
      <c r="D61" s="2" t="n"/>
      <c r="E61" s="2" t="n"/>
      <c r="F61" s="2" t="n"/>
    </row>
    <row r="62" ht="15.75" customHeight="1" s="57">
      <c r="A62" s="2" t="n"/>
      <c r="B62" s="2" t="n"/>
      <c r="C62" s="2" t="n"/>
      <c r="D62" s="2" t="n"/>
      <c r="E62" s="2" t="n"/>
      <c r="F62" s="2" t="n"/>
    </row>
    <row r="63" ht="15.75" customHeight="1" s="57">
      <c r="A63" s="2" t="n"/>
      <c r="B63" s="2" t="n"/>
      <c r="C63" s="2" t="n"/>
      <c r="D63" s="2" t="n"/>
      <c r="E63" s="2" t="n"/>
      <c r="F63" s="2" t="n"/>
    </row>
    <row r="64" ht="15.75" customHeight="1" s="57">
      <c r="A64" s="2" t="n"/>
      <c r="B64" s="2" t="n"/>
      <c r="C64" s="2" t="n"/>
      <c r="D64" s="2" t="n"/>
      <c r="E64" s="2" t="n"/>
      <c r="F64" s="2" t="n"/>
    </row>
    <row r="65" ht="15.75" customHeight="1" s="57">
      <c r="A65" s="2" t="n"/>
      <c r="B65" s="2" t="n"/>
      <c r="C65" s="2" t="n"/>
      <c r="D65" s="2" t="n"/>
      <c r="E65" s="2" t="n"/>
      <c r="F65" s="2" t="n"/>
    </row>
    <row r="66" ht="15.75" customHeight="1" s="57">
      <c r="A66" s="2" t="n"/>
      <c r="B66" s="2" t="n"/>
      <c r="C66" s="2" t="n"/>
      <c r="D66" s="2" t="n"/>
      <c r="E66" s="2" t="n"/>
      <c r="F66" s="2" t="n"/>
    </row>
    <row r="67" ht="15.75" customHeight="1" s="57">
      <c r="A67" s="2" t="n"/>
      <c r="B67" s="2" t="n"/>
      <c r="C67" s="2" t="n"/>
      <c r="D67" s="2" t="n"/>
      <c r="E67" s="2" t="n"/>
      <c r="F67" s="2" t="n"/>
    </row>
    <row r="68" ht="15.75" customHeight="1" s="57">
      <c r="A68" s="2" t="n"/>
      <c r="B68" s="2" t="n"/>
      <c r="C68" s="2" t="n"/>
      <c r="D68" s="2" t="n"/>
      <c r="E68" s="2" t="n"/>
      <c r="F68" s="2" t="n"/>
    </row>
    <row r="69" ht="15.75" customHeight="1" s="57">
      <c r="A69" s="2" t="n"/>
      <c r="B69" s="2" t="n"/>
      <c r="C69" s="2" t="n"/>
      <c r="D69" s="2" t="n"/>
      <c r="E69" s="2" t="n"/>
      <c r="F69" s="2" t="n"/>
    </row>
    <row r="70" ht="15.75" customHeight="1" s="57">
      <c r="A70" s="2" t="n"/>
      <c r="B70" s="2" t="n"/>
      <c r="C70" s="2" t="n"/>
      <c r="D70" s="2" t="n"/>
      <c r="E70" s="2" t="n"/>
      <c r="F70" s="2" t="n"/>
    </row>
    <row r="71" ht="15.75" customHeight="1" s="57">
      <c r="A71" s="2" t="n"/>
      <c r="B71" s="2" t="n"/>
      <c r="C71" s="2" t="n"/>
      <c r="D71" s="2" t="n"/>
      <c r="E71" s="2" t="n"/>
      <c r="F71" s="2" t="n"/>
    </row>
    <row r="72" ht="15.75" customHeight="1" s="57">
      <c r="A72" s="2" t="n"/>
      <c r="B72" s="2" t="n"/>
      <c r="C72" s="2" t="n"/>
      <c r="D72" s="2" t="n"/>
      <c r="E72" s="2" t="n"/>
      <c r="F72" s="2" t="n"/>
    </row>
    <row r="73" ht="15.75" customHeight="1" s="57">
      <c r="A73" s="2" t="n"/>
      <c r="B73" s="2" t="n"/>
      <c r="C73" s="2" t="n"/>
      <c r="D73" s="2" t="n"/>
      <c r="E73" s="2" t="n"/>
      <c r="F73" s="2" t="n"/>
    </row>
    <row r="74" ht="15.75" customHeight="1" s="57">
      <c r="A74" s="2" t="n"/>
      <c r="B74" s="2" t="n"/>
      <c r="C74" s="2" t="n"/>
      <c r="D74" s="2" t="n"/>
      <c r="E74" s="2" t="n"/>
      <c r="F74" s="2" t="n"/>
    </row>
    <row r="75" ht="15.75" customHeight="1" s="57">
      <c r="A75" s="2" t="n"/>
      <c r="B75" s="2" t="n"/>
      <c r="C75" s="2" t="n"/>
      <c r="D75" s="2" t="n"/>
      <c r="E75" s="2" t="n"/>
      <c r="F75" s="2" t="n"/>
    </row>
    <row r="76" ht="15.75" customHeight="1" s="57">
      <c r="A76" s="2" t="n"/>
      <c r="B76" s="2" t="n"/>
      <c r="C76" s="2" t="n"/>
      <c r="D76" s="2" t="n"/>
      <c r="E76" s="2" t="n"/>
      <c r="F76" s="2" t="n"/>
    </row>
    <row r="77" ht="15.75" customHeight="1" s="57">
      <c r="A77" s="2" t="n"/>
      <c r="B77" s="2" t="n"/>
      <c r="C77" s="2" t="n"/>
      <c r="D77" s="2" t="n"/>
      <c r="E77" s="2" t="n"/>
      <c r="F77" s="2" t="n"/>
    </row>
    <row r="78" ht="15.75" customHeight="1" s="57">
      <c r="A78" s="2" t="n"/>
      <c r="B78" s="2" t="n"/>
      <c r="C78" s="2" t="n"/>
      <c r="D78" s="2" t="n"/>
      <c r="E78" s="2" t="n"/>
      <c r="F78" s="2" t="n"/>
    </row>
    <row r="79" ht="15.75" customHeight="1" s="57">
      <c r="A79" s="2" t="n"/>
      <c r="B79" s="2" t="n"/>
      <c r="C79" s="2" t="n"/>
      <c r="D79" s="2" t="n"/>
      <c r="E79" s="2" t="n"/>
      <c r="F79" s="2" t="n"/>
    </row>
    <row r="80" ht="15.75" customHeight="1" s="57">
      <c r="A80" s="2" t="n"/>
      <c r="B80" s="2" t="n"/>
      <c r="C80" s="2" t="n"/>
      <c r="D80" s="2" t="n"/>
      <c r="E80" s="2" t="n"/>
      <c r="F80" s="2" t="n"/>
    </row>
    <row r="81" ht="15.75" customHeight="1" s="57">
      <c r="A81" s="2" t="n"/>
      <c r="B81" s="2" t="n"/>
      <c r="C81" s="2" t="n"/>
      <c r="D81" s="2" t="n"/>
      <c r="E81" s="2" t="n"/>
      <c r="F81" s="2" t="n"/>
    </row>
    <row r="82" ht="15.75" customHeight="1" s="57">
      <c r="A82" s="2" t="n"/>
      <c r="B82" s="2" t="n"/>
      <c r="C82" s="2" t="n"/>
      <c r="D82" s="2" t="n"/>
      <c r="E82" s="2" t="n"/>
      <c r="F82" s="2" t="n"/>
    </row>
    <row r="83" ht="15.75" customHeight="1" s="57">
      <c r="A83" s="2" t="n"/>
      <c r="B83" s="2" t="n"/>
      <c r="C83" s="2" t="n"/>
      <c r="D83" s="2" t="n"/>
      <c r="E83" s="2" t="n"/>
      <c r="F83" s="2" t="n"/>
    </row>
    <row r="84" ht="15.75" customHeight="1" s="57">
      <c r="A84" s="2" t="n"/>
      <c r="B84" s="2" t="n"/>
      <c r="C84" s="2" t="n"/>
      <c r="D84" s="2" t="n"/>
      <c r="E84" s="2" t="n"/>
      <c r="F84" s="2" t="n"/>
    </row>
    <row r="85" ht="15.75" customHeight="1" s="57">
      <c r="A85" s="2" t="n"/>
      <c r="B85" s="2" t="n"/>
      <c r="C85" s="2" t="n"/>
      <c r="D85" s="2" t="n"/>
      <c r="E85" s="2" t="n"/>
      <c r="F85" s="2" t="n"/>
    </row>
    <row r="86" ht="15.75" customHeight="1" s="57">
      <c r="A86" s="2" t="n"/>
      <c r="B86" s="2" t="n"/>
      <c r="C86" s="2" t="n"/>
      <c r="D86" s="2" t="n"/>
      <c r="E86" s="2" t="n"/>
      <c r="F86" s="2" t="n"/>
    </row>
    <row r="87" ht="15.75" customHeight="1" s="57">
      <c r="A87" s="2" t="n"/>
      <c r="B87" s="2" t="n"/>
      <c r="C87" s="2" t="n"/>
      <c r="D87" s="2" t="n"/>
      <c r="E87" s="2" t="n"/>
      <c r="F87" s="2" t="n"/>
    </row>
    <row r="88" ht="15.75" customHeight="1" s="57">
      <c r="A88" s="2" t="n"/>
      <c r="B88" s="2" t="n"/>
      <c r="C88" s="2" t="n"/>
      <c r="D88" s="2" t="n"/>
      <c r="E88" s="2" t="n"/>
      <c r="F88" s="2" t="n"/>
    </row>
    <row r="89" ht="15.75" customHeight="1" s="57">
      <c r="A89" s="2" t="n"/>
      <c r="B89" s="2" t="n"/>
      <c r="C89" s="2" t="n"/>
      <c r="D89" s="2" t="n"/>
      <c r="E89" s="2" t="n"/>
      <c r="F89" s="2" t="n"/>
    </row>
    <row r="90" ht="15.75" customHeight="1" s="57">
      <c r="A90" s="2" t="n"/>
      <c r="B90" s="2" t="n"/>
      <c r="C90" s="2" t="n"/>
      <c r="D90" s="2" t="n"/>
      <c r="E90" s="2" t="n"/>
      <c r="F90" s="2" t="n"/>
    </row>
    <row r="91" ht="15.75" customHeight="1" s="57">
      <c r="A91" s="2" t="n"/>
      <c r="B91" s="2" t="n"/>
      <c r="C91" s="2" t="n"/>
      <c r="D91" s="2" t="n"/>
      <c r="E91" s="2" t="n"/>
      <c r="F91" s="2" t="n"/>
    </row>
    <row r="92" ht="15.75" customHeight="1" s="57">
      <c r="A92" s="2" t="n"/>
      <c r="B92" s="2" t="n"/>
      <c r="C92" s="2" t="n"/>
      <c r="D92" s="2" t="n"/>
      <c r="E92" s="2" t="n"/>
      <c r="F92" s="2" t="n"/>
    </row>
    <row r="93" ht="15.75" customHeight="1" s="57">
      <c r="A93" s="2" t="n"/>
      <c r="B93" s="2" t="n"/>
      <c r="C93" s="2" t="n"/>
      <c r="D93" s="2" t="n"/>
      <c r="E93" s="2" t="n"/>
      <c r="F93" s="2" t="n"/>
    </row>
    <row r="94" ht="15.75" customHeight="1" s="57">
      <c r="A94" s="2" t="n"/>
      <c r="B94" s="2" t="n"/>
      <c r="C94" s="2" t="n"/>
      <c r="D94" s="2" t="n"/>
      <c r="E94" s="2" t="n"/>
      <c r="F94" s="2" t="n"/>
    </row>
    <row r="95" ht="15.75" customHeight="1" s="57">
      <c r="A95" s="2" t="n"/>
      <c r="B95" s="2" t="n"/>
      <c r="C95" s="2" t="n"/>
      <c r="D95" s="2" t="n"/>
      <c r="E95" s="2" t="n"/>
      <c r="F95" s="2" t="n"/>
    </row>
    <row r="96" ht="15.75" customHeight="1" s="57">
      <c r="A96" s="2" t="n"/>
      <c r="B96" s="2" t="n"/>
      <c r="C96" s="2" t="n"/>
      <c r="D96" s="2" t="n"/>
      <c r="E96" s="2" t="n"/>
      <c r="F96" s="2" t="n"/>
    </row>
    <row r="97" ht="15.75" customHeight="1" s="57">
      <c r="A97" s="2" t="n"/>
      <c r="B97" s="2" t="n"/>
      <c r="C97" s="2" t="n"/>
      <c r="D97" s="2" t="n"/>
      <c r="E97" s="2" t="n"/>
      <c r="F97" s="2" t="n"/>
    </row>
    <row r="98" ht="15.75" customHeight="1" s="57">
      <c r="A98" s="2" t="n"/>
      <c r="B98" s="2" t="n"/>
      <c r="C98" s="2" t="n"/>
      <c r="D98" s="2" t="n"/>
      <c r="E98" s="2" t="n"/>
      <c r="F98" s="2" t="n"/>
    </row>
    <row r="99" ht="15.75" customHeight="1" s="57">
      <c r="A99" s="2" t="n"/>
      <c r="B99" s="2" t="n"/>
      <c r="C99" s="2" t="n"/>
      <c r="D99" s="2" t="n"/>
      <c r="E99" s="2" t="n"/>
      <c r="F99" s="2" t="n"/>
    </row>
    <row r="100" ht="15.75" customHeight="1" s="57">
      <c r="A100" s="2" t="n"/>
      <c r="B100" s="2" t="n"/>
      <c r="C100" s="2" t="n"/>
      <c r="D100" s="2" t="n"/>
      <c r="E100" s="2" t="n"/>
      <c r="F100" s="2" t="n"/>
    </row>
    <row r="101" ht="15.75" customHeight="1" s="57">
      <c r="A101" s="2" t="n"/>
      <c r="B101" s="2" t="n"/>
      <c r="C101" s="2" t="n"/>
      <c r="D101" s="2" t="n"/>
      <c r="E101" s="2" t="n"/>
      <c r="F101" s="2" t="n"/>
    </row>
    <row r="102" ht="15.75" customHeight="1" s="57">
      <c r="A102" s="2" t="n"/>
      <c r="B102" s="2" t="n"/>
      <c r="C102" s="2" t="n"/>
      <c r="D102" s="2" t="n"/>
      <c r="E102" s="2" t="n"/>
      <c r="F102" s="2" t="n"/>
    </row>
    <row r="103" ht="15.75" customHeight="1" s="57">
      <c r="A103" s="2" t="n"/>
      <c r="B103" s="2" t="n"/>
      <c r="C103" s="2" t="n"/>
      <c r="D103" s="2" t="n"/>
      <c r="E103" s="2" t="n"/>
      <c r="F103" s="2" t="n"/>
    </row>
    <row r="104" ht="15.75" customHeight="1" s="57">
      <c r="A104" s="2" t="n"/>
      <c r="B104" s="2" t="n"/>
      <c r="C104" s="2" t="n"/>
      <c r="D104" s="2" t="n"/>
      <c r="E104" s="2" t="n"/>
      <c r="F104" s="2" t="n"/>
    </row>
    <row r="105" ht="15.75" customHeight="1" s="57">
      <c r="A105" s="2" t="n"/>
      <c r="B105" s="2" t="n"/>
      <c r="C105" s="2" t="n"/>
      <c r="D105" s="2" t="n"/>
      <c r="E105" s="2" t="n"/>
      <c r="F105" s="2" t="n"/>
    </row>
    <row r="106" ht="15.75" customHeight="1" s="57">
      <c r="A106" s="2" t="n"/>
      <c r="B106" s="2" t="n"/>
      <c r="C106" s="2" t="n"/>
      <c r="D106" s="2" t="n"/>
      <c r="E106" s="2" t="n"/>
      <c r="F106" s="2" t="n"/>
    </row>
    <row r="107" ht="15.75" customHeight="1" s="57">
      <c r="A107" s="2" t="n"/>
      <c r="B107" s="2" t="n"/>
      <c r="C107" s="2" t="n"/>
      <c r="D107" s="2" t="n"/>
      <c r="E107" s="2" t="n"/>
      <c r="F107" s="2" t="n"/>
    </row>
    <row r="108" ht="15.75" customHeight="1" s="57">
      <c r="A108" s="2" t="n"/>
      <c r="B108" s="2" t="n"/>
      <c r="C108" s="2" t="n"/>
      <c r="D108" s="2" t="n"/>
      <c r="E108" s="2" t="n"/>
      <c r="F108" s="2" t="n"/>
    </row>
    <row r="109" ht="15.75" customHeight="1" s="57">
      <c r="A109" s="2" t="n"/>
      <c r="B109" s="2" t="n"/>
      <c r="C109" s="2" t="n"/>
      <c r="D109" s="2" t="n"/>
      <c r="E109" s="2" t="n"/>
      <c r="F109" s="2" t="n"/>
    </row>
    <row r="110" ht="15.75" customHeight="1" s="57">
      <c r="A110" s="2" t="n"/>
      <c r="B110" s="2" t="n"/>
      <c r="C110" s="2" t="n"/>
      <c r="D110" s="2" t="n"/>
      <c r="E110" s="2" t="n"/>
      <c r="F110" s="2" t="n"/>
    </row>
    <row r="111" ht="15.75" customHeight="1" s="57">
      <c r="A111" s="2" t="n"/>
      <c r="B111" s="2" t="n"/>
      <c r="C111" s="2" t="n"/>
      <c r="D111" s="2" t="n"/>
      <c r="E111" s="2" t="n"/>
      <c r="F111" s="2" t="n"/>
    </row>
    <row r="112" ht="15.75" customHeight="1" s="57">
      <c r="A112" s="2" t="n"/>
      <c r="B112" s="2" t="n"/>
      <c r="C112" s="2" t="n"/>
      <c r="D112" s="2" t="n"/>
      <c r="E112" s="2" t="n"/>
      <c r="F112" s="2" t="n"/>
    </row>
    <row r="113" ht="15.75" customHeight="1" s="57">
      <c r="A113" s="2" t="n"/>
      <c r="B113" s="2" t="n"/>
      <c r="C113" s="2" t="n"/>
      <c r="D113" s="2" t="n"/>
      <c r="E113" s="2" t="n"/>
      <c r="F113" s="2" t="n"/>
    </row>
    <row r="114" ht="15.75" customHeight="1" s="57">
      <c r="A114" s="2" t="n"/>
      <c r="B114" s="2" t="n"/>
      <c r="C114" s="2" t="n"/>
      <c r="D114" s="2" t="n"/>
      <c r="E114" s="2" t="n"/>
      <c r="F114" s="2" t="n"/>
    </row>
    <row r="115" ht="15.75" customHeight="1" s="57">
      <c r="A115" s="2" t="n"/>
      <c r="B115" s="2" t="n"/>
      <c r="C115" s="2" t="n"/>
      <c r="D115" s="2" t="n"/>
      <c r="E115" s="2" t="n"/>
      <c r="F115" s="2" t="n"/>
    </row>
    <row r="116" ht="15.75" customHeight="1" s="57">
      <c r="A116" s="2" t="n"/>
      <c r="B116" s="2" t="n"/>
      <c r="C116" s="2" t="n"/>
      <c r="D116" s="2" t="n"/>
      <c r="E116" s="2" t="n"/>
      <c r="F116" s="2" t="n"/>
    </row>
    <row r="117" ht="15.75" customHeight="1" s="57">
      <c r="A117" s="2" t="n"/>
      <c r="B117" s="2" t="n"/>
      <c r="C117" s="2" t="n"/>
      <c r="D117" s="2" t="n"/>
      <c r="E117" s="2" t="n"/>
      <c r="F117" s="2" t="n"/>
    </row>
    <row r="118" ht="15.75" customHeight="1" s="57">
      <c r="A118" s="2" t="n"/>
      <c r="B118" s="2" t="n"/>
      <c r="C118" s="2" t="n"/>
      <c r="D118" s="2" t="n"/>
      <c r="E118" s="2" t="n"/>
      <c r="F118" s="2" t="n"/>
    </row>
    <row r="119" ht="15.75" customHeight="1" s="57">
      <c r="A119" s="2" t="n"/>
      <c r="B119" s="2" t="n"/>
      <c r="C119" s="2" t="n"/>
      <c r="D119" s="2" t="n"/>
      <c r="E119" s="2" t="n"/>
      <c r="F119" s="2" t="n"/>
    </row>
    <row r="120" ht="15.75" customHeight="1" s="57">
      <c r="A120" s="2" t="n"/>
      <c r="B120" s="2" t="n"/>
      <c r="C120" s="2" t="n"/>
      <c r="D120" s="2" t="n"/>
      <c r="E120" s="2" t="n"/>
      <c r="F120" s="2" t="n"/>
    </row>
    <row r="121" ht="15.75" customHeight="1" s="57">
      <c r="A121" s="2" t="n"/>
      <c r="B121" s="2" t="n"/>
      <c r="C121" s="2" t="n"/>
      <c r="D121" s="2" t="n"/>
      <c r="E121" s="2" t="n"/>
      <c r="F121" s="2" t="n"/>
    </row>
    <row r="122" ht="15.75" customHeight="1" s="57">
      <c r="A122" s="2" t="n"/>
      <c r="B122" s="2" t="n"/>
      <c r="C122" s="2" t="n"/>
      <c r="D122" s="2" t="n"/>
      <c r="E122" s="2" t="n"/>
      <c r="F122" s="2" t="n"/>
    </row>
    <row r="123" ht="15.75" customHeight="1" s="57">
      <c r="A123" s="2" t="n"/>
      <c r="B123" s="2" t="n"/>
      <c r="C123" s="2" t="n"/>
      <c r="D123" s="2" t="n"/>
      <c r="E123" s="2" t="n"/>
      <c r="F123" s="2" t="n"/>
    </row>
    <row r="124" ht="15.75" customHeight="1" s="57">
      <c r="A124" s="2" t="n"/>
      <c r="B124" s="2" t="n"/>
      <c r="C124" s="2" t="n"/>
      <c r="D124" s="2" t="n"/>
      <c r="E124" s="2" t="n"/>
      <c r="F124" s="2" t="n"/>
    </row>
    <row r="125" ht="15.75" customHeight="1" s="57">
      <c r="A125" s="2" t="n"/>
      <c r="B125" s="2" t="n"/>
      <c r="C125" s="2" t="n"/>
      <c r="D125" s="2" t="n"/>
      <c r="E125" s="2" t="n"/>
      <c r="F125" s="2" t="n"/>
    </row>
    <row r="126" ht="15.75" customHeight="1" s="57">
      <c r="A126" s="2" t="n"/>
      <c r="B126" s="2" t="n"/>
      <c r="C126" s="2" t="n"/>
      <c r="D126" s="2" t="n"/>
      <c r="E126" s="2" t="n"/>
      <c r="F126" s="2" t="n"/>
    </row>
    <row r="127" ht="15.75" customHeight="1" s="57">
      <c r="A127" s="2" t="n"/>
      <c r="B127" s="2" t="n"/>
      <c r="C127" s="2" t="n"/>
      <c r="D127" s="2" t="n"/>
      <c r="E127" s="2" t="n"/>
      <c r="F127" s="2" t="n"/>
    </row>
    <row r="128" ht="15.75" customHeight="1" s="57">
      <c r="A128" s="2" t="n"/>
      <c r="B128" s="2" t="n"/>
      <c r="C128" s="2" t="n"/>
      <c r="D128" s="2" t="n"/>
      <c r="E128" s="2" t="n"/>
      <c r="F128" s="2" t="n"/>
    </row>
    <row r="129" ht="15.75" customHeight="1" s="57">
      <c r="A129" s="2" t="n"/>
      <c r="B129" s="2" t="n"/>
      <c r="C129" s="2" t="n"/>
      <c r="D129" s="2" t="n"/>
      <c r="E129" s="2" t="n"/>
      <c r="F129" s="2" t="n"/>
    </row>
    <row r="130" ht="15.75" customHeight="1" s="57">
      <c r="A130" s="2" t="n"/>
      <c r="B130" s="2" t="n"/>
      <c r="C130" s="2" t="n"/>
      <c r="D130" s="2" t="n"/>
      <c r="E130" s="2" t="n"/>
      <c r="F130" s="2" t="n"/>
    </row>
    <row r="131" ht="15.75" customHeight="1" s="57">
      <c r="A131" s="2" t="n"/>
      <c r="B131" s="2" t="n"/>
      <c r="C131" s="2" t="n"/>
      <c r="D131" s="2" t="n"/>
      <c r="E131" s="2" t="n"/>
      <c r="F131" s="2" t="n"/>
    </row>
    <row r="132" ht="15.75" customHeight="1" s="57">
      <c r="A132" s="2" t="n"/>
      <c r="B132" s="2" t="n"/>
      <c r="C132" s="2" t="n"/>
      <c r="D132" s="2" t="n"/>
      <c r="E132" s="2" t="n"/>
      <c r="F132" s="2" t="n"/>
    </row>
    <row r="133" ht="15.75" customHeight="1" s="57">
      <c r="A133" s="2" t="n"/>
      <c r="B133" s="2" t="n"/>
      <c r="C133" s="2" t="n"/>
      <c r="D133" s="2" t="n"/>
      <c r="E133" s="2" t="n"/>
      <c r="F133" s="2" t="n"/>
    </row>
    <row r="134" ht="15.75" customHeight="1" s="57">
      <c r="A134" s="2" t="n"/>
      <c r="B134" s="2" t="n"/>
      <c r="C134" s="2" t="n"/>
      <c r="D134" s="2" t="n"/>
      <c r="E134" s="2" t="n"/>
      <c r="F134" s="2" t="n"/>
    </row>
    <row r="135" ht="15.75" customHeight="1" s="57">
      <c r="A135" s="2" t="n"/>
      <c r="B135" s="2" t="n"/>
      <c r="C135" s="2" t="n"/>
      <c r="D135" s="2" t="n"/>
      <c r="E135" s="2" t="n"/>
      <c r="F135" s="2" t="n"/>
    </row>
    <row r="136" ht="15.75" customHeight="1" s="57">
      <c r="A136" s="2" t="n"/>
      <c r="B136" s="2" t="n"/>
      <c r="C136" s="2" t="n"/>
      <c r="D136" s="2" t="n"/>
      <c r="E136" s="2" t="n"/>
      <c r="F136" s="2" t="n"/>
    </row>
    <row r="137" ht="15.75" customHeight="1" s="57">
      <c r="A137" s="2" t="n"/>
      <c r="B137" s="2" t="n"/>
      <c r="C137" s="2" t="n"/>
      <c r="D137" s="2" t="n"/>
      <c r="E137" s="2" t="n"/>
      <c r="F137" s="2" t="n"/>
    </row>
    <row r="138" ht="15.75" customHeight="1" s="57">
      <c r="A138" s="2" t="n"/>
      <c r="B138" s="2" t="n"/>
      <c r="C138" s="2" t="n"/>
      <c r="D138" s="2" t="n"/>
      <c r="E138" s="2" t="n"/>
      <c r="F138" s="2" t="n"/>
    </row>
    <row r="139" ht="15.75" customHeight="1" s="57">
      <c r="A139" s="2" t="n"/>
      <c r="B139" s="2" t="n"/>
      <c r="C139" s="2" t="n"/>
      <c r="D139" s="2" t="n"/>
      <c r="E139" s="2" t="n"/>
      <c r="F139" s="2" t="n"/>
    </row>
    <row r="140" ht="15.75" customHeight="1" s="57">
      <c r="A140" s="2" t="n"/>
      <c r="B140" s="2" t="n"/>
      <c r="C140" s="2" t="n"/>
      <c r="D140" s="2" t="n"/>
      <c r="E140" s="2" t="n"/>
      <c r="F140" s="2" t="n"/>
    </row>
    <row r="141" ht="15.75" customHeight="1" s="57">
      <c r="A141" s="2" t="n"/>
      <c r="B141" s="2" t="n"/>
      <c r="C141" s="2" t="n"/>
      <c r="D141" s="2" t="n"/>
      <c r="E141" s="2" t="n"/>
      <c r="F141" s="2" t="n"/>
    </row>
    <row r="142" ht="15.75" customHeight="1" s="57">
      <c r="A142" s="2" t="n"/>
      <c r="B142" s="2" t="n"/>
      <c r="C142" s="2" t="n"/>
      <c r="D142" s="2" t="n"/>
      <c r="E142" s="2" t="n"/>
      <c r="F142" s="2" t="n"/>
    </row>
    <row r="143" ht="15.75" customHeight="1" s="57">
      <c r="A143" s="2" t="n"/>
      <c r="B143" s="2" t="n"/>
      <c r="C143" s="2" t="n"/>
      <c r="D143" s="2" t="n"/>
      <c r="E143" s="2" t="n"/>
      <c r="F143" s="2" t="n"/>
    </row>
    <row r="144" ht="15.75" customHeight="1" s="57">
      <c r="A144" s="2" t="n"/>
      <c r="B144" s="2" t="n"/>
      <c r="C144" s="2" t="n"/>
      <c r="D144" s="2" t="n"/>
      <c r="E144" s="2" t="n"/>
      <c r="F144" s="2" t="n"/>
    </row>
    <row r="145" ht="15.75" customHeight="1" s="57">
      <c r="A145" s="2" t="n"/>
      <c r="B145" s="2" t="n"/>
      <c r="C145" s="2" t="n"/>
      <c r="D145" s="2" t="n"/>
      <c r="E145" s="2" t="n"/>
      <c r="F145" s="2" t="n"/>
    </row>
    <row r="146" ht="15.75" customHeight="1" s="57">
      <c r="A146" s="2" t="n"/>
      <c r="B146" s="2" t="n"/>
      <c r="C146" s="2" t="n"/>
      <c r="D146" s="2" t="n"/>
      <c r="E146" s="2" t="n"/>
      <c r="F146" s="2" t="n"/>
    </row>
    <row r="147" ht="15.75" customHeight="1" s="57">
      <c r="A147" s="2" t="n"/>
      <c r="B147" s="2" t="n"/>
      <c r="C147" s="2" t="n"/>
      <c r="D147" s="2" t="n"/>
      <c r="E147" s="2" t="n"/>
      <c r="F147" s="2" t="n"/>
    </row>
    <row r="148" ht="15.75" customHeight="1" s="57">
      <c r="A148" s="2" t="n"/>
      <c r="B148" s="2" t="n"/>
      <c r="C148" s="2" t="n"/>
      <c r="D148" s="2" t="n"/>
      <c r="E148" s="2" t="n"/>
      <c r="F148" s="2" t="n"/>
    </row>
    <row r="149" ht="15.75" customHeight="1" s="57">
      <c r="A149" s="2" t="n"/>
      <c r="B149" s="2" t="n"/>
      <c r="C149" s="2" t="n"/>
      <c r="D149" s="2" t="n"/>
      <c r="E149" s="2" t="n"/>
      <c r="F149" s="2" t="n"/>
    </row>
    <row r="150" ht="15.75" customHeight="1" s="57">
      <c r="A150" s="2" t="n"/>
      <c r="B150" s="2" t="n"/>
      <c r="C150" s="2" t="n"/>
      <c r="D150" s="2" t="n"/>
      <c r="E150" s="2" t="n"/>
      <c r="F150" s="2" t="n"/>
    </row>
    <row r="151" ht="15.75" customHeight="1" s="57">
      <c r="A151" s="2" t="n"/>
      <c r="B151" s="2" t="n"/>
      <c r="C151" s="2" t="n"/>
      <c r="D151" s="2" t="n"/>
      <c r="E151" s="2" t="n"/>
      <c r="F151" s="2" t="n"/>
    </row>
    <row r="152" ht="15.75" customHeight="1" s="57">
      <c r="A152" s="2" t="n"/>
      <c r="B152" s="2" t="n"/>
      <c r="C152" s="2" t="n"/>
      <c r="D152" s="2" t="n"/>
      <c r="E152" s="2" t="n"/>
      <c r="F152" s="2" t="n"/>
    </row>
    <row r="153" ht="15.75" customHeight="1" s="57">
      <c r="A153" s="2" t="n"/>
      <c r="B153" s="2" t="n"/>
      <c r="C153" s="2" t="n"/>
      <c r="D153" s="2" t="n"/>
      <c r="E153" s="2" t="n"/>
      <c r="F153" s="2" t="n"/>
    </row>
    <row r="154" ht="15.75" customHeight="1" s="57">
      <c r="A154" s="2" t="n"/>
      <c r="B154" s="2" t="n"/>
      <c r="C154" s="2" t="n"/>
      <c r="D154" s="2" t="n"/>
      <c r="E154" s="2" t="n"/>
      <c r="F154" s="2" t="n"/>
    </row>
    <row r="155" ht="15.75" customHeight="1" s="57">
      <c r="A155" s="2" t="n"/>
      <c r="B155" s="2" t="n"/>
      <c r="C155" s="2" t="n"/>
      <c r="D155" s="2" t="n"/>
      <c r="E155" s="2" t="n"/>
      <c r="F155" s="2" t="n"/>
    </row>
    <row r="156" ht="15.75" customHeight="1" s="57">
      <c r="A156" s="2" t="n"/>
      <c r="B156" s="2" t="n"/>
      <c r="C156" s="2" t="n"/>
      <c r="D156" s="2" t="n"/>
      <c r="E156" s="2" t="n"/>
      <c r="F156" s="2" t="n"/>
    </row>
    <row r="157" ht="15.75" customHeight="1" s="57">
      <c r="A157" s="2" t="n"/>
      <c r="B157" s="2" t="n"/>
      <c r="C157" s="2" t="n"/>
      <c r="D157" s="2" t="n"/>
      <c r="E157" s="2" t="n"/>
      <c r="F157" s="2" t="n"/>
    </row>
    <row r="158" ht="15.75" customHeight="1" s="57">
      <c r="A158" s="2" t="n"/>
      <c r="B158" s="2" t="n"/>
      <c r="C158" s="2" t="n"/>
      <c r="D158" s="2" t="n"/>
      <c r="E158" s="2" t="n"/>
      <c r="F158" s="2" t="n"/>
    </row>
    <row r="159" ht="15.75" customHeight="1" s="57">
      <c r="A159" s="2" t="n"/>
      <c r="B159" s="2" t="n"/>
      <c r="C159" s="2" t="n"/>
      <c r="D159" s="2" t="n"/>
      <c r="E159" s="2" t="n"/>
      <c r="F159" s="2" t="n"/>
    </row>
    <row r="160" ht="15.75" customHeight="1" s="57">
      <c r="A160" s="2" t="n"/>
      <c r="B160" s="2" t="n"/>
      <c r="C160" s="2" t="n"/>
      <c r="D160" s="2" t="n"/>
      <c r="E160" s="2" t="n"/>
      <c r="F160" s="2" t="n"/>
    </row>
    <row r="161" ht="15.75" customHeight="1" s="57">
      <c r="A161" s="2" t="n"/>
      <c r="B161" s="2" t="n"/>
      <c r="C161" s="2" t="n"/>
      <c r="D161" s="2" t="n"/>
      <c r="E161" s="2" t="n"/>
      <c r="F161" s="2" t="n"/>
    </row>
    <row r="162" ht="15.75" customHeight="1" s="57">
      <c r="A162" s="2" t="n"/>
      <c r="B162" s="2" t="n"/>
      <c r="C162" s="2" t="n"/>
      <c r="D162" s="2" t="n"/>
      <c r="E162" s="2" t="n"/>
      <c r="F162" s="2" t="n"/>
    </row>
    <row r="163" ht="15.75" customHeight="1" s="57">
      <c r="A163" s="2" t="n"/>
      <c r="B163" s="2" t="n"/>
      <c r="C163" s="2" t="n"/>
      <c r="D163" s="2" t="n"/>
      <c r="E163" s="2" t="n"/>
      <c r="F163" s="2" t="n"/>
    </row>
    <row r="164" ht="15.75" customHeight="1" s="57">
      <c r="A164" s="2" t="n"/>
      <c r="B164" s="2" t="n"/>
      <c r="C164" s="2" t="n"/>
      <c r="D164" s="2" t="n"/>
      <c r="E164" s="2" t="n"/>
      <c r="F164" s="2" t="n"/>
    </row>
    <row r="165" ht="15.75" customHeight="1" s="57">
      <c r="A165" s="2" t="n"/>
      <c r="B165" s="2" t="n"/>
      <c r="C165" s="2" t="n"/>
      <c r="D165" s="2" t="n"/>
      <c r="E165" s="2" t="n"/>
      <c r="F165" s="2" t="n"/>
    </row>
    <row r="166" ht="15.75" customHeight="1" s="57">
      <c r="A166" s="2" t="n"/>
      <c r="B166" s="2" t="n"/>
      <c r="C166" s="2" t="n"/>
      <c r="D166" s="2" t="n"/>
      <c r="E166" s="2" t="n"/>
      <c r="F166" s="2" t="n"/>
    </row>
    <row r="167" ht="15.75" customHeight="1" s="57">
      <c r="A167" s="2" t="n"/>
      <c r="B167" s="2" t="n"/>
      <c r="C167" s="2" t="n"/>
      <c r="D167" s="2" t="n"/>
      <c r="E167" s="2" t="n"/>
      <c r="F167" s="2" t="n"/>
    </row>
    <row r="168" ht="15.75" customHeight="1" s="57">
      <c r="A168" s="2" t="n"/>
      <c r="B168" s="2" t="n"/>
      <c r="C168" s="2" t="n"/>
      <c r="D168" s="2" t="n"/>
      <c r="E168" s="2" t="n"/>
      <c r="F168" s="2" t="n"/>
    </row>
    <row r="169" ht="15.75" customHeight="1" s="57">
      <c r="A169" s="2" t="n"/>
      <c r="B169" s="2" t="n"/>
      <c r="C169" s="2" t="n"/>
      <c r="D169" s="2" t="n"/>
      <c r="E169" s="2" t="n"/>
      <c r="F169" s="2" t="n"/>
    </row>
    <row r="170" ht="15.75" customHeight="1" s="57">
      <c r="A170" s="2" t="n"/>
      <c r="B170" s="2" t="n"/>
      <c r="C170" s="2" t="n"/>
      <c r="D170" s="2" t="n"/>
      <c r="E170" s="2" t="n"/>
      <c r="F170" s="2" t="n"/>
    </row>
    <row r="171" ht="15.75" customHeight="1" s="57">
      <c r="A171" s="2" t="n"/>
      <c r="B171" s="2" t="n"/>
      <c r="C171" s="2" t="n"/>
      <c r="D171" s="2" t="n"/>
      <c r="E171" s="2" t="n"/>
      <c r="F171" s="2" t="n"/>
    </row>
    <row r="172" ht="15.75" customHeight="1" s="57">
      <c r="A172" s="2" t="n"/>
      <c r="B172" s="2" t="n"/>
      <c r="C172" s="2" t="n"/>
      <c r="D172" s="2" t="n"/>
      <c r="E172" s="2" t="n"/>
      <c r="F172" s="2" t="n"/>
    </row>
    <row r="173" ht="15.75" customHeight="1" s="57">
      <c r="A173" s="2" t="n"/>
      <c r="B173" s="2" t="n"/>
      <c r="C173" s="2" t="n"/>
      <c r="D173" s="2" t="n"/>
      <c r="E173" s="2" t="n"/>
      <c r="F173" s="2" t="n"/>
    </row>
    <row r="174" ht="15.75" customHeight="1" s="57">
      <c r="A174" s="2" t="n"/>
      <c r="B174" s="2" t="n"/>
      <c r="C174" s="2" t="n"/>
      <c r="D174" s="2" t="n"/>
      <c r="E174" s="2" t="n"/>
      <c r="F174" s="2" t="n"/>
    </row>
    <row r="175" ht="15.75" customHeight="1" s="57">
      <c r="A175" s="2" t="n"/>
      <c r="B175" s="2" t="n"/>
      <c r="C175" s="2" t="n"/>
      <c r="D175" s="2" t="n"/>
      <c r="E175" s="2" t="n"/>
      <c r="F175" s="2" t="n"/>
    </row>
    <row r="176" ht="15.75" customHeight="1" s="57">
      <c r="A176" s="2" t="n"/>
      <c r="B176" s="2" t="n"/>
      <c r="C176" s="2" t="n"/>
      <c r="D176" s="2" t="n"/>
      <c r="E176" s="2" t="n"/>
      <c r="F176" s="2" t="n"/>
    </row>
    <row r="177" ht="15.75" customHeight="1" s="57">
      <c r="A177" s="2" t="n"/>
      <c r="B177" s="2" t="n"/>
      <c r="C177" s="2" t="n"/>
      <c r="D177" s="2" t="n"/>
      <c r="E177" s="2" t="n"/>
      <c r="F177" s="2" t="n"/>
    </row>
    <row r="178" ht="15.75" customHeight="1" s="57">
      <c r="A178" s="2" t="n"/>
      <c r="B178" s="2" t="n"/>
      <c r="C178" s="2" t="n"/>
      <c r="D178" s="2" t="n"/>
      <c r="E178" s="2" t="n"/>
      <c r="F178" s="2" t="n"/>
    </row>
    <row r="179" ht="15.75" customHeight="1" s="57">
      <c r="A179" s="2" t="n"/>
      <c r="B179" s="2" t="n"/>
      <c r="C179" s="2" t="n"/>
      <c r="D179" s="2" t="n"/>
      <c r="E179" s="2" t="n"/>
      <c r="F179" s="2" t="n"/>
    </row>
    <row r="180" ht="15.75" customHeight="1" s="57">
      <c r="A180" s="2" t="n"/>
      <c r="B180" s="2" t="n"/>
      <c r="C180" s="2" t="n"/>
      <c r="D180" s="2" t="n"/>
      <c r="E180" s="2" t="n"/>
      <c r="F180" s="2" t="n"/>
    </row>
    <row r="181" ht="15.75" customHeight="1" s="57">
      <c r="A181" s="2" t="n"/>
      <c r="B181" s="2" t="n"/>
      <c r="C181" s="2" t="n"/>
      <c r="D181" s="2" t="n"/>
      <c r="E181" s="2" t="n"/>
      <c r="F181" s="2" t="n"/>
    </row>
    <row r="182" ht="15.75" customHeight="1" s="57">
      <c r="A182" s="2" t="n"/>
      <c r="B182" s="2" t="n"/>
      <c r="C182" s="2" t="n"/>
      <c r="D182" s="2" t="n"/>
      <c r="E182" s="2" t="n"/>
      <c r="F182" s="2" t="n"/>
    </row>
    <row r="183" ht="15.75" customHeight="1" s="57">
      <c r="A183" s="2" t="n"/>
      <c r="B183" s="2" t="n"/>
      <c r="C183" s="2" t="n"/>
      <c r="D183" s="2" t="n"/>
      <c r="E183" s="2" t="n"/>
      <c r="F183" s="2" t="n"/>
    </row>
    <row r="184" ht="15.75" customHeight="1" s="57">
      <c r="A184" s="2" t="n"/>
      <c r="B184" s="2" t="n"/>
      <c r="C184" s="2" t="n"/>
      <c r="D184" s="2" t="n"/>
      <c r="E184" s="2" t="n"/>
      <c r="F184" s="2" t="n"/>
    </row>
    <row r="185" ht="15.75" customHeight="1" s="57">
      <c r="A185" s="2" t="n"/>
      <c r="B185" s="2" t="n"/>
      <c r="C185" s="2" t="n"/>
      <c r="D185" s="2" t="n"/>
      <c r="E185" s="2" t="n"/>
      <c r="F185" s="2" t="n"/>
    </row>
    <row r="186" ht="15.75" customHeight="1" s="57">
      <c r="A186" s="2" t="n"/>
      <c r="B186" s="2" t="n"/>
      <c r="C186" s="2" t="n"/>
      <c r="D186" s="2" t="n"/>
      <c r="E186" s="2" t="n"/>
      <c r="F186" s="2" t="n"/>
    </row>
    <row r="187" ht="15.75" customHeight="1" s="57">
      <c r="A187" s="2" t="n"/>
      <c r="B187" s="2" t="n"/>
      <c r="C187" s="2" t="n"/>
      <c r="D187" s="2" t="n"/>
      <c r="E187" s="2" t="n"/>
      <c r="F187" s="2" t="n"/>
    </row>
    <row r="188" ht="15.75" customHeight="1" s="57">
      <c r="A188" s="2" t="n"/>
      <c r="B188" s="2" t="n"/>
      <c r="C188" s="2" t="n"/>
      <c r="D188" s="2" t="n"/>
      <c r="E188" s="2" t="n"/>
      <c r="F188" s="2" t="n"/>
    </row>
    <row r="189" ht="15.75" customHeight="1" s="57">
      <c r="A189" s="2" t="n"/>
      <c r="B189" s="2" t="n"/>
      <c r="C189" s="2" t="n"/>
      <c r="D189" s="2" t="n"/>
      <c r="E189" s="2" t="n"/>
      <c r="F189" s="2" t="n"/>
    </row>
    <row r="190" ht="15.75" customHeight="1" s="57">
      <c r="A190" s="2" t="n"/>
      <c r="B190" s="2" t="n"/>
      <c r="C190" s="2" t="n"/>
      <c r="D190" s="2" t="n"/>
      <c r="E190" s="2" t="n"/>
      <c r="F190" s="2" t="n"/>
    </row>
    <row r="191" ht="15.75" customHeight="1" s="57">
      <c r="A191" s="2" t="n"/>
      <c r="B191" s="2" t="n"/>
      <c r="C191" s="2" t="n"/>
      <c r="D191" s="2" t="n"/>
      <c r="E191" s="2" t="n"/>
      <c r="F191" s="2" t="n"/>
    </row>
    <row r="192" ht="15.75" customHeight="1" s="57">
      <c r="A192" s="2" t="n"/>
      <c r="B192" s="2" t="n"/>
      <c r="C192" s="2" t="n"/>
      <c r="D192" s="2" t="n"/>
      <c r="E192" s="2" t="n"/>
      <c r="F192" s="2" t="n"/>
    </row>
    <row r="193" ht="15.75" customHeight="1" s="57">
      <c r="A193" s="2" t="n"/>
      <c r="B193" s="2" t="n"/>
      <c r="C193" s="2" t="n"/>
      <c r="D193" s="2" t="n"/>
      <c r="E193" s="2" t="n"/>
      <c r="F193" s="2" t="n"/>
    </row>
    <row r="194" ht="15.75" customHeight="1" s="57">
      <c r="A194" s="2" t="n"/>
      <c r="B194" s="2" t="n"/>
      <c r="C194" s="2" t="n"/>
      <c r="D194" s="2" t="n"/>
      <c r="E194" s="2" t="n"/>
      <c r="F194" s="2" t="n"/>
    </row>
    <row r="195" ht="15.75" customHeight="1" s="57">
      <c r="A195" s="2" t="n"/>
      <c r="B195" s="2" t="n"/>
      <c r="C195" s="2" t="n"/>
      <c r="D195" s="2" t="n"/>
      <c r="E195" s="2" t="n"/>
      <c r="F195" s="2" t="n"/>
    </row>
    <row r="196" ht="15.75" customHeight="1" s="57">
      <c r="A196" s="2" t="n"/>
      <c r="B196" s="2" t="n"/>
      <c r="C196" s="2" t="n"/>
      <c r="D196" s="2" t="n"/>
      <c r="E196" s="2" t="n"/>
      <c r="F196" s="2" t="n"/>
    </row>
    <row r="197" ht="15.75" customHeight="1" s="57">
      <c r="A197" s="2" t="n"/>
      <c r="B197" s="2" t="n"/>
      <c r="C197" s="2" t="n"/>
      <c r="D197" s="2" t="n"/>
      <c r="E197" s="2" t="n"/>
      <c r="F197" s="2" t="n"/>
    </row>
    <row r="198" ht="15.75" customHeight="1" s="57">
      <c r="A198" s="2" t="n"/>
      <c r="B198" s="2" t="n"/>
      <c r="C198" s="2" t="n"/>
      <c r="D198" s="2" t="n"/>
      <c r="E198" s="2" t="n"/>
      <c r="F198" s="2" t="n"/>
    </row>
    <row r="199" ht="15.75" customHeight="1" s="57">
      <c r="A199" s="2" t="n"/>
      <c r="B199" s="2" t="n"/>
      <c r="C199" s="2" t="n"/>
      <c r="D199" s="2" t="n"/>
      <c r="E199" s="2" t="n"/>
      <c r="F199" s="2" t="n"/>
    </row>
    <row r="200" ht="15.75" customHeight="1" s="57">
      <c r="A200" s="2" t="n"/>
      <c r="B200" s="2" t="n"/>
      <c r="C200" s="2" t="n"/>
      <c r="D200" s="2" t="n"/>
      <c r="E200" s="2" t="n"/>
      <c r="F200" s="2" t="n"/>
    </row>
    <row r="201" ht="15.75" customHeight="1" s="57">
      <c r="A201" s="2" t="n"/>
      <c r="B201" s="2" t="n"/>
      <c r="C201" s="2" t="n"/>
      <c r="D201" s="2" t="n"/>
      <c r="E201" s="2" t="n"/>
      <c r="F201" s="2" t="n"/>
    </row>
    <row r="202" ht="15.75" customHeight="1" s="57">
      <c r="A202" s="2" t="n"/>
      <c r="B202" s="2" t="n"/>
      <c r="C202" s="2" t="n"/>
      <c r="D202" s="2" t="n"/>
      <c r="E202" s="2" t="n"/>
      <c r="F202" s="2" t="n"/>
    </row>
    <row r="203" ht="15.75" customHeight="1" s="57">
      <c r="A203" s="2" t="n"/>
      <c r="B203" s="2" t="n"/>
      <c r="C203" s="2" t="n"/>
      <c r="D203" s="2" t="n"/>
      <c r="E203" s="2" t="n"/>
      <c r="F203" s="2" t="n"/>
    </row>
    <row r="204" ht="15.75" customHeight="1" s="57">
      <c r="A204" s="2" t="n"/>
      <c r="B204" s="2" t="n"/>
      <c r="C204" s="2" t="n"/>
      <c r="D204" s="2" t="n"/>
      <c r="E204" s="2" t="n"/>
      <c r="F204" s="2" t="n"/>
    </row>
    <row r="205" ht="15.75" customHeight="1" s="57">
      <c r="A205" s="2" t="n"/>
      <c r="B205" s="2" t="n"/>
      <c r="C205" s="2" t="n"/>
      <c r="D205" s="2" t="n"/>
      <c r="E205" s="2" t="n"/>
      <c r="F205" s="2" t="n"/>
    </row>
    <row r="206" ht="15.75" customHeight="1" s="57">
      <c r="A206" s="2" t="n"/>
      <c r="B206" s="2" t="n"/>
      <c r="C206" s="2" t="n"/>
      <c r="D206" s="2" t="n"/>
      <c r="E206" s="2" t="n"/>
      <c r="F206" s="2" t="n"/>
    </row>
    <row r="207" ht="15.75" customHeight="1" s="57">
      <c r="A207" s="2" t="n"/>
      <c r="B207" s="2" t="n"/>
      <c r="C207" s="2" t="n"/>
      <c r="D207" s="2" t="n"/>
      <c r="E207" s="2" t="n"/>
      <c r="F207" s="2" t="n"/>
    </row>
    <row r="208" ht="15.75" customHeight="1" s="57">
      <c r="A208" s="2" t="n"/>
      <c r="B208" s="2" t="n"/>
      <c r="C208" s="2" t="n"/>
      <c r="D208" s="2" t="n"/>
      <c r="E208" s="2" t="n"/>
      <c r="F208" s="2" t="n"/>
    </row>
    <row r="209" ht="15.75" customHeight="1" s="57">
      <c r="A209" s="2" t="n"/>
      <c r="B209" s="2" t="n"/>
      <c r="C209" s="2" t="n"/>
      <c r="D209" s="2" t="n"/>
      <c r="E209" s="2" t="n"/>
      <c r="F209" s="2" t="n"/>
    </row>
    <row r="210" ht="15.75" customHeight="1" s="57">
      <c r="A210" s="2" t="n"/>
      <c r="B210" s="2" t="n"/>
      <c r="C210" s="2" t="n"/>
      <c r="D210" s="2" t="n"/>
      <c r="E210" s="2" t="n"/>
      <c r="F210" s="2" t="n"/>
    </row>
    <row r="211" ht="15.75" customHeight="1" s="57">
      <c r="A211" s="2" t="n"/>
      <c r="B211" s="2" t="n"/>
      <c r="C211" s="2" t="n"/>
      <c r="D211" s="2" t="n"/>
      <c r="E211" s="2" t="n"/>
      <c r="F211" s="2" t="n"/>
    </row>
    <row r="212" ht="15.75" customHeight="1" s="57">
      <c r="A212" s="2" t="n"/>
      <c r="B212" s="2" t="n"/>
      <c r="C212" s="2" t="n"/>
      <c r="D212" s="2" t="n"/>
      <c r="E212" s="2" t="n"/>
      <c r="F212" s="2" t="n"/>
    </row>
    <row r="213" ht="15.75" customHeight="1" s="57">
      <c r="A213" s="2" t="n"/>
      <c r="B213" s="2" t="n"/>
      <c r="C213" s="2" t="n"/>
      <c r="D213" s="2" t="n"/>
      <c r="E213" s="2" t="n"/>
      <c r="F213" s="2" t="n"/>
    </row>
    <row r="214" ht="15.75" customHeight="1" s="57">
      <c r="A214" s="2" t="n"/>
      <c r="B214" s="2" t="n"/>
      <c r="C214" s="2" t="n"/>
      <c r="D214" s="2" t="n"/>
      <c r="E214" s="2" t="n"/>
      <c r="F214" s="2" t="n"/>
    </row>
    <row r="215" ht="15.75" customHeight="1" s="57">
      <c r="A215" s="2" t="n"/>
      <c r="B215" s="2" t="n"/>
      <c r="C215" s="2" t="n"/>
      <c r="D215" s="2" t="n"/>
      <c r="E215" s="2" t="n"/>
      <c r="F215" s="2" t="n"/>
    </row>
    <row r="216" ht="15.75" customHeight="1" s="57">
      <c r="A216" s="2" t="n"/>
      <c r="B216" s="2" t="n"/>
      <c r="C216" s="2" t="n"/>
      <c r="D216" s="2" t="n"/>
      <c r="E216" s="2" t="n"/>
      <c r="F216" s="2" t="n"/>
    </row>
    <row r="217" ht="15.75" customHeight="1" s="57">
      <c r="A217" s="2" t="n"/>
      <c r="B217" s="2" t="n"/>
      <c r="C217" s="2" t="n"/>
      <c r="D217" s="2" t="n"/>
      <c r="E217" s="2" t="n"/>
      <c r="F217" s="2" t="n"/>
    </row>
    <row r="218" ht="15.75" customHeight="1" s="57">
      <c r="A218" s="2" t="n"/>
      <c r="B218" s="2" t="n"/>
      <c r="C218" s="2" t="n"/>
      <c r="D218" s="2" t="n"/>
      <c r="E218" s="2" t="n"/>
      <c r="F218" s="2" t="n"/>
    </row>
    <row r="219" ht="15.75" customHeight="1" s="57">
      <c r="A219" s="2" t="n"/>
      <c r="B219" s="2" t="n"/>
      <c r="C219" s="2" t="n"/>
      <c r="D219" s="2" t="n"/>
      <c r="E219" s="2" t="n"/>
      <c r="F219" s="2" t="n"/>
    </row>
    <row r="220" ht="15.75" customHeight="1" s="57">
      <c r="A220" s="2" t="n"/>
      <c r="B220" s="2" t="n"/>
      <c r="C220" s="2" t="n"/>
      <c r="D220" s="2" t="n"/>
      <c r="E220" s="2" t="n"/>
      <c r="F220" s="2" t="n"/>
    </row>
    <row r="221" ht="15.75" customHeight="1" s="57">
      <c r="A221" s="2" t="n"/>
      <c r="B221" s="2" t="n"/>
      <c r="C221" s="2" t="n"/>
      <c r="D221" s="2" t="n"/>
      <c r="E221" s="2" t="n"/>
      <c r="F221" s="2" t="n"/>
    </row>
    <row r="222" ht="15.75" customHeight="1" s="57">
      <c r="A222" s="2" t="n"/>
      <c r="B222" s="2" t="n"/>
      <c r="C222" s="2" t="n"/>
      <c r="D222" s="2" t="n"/>
      <c r="E222" s="2" t="n"/>
      <c r="F222" s="2" t="n"/>
    </row>
    <row r="223" ht="15.75" customHeight="1" s="57">
      <c r="A223" s="2" t="n"/>
      <c r="B223" s="2" t="n"/>
      <c r="C223" s="2" t="n"/>
      <c r="D223" s="2" t="n"/>
      <c r="E223" s="2" t="n"/>
      <c r="F223" s="2" t="n"/>
    </row>
    <row r="224" ht="15.75" customHeight="1" s="57">
      <c r="A224" s="2" t="n"/>
      <c r="B224" s="2" t="n"/>
      <c r="C224" s="2" t="n"/>
      <c r="D224" s="2" t="n"/>
      <c r="E224" s="2" t="n"/>
      <c r="F224" s="2" t="n"/>
    </row>
    <row r="225" ht="15.75" customHeight="1" s="57">
      <c r="A225" s="2" t="n"/>
      <c r="B225" s="2" t="n"/>
      <c r="C225" s="2" t="n"/>
      <c r="D225" s="2" t="n"/>
      <c r="E225" s="2" t="n"/>
      <c r="F225" s="2" t="n"/>
    </row>
    <row r="226" ht="15.75" customHeight="1" s="57">
      <c r="A226" s="2" t="n"/>
      <c r="B226" s="2" t="n"/>
      <c r="C226" s="2" t="n"/>
      <c r="D226" s="2" t="n"/>
      <c r="E226" s="2" t="n"/>
      <c r="F226" s="2" t="n"/>
    </row>
    <row r="227" ht="15.75" customHeight="1" s="57">
      <c r="A227" s="2" t="n"/>
      <c r="B227" s="2" t="n"/>
      <c r="C227" s="2" t="n"/>
      <c r="D227" s="2" t="n"/>
      <c r="E227" s="2" t="n"/>
      <c r="F227" s="2" t="n"/>
    </row>
    <row r="228" ht="15.75" customHeight="1" s="57">
      <c r="A228" s="2" t="n"/>
      <c r="B228" s="2" t="n"/>
      <c r="C228" s="2" t="n"/>
      <c r="D228" s="2" t="n"/>
      <c r="E228" s="2" t="n"/>
      <c r="F228" s="2" t="n"/>
    </row>
    <row r="229" ht="15.75" customHeight="1" s="57">
      <c r="A229" s="2" t="n"/>
      <c r="B229" s="2" t="n"/>
      <c r="C229" s="2" t="n"/>
      <c r="D229" s="2" t="n"/>
      <c r="E229" s="2" t="n"/>
      <c r="F229" s="2" t="n"/>
    </row>
    <row r="230" ht="15.75" customHeight="1" s="57">
      <c r="A230" s="2" t="n"/>
      <c r="B230" s="2" t="n"/>
      <c r="C230" s="2" t="n"/>
      <c r="D230" s="2" t="n"/>
      <c r="E230" s="2" t="n"/>
      <c r="F230" s="2" t="n"/>
    </row>
    <row r="231" ht="15.75" customHeight="1" s="57">
      <c r="A231" s="2" t="n"/>
      <c r="B231" s="2" t="n"/>
      <c r="C231" s="2" t="n"/>
      <c r="D231" s="2" t="n"/>
      <c r="E231" s="2" t="n"/>
      <c r="F231" s="2" t="n"/>
    </row>
    <row r="232" ht="15.75" customHeight="1" s="57">
      <c r="A232" s="2" t="n"/>
      <c r="B232" s="2" t="n"/>
      <c r="C232" s="2" t="n"/>
      <c r="D232" s="2" t="n"/>
      <c r="E232" s="2" t="n"/>
      <c r="F232" s="2" t="n"/>
    </row>
    <row r="233" ht="15.75" customHeight="1" s="57">
      <c r="A233" s="2" t="n"/>
      <c r="B233" s="2" t="n"/>
      <c r="C233" s="2" t="n"/>
      <c r="D233" s="2" t="n"/>
      <c r="E233" s="2" t="n"/>
      <c r="F233" s="2" t="n"/>
    </row>
    <row r="234" ht="15.75" customHeight="1" s="57">
      <c r="A234" s="2" t="n"/>
      <c r="B234" s="2" t="n"/>
      <c r="C234" s="2" t="n"/>
      <c r="D234" s="2" t="n"/>
      <c r="E234" s="2" t="n"/>
      <c r="F234" s="2" t="n"/>
    </row>
    <row r="235" ht="15.75" customHeight="1" s="57">
      <c r="A235" s="2" t="n"/>
      <c r="B235" s="2" t="n"/>
      <c r="C235" s="2" t="n"/>
      <c r="D235" s="2" t="n"/>
      <c r="E235" s="2" t="n"/>
      <c r="F235" s="2" t="n"/>
    </row>
    <row r="236" ht="15.75" customHeight="1" s="57">
      <c r="A236" s="2" t="n"/>
      <c r="B236" s="2" t="n"/>
      <c r="C236" s="2" t="n"/>
      <c r="D236" s="2" t="n"/>
      <c r="E236" s="2" t="n"/>
      <c r="F236" s="2" t="n"/>
    </row>
    <row r="237" ht="15.75" customHeight="1" s="57">
      <c r="A237" s="2" t="n"/>
      <c r="B237" s="2" t="n"/>
      <c r="C237" s="2" t="n"/>
      <c r="D237" s="2" t="n"/>
      <c r="E237" s="2" t="n"/>
      <c r="F237" s="2" t="n"/>
    </row>
    <row r="238" ht="15.75" customHeight="1" s="57">
      <c r="A238" s="2" t="n"/>
      <c r="B238" s="2" t="n"/>
      <c r="C238" s="2" t="n"/>
      <c r="D238" s="2" t="n"/>
      <c r="E238" s="2" t="n"/>
      <c r="F238" s="2" t="n"/>
    </row>
    <row r="239" ht="15.75" customHeight="1" s="57">
      <c r="A239" s="2" t="n"/>
      <c r="B239" s="2" t="n"/>
      <c r="C239" s="2" t="n"/>
      <c r="D239" s="2" t="n"/>
      <c r="E239" s="2" t="n"/>
      <c r="F239" s="2" t="n"/>
    </row>
    <row r="240" ht="15.75" customHeight="1" s="57">
      <c r="A240" s="2" t="n"/>
      <c r="B240" s="2" t="n"/>
      <c r="C240" s="2" t="n"/>
      <c r="D240" s="2" t="n"/>
      <c r="E240" s="2" t="n"/>
      <c r="F240" s="2" t="n"/>
    </row>
    <row r="241" ht="15.75" customHeight="1" s="57">
      <c r="A241" s="2" t="n"/>
      <c r="B241" s="2" t="n"/>
      <c r="C241" s="2" t="n"/>
      <c r="D241" s="2" t="n"/>
      <c r="E241" s="2" t="n"/>
      <c r="F241" s="2" t="n"/>
    </row>
    <row r="242" ht="15.75" customHeight="1" s="57">
      <c r="A242" s="2" t="n"/>
      <c r="B242" s="2" t="n"/>
      <c r="C242" s="2" t="n"/>
      <c r="D242" s="2" t="n"/>
      <c r="E242" s="2" t="n"/>
      <c r="F242" s="2" t="n"/>
    </row>
    <row r="243" ht="15.75" customHeight="1" s="57">
      <c r="A243" s="2" t="n"/>
      <c r="B243" s="2" t="n"/>
      <c r="C243" s="2" t="n"/>
      <c r="D243" s="2" t="n"/>
      <c r="E243" s="2" t="n"/>
      <c r="F243" s="2" t="n"/>
    </row>
    <row r="244" ht="15.75" customHeight="1" s="57">
      <c r="A244" s="2" t="n"/>
      <c r="B244" s="2" t="n"/>
      <c r="C244" s="2" t="n"/>
      <c r="D244" s="2" t="n"/>
      <c r="E244" s="2" t="n"/>
      <c r="F244" s="2" t="n"/>
    </row>
    <row r="245" ht="15.75" customHeight="1" s="57">
      <c r="A245" s="2" t="n"/>
      <c r="B245" s="2" t="n"/>
      <c r="C245" s="2" t="n"/>
      <c r="D245" s="2" t="n"/>
      <c r="E245" s="2" t="n"/>
      <c r="F245" s="2" t="n"/>
    </row>
    <row r="246" ht="15.75" customHeight="1" s="57">
      <c r="A246" s="2" t="n"/>
      <c r="B246" s="2" t="n"/>
      <c r="C246" s="2" t="n"/>
      <c r="D246" s="2" t="n"/>
      <c r="E246" s="2" t="n"/>
      <c r="F246" s="2" t="n"/>
    </row>
    <row r="247" ht="15.75" customHeight="1" s="57">
      <c r="A247" s="2" t="n"/>
      <c r="B247" s="2" t="n"/>
      <c r="C247" s="2" t="n"/>
      <c r="D247" s="2" t="n"/>
      <c r="E247" s="2" t="n"/>
      <c r="F247" s="2" t="n"/>
    </row>
    <row r="248" ht="15.75" customHeight="1" s="57">
      <c r="A248" s="2" t="n"/>
      <c r="B248" s="2" t="n"/>
      <c r="C248" s="2" t="n"/>
      <c r="D248" s="2" t="n"/>
      <c r="E248" s="2" t="n"/>
      <c r="F248" s="2" t="n"/>
    </row>
    <row r="249" ht="15.75" customHeight="1" s="57">
      <c r="A249" s="2" t="n"/>
      <c r="B249" s="2" t="n"/>
      <c r="C249" s="2" t="n"/>
      <c r="D249" s="2" t="n"/>
      <c r="E249" s="2" t="n"/>
      <c r="F249" s="2" t="n"/>
    </row>
    <row r="250" ht="15.75" customHeight="1" s="57">
      <c r="A250" s="2" t="n"/>
      <c r="B250" s="2" t="n"/>
      <c r="C250" s="2" t="n"/>
      <c r="D250" s="2" t="n"/>
      <c r="E250" s="2" t="n"/>
      <c r="F250" s="2" t="n"/>
    </row>
    <row r="251" ht="15.75" customHeight="1" s="57">
      <c r="A251" s="2" t="n"/>
      <c r="B251" s="2" t="n"/>
      <c r="C251" s="2" t="n"/>
      <c r="D251" s="2" t="n"/>
      <c r="E251" s="2" t="n"/>
      <c r="F251" s="2" t="n"/>
    </row>
    <row r="252" ht="15.75" customHeight="1" s="57">
      <c r="A252" s="2" t="n"/>
      <c r="B252" s="2" t="n"/>
      <c r="C252" s="2" t="n"/>
      <c r="D252" s="2" t="n"/>
      <c r="E252" s="2" t="n"/>
      <c r="F252" s="2" t="n"/>
    </row>
    <row r="253" ht="15.75" customHeight="1" s="57">
      <c r="A253" s="2" t="n"/>
      <c r="B253" s="2" t="n"/>
      <c r="C253" s="2" t="n"/>
      <c r="D253" s="2" t="n"/>
      <c r="E253" s="2" t="n"/>
      <c r="F253" s="2" t="n"/>
    </row>
    <row r="254" ht="15.75" customHeight="1" s="57">
      <c r="A254" s="2" t="n"/>
      <c r="B254" s="2" t="n"/>
      <c r="C254" s="2" t="n"/>
      <c r="D254" s="2" t="n"/>
      <c r="E254" s="2" t="n"/>
      <c r="F254" s="2" t="n"/>
    </row>
    <row r="255" ht="15.75" customHeight="1" s="57">
      <c r="A255" s="2" t="n"/>
      <c r="B255" s="2" t="n"/>
      <c r="C255" s="2" t="n"/>
      <c r="D255" s="2" t="n"/>
      <c r="E255" s="2" t="n"/>
      <c r="F255" s="2" t="n"/>
    </row>
    <row r="256" ht="15.75" customHeight="1" s="57">
      <c r="A256" s="2" t="n"/>
      <c r="B256" s="2" t="n"/>
      <c r="C256" s="2" t="n"/>
      <c r="D256" s="2" t="n"/>
      <c r="E256" s="2" t="n"/>
      <c r="F256" s="2" t="n"/>
    </row>
    <row r="257" ht="15.75" customHeight="1" s="57">
      <c r="A257" s="2" t="n"/>
      <c r="B257" s="2" t="n"/>
      <c r="C257" s="2" t="n"/>
      <c r="D257" s="2" t="n"/>
      <c r="E257" s="2" t="n"/>
      <c r="F257" s="2" t="n"/>
    </row>
    <row r="258" ht="15.75" customHeight="1" s="57">
      <c r="A258" s="2" t="n"/>
      <c r="B258" s="2" t="n"/>
      <c r="C258" s="2" t="n"/>
      <c r="D258" s="2" t="n"/>
      <c r="E258" s="2" t="n"/>
      <c r="F258" s="2" t="n"/>
    </row>
    <row r="259" ht="15.75" customHeight="1" s="57">
      <c r="A259" s="2" t="n"/>
      <c r="B259" s="2" t="n"/>
      <c r="C259" s="2" t="n"/>
      <c r="D259" s="2" t="n"/>
      <c r="E259" s="2" t="n"/>
      <c r="F259" s="2" t="n"/>
    </row>
    <row r="260" ht="15.75" customHeight="1" s="57">
      <c r="A260" s="2" t="n"/>
      <c r="B260" s="2" t="n"/>
      <c r="C260" s="2" t="n"/>
      <c r="D260" s="2" t="n"/>
      <c r="E260" s="2" t="n"/>
      <c r="F260" s="2" t="n"/>
    </row>
    <row r="261" ht="15.75" customHeight="1" s="57">
      <c r="A261" s="2" t="n"/>
      <c r="B261" s="2" t="n"/>
      <c r="C261" s="2" t="n"/>
      <c r="D261" s="2" t="n"/>
      <c r="E261" s="2" t="n"/>
      <c r="F261" s="2" t="n"/>
    </row>
    <row r="262" ht="15.75" customHeight="1" s="57">
      <c r="A262" s="2" t="n"/>
      <c r="B262" s="2" t="n"/>
      <c r="C262" s="2" t="n"/>
      <c r="D262" s="2" t="n"/>
      <c r="E262" s="2" t="n"/>
      <c r="F262" s="2" t="n"/>
    </row>
    <row r="263" ht="15.75" customHeight="1" s="57">
      <c r="A263" s="2" t="n"/>
      <c r="B263" s="2" t="n"/>
      <c r="C263" s="2" t="n"/>
      <c r="D263" s="2" t="n"/>
      <c r="E263" s="2" t="n"/>
      <c r="F263" s="2" t="n"/>
    </row>
    <row r="264" ht="15.75" customHeight="1" s="57">
      <c r="A264" s="2" t="n"/>
      <c r="B264" s="2" t="n"/>
      <c r="C264" s="2" t="n"/>
      <c r="D264" s="2" t="n"/>
      <c r="E264" s="2" t="n"/>
      <c r="F264" s="2" t="n"/>
    </row>
    <row r="265" ht="15.75" customHeight="1" s="57">
      <c r="A265" s="2" t="n"/>
      <c r="B265" s="2" t="n"/>
      <c r="C265" s="2" t="n"/>
      <c r="D265" s="2" t="n"/>
      <c r="E265" s="2" t="n"/>
      <c r="F265" s="2" t="n"/>
    </row>
    <row r="266" ht="15.75" customHeight="1" s="57">
      <c r="A266" s="2" t="n"/>
      <c r="B266" s="2" t="n"/>
      <c r="C266" s="2" t="n"/>
      <c r="D266" s="2" t="n"/>
      <c r="E266" s="2" t="n"/>
      <c r="F266" s="2" t="n"/>
    </row>
    <row r="267" ht="15.75" customHeight="1" s="57">
      <c r="A267" s="2" t="n"/>
      <c r="B267" s="2" t="n"/>
      <c r="C267" s="2" t="n"/>
      <c r="D267" s="2" t="n"/>
      <c r="E267" s="2" t="n"/>
      <c r="F267" s="2" t="n"/>
    </row>
    <row r="268" ht="15.75" customHeight="1" s="57">
      <c r="A268" s="2" t="n"/>
      <c r="B268" s="2" t="n"/>
      <c r="C268" s="2" t="n"/>
      <c r="D268" s="2" t="n"/>
      <c r="E268" s="2" t="n"/>
      <c r="F268" s="2" t="n"/>
    </row>
    <row r="269" ht="15.75" customHeight="1" s="57">
      <c r="A269" s="2" t="n"/>
      <c r="B269" s="2" t="n"/>
      <c r="C269" s="2" t="n"/>
      <c r="D269" s="2" t="n"/>
      <c r="E269" s="2" t="n"/>
      <c r="F269" s="2" t="n"/>
    </row>
    <row r="270" ht="15.75" customHeight="1" s="57">
      <c r="A270" s="2" t="n"/>
      <c r="B270" s="2" t="n"/>
      <c r="C270" s="2" t="n"/>
      <c r="D270" s="2" t="n"/>
      <c r="E270" s="2" t="n"/>
      <c r="F270" s="2" t="n"/>
    </row>
    <row r="271" ht="15.75" customHeight="1" s="57">
      <c r="A271" s="2" t="n"/>
      <c r="B271" s="2" t="n"/>
      <c r="C271" s="2" t="n"/>
      <c r="D271" s="2" t="n"/>
      <c r="E271" s="2" t="n"/>
      <c r="F271" s="2" t="n"/>
    </row>
    <row r="272" ht="15.75" customHeight="1" s="57">
      <c r="A272" s="2" t="n"/>
      <c r="B272" s="2" t="n"/>
      <c r="C272" s="2" t="n"/>
      <c r="D272" s="2" t="n"/>
      <c r="E272" s="2" t="n"/>
      <c r="F272" s="2" t="n"/>
    </row>
    <row r="273" ht="15.75" customHeight="1" s="57">
      <c r="A273" s="2" t="n"/>
      <c r="B273" s="2" t="n"/>
      <c r="C273" s="2" t="n"/>
      <c r="D273" s="2" t="n"/>
      <c r="E273" s="2" t="n"/>
      <c r="F273" s="2" t="n"/>
    </row>
    <row r="274" ht="15.75" customHeight="1" s="57">
      <c r="A274" s="2" t="n"/>
      <c r="B274" s="2" t="n"/>
      <c r="C274" s="2" t="n"/>
      <c r="D274" s="2" t="n"/>
      <c r="E274" s="2" t="n"/>
      <c r="F274" s="2" t="n"/>
    </row>
    <row r="275" ht="15.75" customHeight="1" s="57">
      <c r="A275" s="2" t="n"/>
      <c r="B275" s="2" t="n"/>
      <c r="C275" s="2" t="n"/>
      <c r="D275" s="2" t="n"/>
      <c r="E275" s="2" t="n"/>
      <c r="F275" s="2" t="n"/>
    </row>
    <row r="276" ht="15.75" customHeight="1" s="57">
      <c r="A276" s="2" t="n"/>
      <c r="B276" s="2" t="n"/>
      <c r="C276" s="2" t="n"/>
      <c r="D276" s="2" t="n"/>
      <c r="E276" s="2" t="n"/>
      <c r="F276" s="2" t="n"/>
    </row>
    <row r="277" ht="15.75" customHeight="1" s="57">
      <c r="A277" s="2" t="n"/>
      <c r="B277" s="2" t="n"/>
      <c r="C277" s="2" t="n"/>
      <c r="D277" s="2" t="n"/>
      <c r="E277" s="2" t="n"/>
      <c r="F277" s="2" t="n"/>
    </row>
    <row r="278" ht="15.75" customHeight="1" s="57">
      <c r="A278" s="2" t="n"/>
      <c r="B278" s="2" t="n"/>
      <c r="C278" s="2" t="n"/>
      <c r="D278" s="2" t="n"/>
      <c r="E278" s="2" t="n"/>
      <c r="F278" s="2" t="n"/>
    </row>
    <row r="279" ht="15.75" customHeight="1" s="57">
      <c r="A279" s="2" t="n"/>
      <c r="B279" s="2" t="n"/>
      <c r="C279" s="2" t="n"/>
      <c r="D279" s="2" t="n"/>
      <c r="E279" s="2" t="n"/>
      <c r="F279" s="2" t="n"/>
    </row>
    <row r="280" ht="15.75" customHeight="1" s="57">
      <c r="A280" s="2" t="n"/>
      <c r="B280" s="2" t="n"/>
      <c r="C280" s="2" t="n"/>
      <c r="D280" s="2" t="n"/>
      <c r="E280" s="2" t="n"/>
      <c r="F280" s="2" t="n"/>
    </row>
    <row r="281" ht="15.75" customHeight="1" s="57">
      <c r="A281" s="2" t="n"/>
      <c r="B281" s="2" t="n"/>
      <c r="C281" s="2" t="n"/>
      <c r="D281" s="2" t="n"/>
      <c r="E281" s="2" t="n"/>
      <c r="F281" s="2" t="n"/>
    </row>
    <row r="282" ht="15.75" customHeight="1" s="57">
      <c r="A282" s="2" t="n"/>
      <c r="B282" s="2" t="n"/>
      <c r="C282" s="2" t="n"/>
      <c r="D282" s="2" t="n"/>
      <c r="E282" s="2" t="n"/>
      <c r="F282" s="2" t="n"/>
    </row>
    <row r="283" ht="15.75" customHeight="1" s="57">
      <c r="A283" s="2" t="n"/>
      <c r="B283" s="2" t="n"/>
      <c r="C283" s="2" t="n"/>
      <c r="D283" s="2" t="n"/>
      <c r="E283" s="2" t="n"/>
      <c r="F283" s="2" t="n"/>
    </row>
    <row r="284" ht="15.75" customHeight="1" s="57">
      <c r="A284" s="2" t="n"/>
      <c r="B284" s="2" t="n"/>
      <c r="C284" s="2" t="n"/>
      <c r="D284" s="2" t="n"/>
      <c r="E284" s="2" t="n"/>
      <c r="F284" s="2" t="n"/>
    </row>
    <row r="285" ht="15.75" customHeight="1" s="57">
      <c r="A285" s="2" t="n"/>
      <c r="B285" s="2" t="n"/>
      <c r="C285" s="2" t="n"/>
      <c r="D285" s="2" t="n"/>
      <c r="E285" s="2" t="n"/>
      <c r="F285" s="2" t="n"/>
    </row>
    <row r="286" ht="15.75" customHeight="1" s="57">
      <c r="A286" s="2" t="n"/>
      <c r="B286" s="2" t="n"/>
      <c r="C286" s="2" t="n"/>
      <c r="D286" s="2" t="n"/>
      <c r="E286" s="2" t="n"/>
      <c r="F286" s="2" t="n"/>
    </row>
    <row r="287" ht="15.75" customHeight="1" s="57">
      <c r="A287" s="2" t="n"/>
      <c r="B287" s="2" t="n"/>
      <c r="C287" s="2" t="n"/>
      <c r="D287" s="2" t="n"/>
      <c r="E287" s="2" t="n"/>
      <c r="F287" s="2" t="n"/>
    </row>
    <row r="288" ht="15.75" customHeight="1" s="57">
      <c r="A288" s="2" t="n"/>
      <c r="B288" s="2" t="n"/>
      <c r="C288" s="2" t="n"/>
      <c r="D288" s="2" t="n"/>
      <c r="E288" s="2" t="n"/>
      <c r="F288" s="2" t="n"/>
    </row>
    <row r="289" ht="15.75" customHeight="1" s="57">
      <c r="A289" s="2" t="n"/>
      <c r="B289" s="2" t="n"/>
      <c r="C289" s="2" t="n"/>
      <c r="D289" s="2" t="n"/>
      <c r="E289" s="2" t="n"/>
      <c r="F289" s="2" t="n"/>
    </row>
    <row r="290" ht="15.75" customHeight="1" s="57">
      <c r="A290" s="2" t="n"/>
      <c r="B290" s="2" t="n"/>
      <c r="C290" s="2" t="n"/>
      <c r="D290" s="2" t="n"/>
      <c r="E290" s="2" t="n"/>
      <c r="F290" s="2" t="n"/>
    </row>
    <row r="291" ht="15.75" customHeight="1" s="57">
      <c r="A291" s="2" t="n"/>
      <c r="B291" s="2" t="n"/>
      <c r="C291" s="2" t="n"/>
      <c r="D291" s="2" t="n"/>
      <c r="E291" s="2" t="n"/>
      <c r="F291" s="2" t="n"/>
    </row>
    <row r="292" ht="15.75" customHeight="1" s="57">
      <c r="A292" s="2" t="n"/>
      <c r="B292" s="2" t="n"/>
      <c r="C292" s="2" t="n"/>
      <c r="D292" s="2" t="n"/>
      <c r="E292" s="2" t="n"/>
      <c r="F292" s="2" t="n"/>
    </row>
    <row r="293" ht="15.75" customHeight="1" s="57">
      <c r="A293" s="2" t="n"/>
      <c r="B293" s="2" t="n"/>
      <c r="C293" s="2" t="n"/>
      <c r="D293" s="2" t="n"/>
      <c r="E293" s="2" t="n"/>
      <c r="F293" s="2" t="n"/>
    </row>
    <row r="294" ht="15.75" customHeight="1" s="57">
      <c r="A294" s="2" t="n"/>
      <c r="B294" s="2" t="n"/>
      <c r="C294" s="2" t="n"/>
      <c r="D294" s="2" t="n"/>
      <c r="E294" s="2" t="n"/>
      <c r="F294" s="2" t="n"/>
    </row>
    <row r="295" ht="15.75" customHeight="1" s="57">
      <c r="A295" s="2" t="n"/>
      <c r="B295" s="2" t="n"/>
      <c r="C295" s="2" t="n"/>
      <c r="D295" s="2" t="n"/>
      <c r="E295" s="2" t="n"/>
      <c r="F295" s="2" t="n"/>
    </row>
    <row r="296" ht="15.75" customHeight="1" s="57">
      <c r="A296" s="2" t="n"/>
      <c r="B296" s="2" t="n"/>
      <c r="C296" s="2" t="n"/>
      <c r="D296" s="2" t="n"/>
      <c r="E296" s="2" t="n"/>
      <c r="F296" s="2" t="n"/>
    </row>
    <row r="297" ht="15.75" customHeight="1" s="57">
      <c r="A297" s="2" t="n"/>
      <c r="B297" s="2" t="n"/>
      <c r="C297" s="2" t="n"/>
      <c r="D297" s="2" t="n"/>
      <c r="E297" s="2" t="n"/>
      <c r="F297" s="2" t="n"/>
    </row>
    <row r="298" ht="15.75" customHeight="1" s="57">
      <c r="A298" s="2" t="n"/>
      <c r="B298" s="2" t="n"/>
      <c r="C298" s="2" t="n"/>
      <c r="D298" s="2" t="n"/>
      <c r="E298" s="2" t="n"/>
      <c r="F298" s="2" t="n"/>
    </row>
    <row r="299" ht="15.75" customHeight="1" s="57">
      <c r="A299" s="2" t="n"/>
      <c r="B299" s="2" t="n"/>
      <c r="C299" s="2" t="n"/>
      <c r="D299" s="2" t="n"/>
      <c r="E299" s="2" t="n"/>
      <c r="F299" s="2" t="n"/>
    </row>
    <row r="300" ht="15.75" customHeight="1" s="57">
      <c r="A300" s="2" t="n"/>
      <c r="B300" s="2" t="n"/>
      <c r="C300" s="2" t="n"/>
      <c r="D300" s="2" t="n"/>
      <c r="E300" s="2" t="n"/>
      <c r="F300" s="2" t="n"/>
    </row>
    <row r="301" ht="15.75" customHeight="1" s="57">
      <c r="A301" s="2" t="n"/>
      <c r="B301" s="2" t="n"/>
      <c r="C301" s="2" t="n"/>
      <c r="D301" s="2" t="n"/>
      <c r="E301" s="2" t="n"/>
      <c r="F301" s="2" t="n"/>
    </row>
    <row r="302" ht="15.75" customHeight="1" s="57">
      <c r="A302" s="2" t="n"/>
      <c r="B302" s="2" t="n"/>
      <c r="C302" s="2" t="n"/>
      <c r="D302" s="2" t="n"/>
      <c r="E302" s="2" t="n"/>
      <c r="F302" s="2" t="n"/>
    </row>
    <row r="303" ht="15.75" customHeight="1" s="57">
      <c r="A303" s="2" t="n"/>
      <c r="B303" s="2" t="n"/>
      <c r="C303" s="2" t="n"/>
      <c r="D303" s="2" t="n"/>
      <c r="E303" s="2" t="n"/>
      <c r="F303" s="2" t="n"/>
    </row>
    <row r="304" ht="15.75" customHeight="1" s="57">
      <c r="A304" s="2" t="n"/>
      <c r="B304" s="2" t="n"/>
      <c r="C304" s="2" t="n"/>
      <c r="D304" s="2" t="n"/>
      <c r="E304" s="2" t="n"/>
      <c r="F304" s="2" t="n"/>
    </row>
    <row r="305" ht="15.75" customHeight="1" s="57">
      <c r="A305" s="2" t="n"/>
      <c r="B305" s="2" t="n"/>
      <c r="C305" s="2" t="n"/>
      <c r="D305" s="2" t="n"/>
      <c r="E305" s="2" t="n"/>
      <c r="F305" s="2" t="n"/>
    </row>
    <row r="306" ht="15.75" customHeight="1" s="57">
      <c r="A306" s="2" t="n"/>
      <c r="B306" s="2" t="n"/>
      <c r="C306" s="2" t="n"/>
      <c r="D306" s="2" t="n"/>
      <c r="E306" s="2" t="n"/>
      <c r="F306" s="2" t="n"/>
    </row>
    <row r="307" ht="15.75" customHeight="1" s="57">
      <c r="A307" s="2" t="n"/>
      <c r="B307" s="2" t="n"/>
      <c r="C307" s="2" t="n"/>
      <c r="D307" s="2" t="n"/>
      <c r="E307" s="2" t="n"/>
      <c r="F307" s="2" t="n"/>
    </row>
    <row r="308" ht="15.75" customHeight="1" s="57">
      <c r="A308" s="2" t="n"/>
      <c r="B308" s="2" t="n"/>
      <c r="C308" s="2" t="n"/>
      <c r="D308" s="2" t="n"/>
      <c r="E308" s="2" t="n"/>
      <c r="F308" s="2" t="n"/>
    </row>
    <row r="309" ht="15.75" customHeight="1" s="57">
      <c r="A309" s="2" t="n"/>
      <c r="B309" s="2" t="n"/>
      <c r="C309" s="2" t="n"/>
      <c r="D309" s="2" t="n"/>
      <c r="E309" s="2" t="n"/>
      <c r="F309" s="2" t="n"/>
    </row>
    <row r="310" ht="15.75" customHeight="1" s="57">
      <c r="A310" s="2" t="n"/>
      <c r="B310" s="2" t="n"/>
      <c r="C310" s="2" t="n"/>
      <c r="D310" s="2" t="n"/>
      <c r="E310" s="2" t="n"/>
      <c r="F310" s="2" t="n"/>
    </row>
    <row r="311" ht="15.75" customHeight="1" s="57">
      <c r="A311" s="2" t="n"/>
      <c r="B311" s="2" t="n"/>
      <c r="C311" s="2" t="n"/>
      <c r="D311" s="2" t="n"/>
      <c r="E311" s="2" t="n"/>
      <c r="F311" s="2" t="n"/>
    </row>
    <row r="312" ht="15.75" customHeight="1" s="57">
      <c r="A312" s="2" t="n"/>
      <c r="B312" s="2" t="n"/>
      <c r="C312" s="2" t="n"/>
      <c r="D312" s="2" t="n"/>
      <c r="E312" s="2" t="n"/>
      <c r="F312" s="2" t="n"/>
    </row>
    <row r="313" ht="15.75" customHeight="1" s="57">
      <c r="A313" s="2" t="n"/>
      <c r="B313" s="2" t="n"/>
      <c r="C313" s="2" t="n"/>
      <c r="D313" s="2" t="n"/>
      <c r="E313" s="2" t="n"/>
      <c r="F313" s="2" t="n"/>
    </row>
    <row r="314" ht="15.75" customHeight="1" s="57">
      <c r="A314" s="2" t="n"/>
      <c r="B314" s="2" t="n"/>
      <c r="C314" s="2" t="n"/>
      <c r="D314" s="2" t="n"/>
      <c r="E314" s="2" t="n"/>
      <c r="F314" s="2" t="n"/>
    </row>
    <row r="315" ht="15.75" customHeight="1" s="57">
      <c r="A315" s="2" t="n"/>
      <c r="B315" s="2" t="n"/>
      <c r="C315" s="2" t="n"/>
      <c r="D315" s="2" t="n"/>
      <c r="E315" s="2" t="n"/>
      <c r="F315" s="2" t="n"/>
    </row>
    <row r="316" ht="15.75" customHeight="1" s="57">
      <c r="A316" s="2" t="n"/>
      <c r="B316" s="2" t="n"/>
      <c r="C316" s="2" t="n"/>
      <c r="D316" s="2" t="n"/>
      <c r="E316" s="2" t="n"/>
      <c r="F316" s="2" t="n"/>
    </row>
    <row r="317" ht="15.75" customHeight="1" s="57">
      <c r="A317" s="2" t="n"/>
      <c r="B317" s="2" t="n"/>
      <c r="C317" s="2" t="n"/>
      <c r="D317" s="2" t="n"/>
      <c r="E317" s="2" t="n"/>
      <c r="F317" s="2" t="n"/>
    </row>
    <row r="318" ht="15.75" customHeight="1" s="57">
      <c r="A318" s="2" t="n"/>
      <c r="B318" s="2" t="n"/>
      <c r="C318" s="2" t="n"/>
      <c r="D318" s="2" t="n"/>
      <c r="E318" s="2" t="n"/>
      <c r="F318" s="2" t="n"/>
    </row>
    <row r="319" ht="15.75" customHeight="1" s="57">
      <c r="A319" s="2" t="n"/>
      <c r="B319" s="2" t="n"/>
      <c r="C319" s="2" t="n"/>
      <c r="D319" s="2" t="n"/>
      <c r="E319" s="2" t="n"/>
      <c r="F319" s="2" t="n"/>
    </row>
    <row r="320" ht="15.75" customHeight="1" s="57">
      <c r="A320" s="2" t="n"/>
      <c r="B320" s="2" t="n"/>
      <c r="C320" s="2" t="n"/>
      <c r="D320" s="2" t="n"/>
      <c r="E320" s="2" t="n"/>
      <c r="F320" s="2" t="n"/>
    </row>
    <row r="321" ht="15.75" customHeight="1" s="57">
      <c r="A321" s="2" t="n"/>
      <c r="B321" s="2" t="n"/>
      <c r="C321" s="2" t="n"/>
      <c r="D321" s="2" t="n"/>
      <c r="E321" s="2" t="n"/>
      <c r="F321" s="2" t="n"/>
    </row>
    <row r="322" ht="15.75" customHeight="1" s="57">
      <c r="A322" s="2" t="n"/>
      <c r="B322" s="2" t="n"/>
      <c r="C322" s="2" t="n"/>
      <c r="D322" s="2" t="n"/>
      <c r="E322" s="2" t="n"/>
      <c r="F322" s="2" t="n"/>
    </row>
    <row r="323" ht="15.75" customHeight="1" s="57">
      <c r="A323" s="2" t="n"/>
      <c r="B323" s="2" t="n"/>
      <c r="C323" s="2" t="n"/>
      <c r="D323" s="2" t="n"/>
      <c r="E323" s="2" t="n"/>
      <c r="F323" s="2" t="n"/>
    </row>
    <row r="324" ht="15.75" customHeight="1" s="57">
      <c r="A324" s="2" t="n"/>
      <c r="B324" s="2" t="n"/>
      <c r="C324" s="2" t="n"/>
      <c r="D324" s="2" t="n"/>
      <c r="E324" s="2" t="n"/>
      <c r="F324" s="2" t="n"/>
    </row>
    <row r="325" ht="15.75" customHeight="1" s="57">
      <c r="A325" s="2" t="n"/>
      <c r="B325" s="2" t="n"/>
      <c r="C325" s="2" t="n"/>
      <c r="D325" s="2" t="n"/>
      <c r="E325" s="2" t="n"/>
      <c r="F325" s="2" t="n"/>
    </row>
    <row r="326" ht="15.75" customHeight="1" s="57">
      <c r="A326" s="2" t="n"/>
      <c r="B326" s="2" t="n"/>
      <c r="C326" s="2" t="n"/>
      <c r="D326" s="2" t="n"/>
      <c r="E326" s="2" t="n"/>
      <c r="F326" s="2" t="n"/>
    </row>
    <row r="327" ht="15.75" customHeight="1" s="57">
      <c r="A327" s="2" t="n"/>
      <c r="B327" s="2" t="n"/>
      <c r="C327" s="2" t="n"/>
      <c r="D327" s="2" t="n"/>
      <c r="E327" s="2" t="n"/>
      <c r="F327" s="2" t="n"/>
    </row>
    <row r="328" ht="15.75" customHeight="1" s="57">
      <c r="A328" s="2" t="n"/>
      <c r="B328" s="2" t="n"/>
      <c r="C328" s="2" t="n"/>
      <c r="D328" s="2" t="n"/>
      <c r="E328" s="2" t="n"/>
      <c r="F328" s="2" t="n"/>
    </row>
    <row r="329" ht="15.75" customHeight="1" s="57">
      <c r="A329" s="2" t="n"/>
      <c r="B329" s="2" t="n"/>
      <c r="C329" s="2" t="n"/>
      <c r="D329" s="2" t="n"/>
      <c r="E329" s="2" t="n"/>
      <c r="F329" s="2" t="n"/>
    </row>
    <row r="330" ht="15.75" customHeight="1" s="57">
      <c r="A330" s="2" t="n"/>
      <c r="B330" s="2" t="n"/>
      <c r="C330" s="2" t="n"/>
      <c r="D330" s="2" t="n"/>
      <c r="E330" s="2" t="n"/>
      <c r="F330" s="2" t="n"/>
    </row>
    <row r="331" ht="15.75" customHeight="1" s="57">
      <c r="A331" s="2" t="n"/>
      <c r="B331" s="2" t="n"/>
      <c r="C331" s="2" t="n"/>
      <c r="D331" s="2" t="n"/>
      <c r="E331" s="2" t="n"/>
      <c r="F331" s="2" t="n"/>
    </row>
    <row r="332" ht="15.75" customHeight="1" s="57">
      <c r="A332" s="2" t="n"/>
      <c r="B332" s="2" t="n"/>
      <c r="C332" s="2" t="n"/>
      <c r="D332" s="2" t="n"/>
      <c r="E332" s="2" t="n"/>
      <c r="F332" s="2" t="n"/>
    </row>
    <row r="333" ht="15.75" customHeight="1" s="57">
      <c r="A333" s="2" t="n"/>
      <c r="B333" s="2" t="n"/>
      <c r="C333" s="2" t="n"/>
      <c r="D333" s="2" t="n"/>
      <c r="E333" s="2" t="n"/>
      <c r="F333" s="2" t="n"/>
    </row>
    <row r="334" ht="15.75" customHeight="1" s="57">
      <c r="A334" s="2" t="n"/>
      <c r="B334" s="2" t="n"/>
      <c r="C334" s="2" t="n"/>
      <c r="D334" s="2" t="n"/>
      <c r="E334" s="2" t="n"/>
      <c r="F334" s="2" t="n"/>
    </row>
    <row r="335" ht="15.75" customHeight="1" s="57">
      <c r="A335" s="2" t="n"/>
      <c r="B335" s="2" t="n"/>
      <c r="C335" s="2" t="n"/>
      <c r="D335" s="2" t="n"/>
      <c r="E335" s="2" t="n"/>
      <c r="F335" s="2" t="n"/>
    </row>
    <row r="336" ht="15.75" customHeight="1" s="57">
      <c r="A336" s="2" t="n"/>
      <c r="B336" s="2" t="n"/>
      <c r="C336" s="2" t="n"/>
      <c r="D336" s="2" t="n"/>
      <c r="E336" s="2" t="n"/>
      <c r="F336" s="2" t="n"/>
    </row>
    <row r="337" ht="15.75" customHeight="1" s="57">
      <c r="A337" s="2" t="n"/>
      <c r="B337" s="2" t="n"/>
      <c r="C337" s="2" t="n"/>
      <c r="D337" s="2" t="n"/>
      <c r="E337" s="2" t="n"/>
      <c r="F337" s="2" t="n"/>
    </row>
    <row r="338" ht="15.75" customHeight="1" s="57">
      <c r="A338" s="2" t="n"/>
      <c r="B338" s="2" t="n"/>
      <c r="C338" s="2" t="n"/>
      <c r="D338" s="2" t="n"/>
      <c r="E338" s="2" t="n"/>
      <c r="F338" s="2" t="n"/>
    </row>
    <row r="339" ht="15.75" customHeight="1" s="57">
      <c r="A339" s="2" t="n"/>
      <c r="B339" s="2" t="n"/>
      <c r="C339" s="2" t="n"/>
      <c r="D339" s="2" t="n"/>
      <c r="E339" s="2" t="n"/>
      <c r="F339" s="2" t="n"/>
    </row>
    <row r="340" ht="15.75" customHeight="1" s="57">
      <c r="A340" s="2" t="n"/>
      <c r="B340" s="2" t="n"/>
      <c r="C340" s="2" t="n"/>
      <c r="D340" s="2" t="n"/>
      <c r="E340" s="2" t="n"/>
      <c r="F340" s="2" t="n"/>
    </row>
    <row r="341" ht="15.75" customHeight="1" s="57">
      <c r="A341" s="2" t="n"/>
      <c r="B341" s="2" t="n"/>
      <c r="C341" s="2" t="n"/>
      <c r="D341" s="2" t="n"/>
      <c r="E341" s="2" t="n"/>
      <c r="F341" s="2" t="n"/>
    </row>
    <row r="342" ht="15.75" customHeight="1" s="57">
      <c r="A342" s="2" t="n"/>
      <c r="B342" s="2" t="n"/>
      <c r="C342" s="2" t="n"/>
      <c r="D342" s="2" t="n"/>
      <c r="E342" s="2" t="n"/>
      <c r="F342" s="2" t="n"/>
    </row>
    <row r="343" ht="15.75" customHeight="1" s="57">
      <c r="A343" s="2" t="n"/>
      <c r="B343" s="2" t="n"/>
      <c r="C343" s="2" t="n"/>
      <c r="D343" s="2" t="n"/>
      <c r="E343" s="2" t="n"/>
      <c r="F343" s="2" t="n"/>
    </row>
    <row r="344" ht="15.75" customHeight="1" s="57">
      <c r="A344" s="2" t="n"/>
      <c r="B344" s="2" t="n"/>
      <c r="C344" s="2" t="n"/>
      <c r="D344" s="2" t="n"/>
      <c r="E344" s="2" t="n"/>
      <c r="F344" s="2" t="n"/>
    </row>
    <row r="345" ht="15.75" customHeight="1" s="57">
      <c r="A345" s="2" t="n"/>
      <c r="B345" s="2" t="n"/>
      <c r="C345" s="2" t="n"/>
      <c r="D345" s="2" t="n"/>
      <c r="E345" s="2" t="n"/>
      <c r="F345" s="2" t="n"/>
    </row>
    <row r="346" ht="15.75" customHeight="1" s="57">
      <c r="A346" s="2" t="n"/>
      <c r="B346" s="2" t="n"/>
      <c r="C346" s="2" t="n"/>
      <c r="D346" s="2" t="n"/>
      <c r="E346" s="2" t="n"/>
      <c r="F346" s="2" t="n"/>
    </row>
    <row r="347" ht="15.75" customHeight="1" s="57">
      <c r="A347" s="2" t="n"/>
      <c r="B347" s="2" t="n"/>
      <c r="C347" s="2" t="n"/>
      <c r="D347" s="2" t="n"/>
      <c r="E347" s="2" t="n"/>
      <c r="F347" s="2" t="n"/>
    </row>
    <row r="348" ht="15.75" customHeight="1" s="57">
      <c r="A348" s="2" t="n"/>
      <c r="B348" s="2" t="n"/>
      <c r="C348" s="2" t="n"/>
      <c r="D348" s="2" t="n"/>
      <c r="E348" s="2" t="n"/>
      <c r="F348" s="2" t="n"/>
    </row>
    <row r="349" ht="15.75" customHeight="1" s="57">
      <c r="A349" s="2" t="n"/>
      <c r="B349" s="2" t="n"/>
      <c r="C349" s="2" t="n"/>
      <c r="D349" s="2" t="n"/>
      <c r="E349" s="2" t="n"/>
      <c r="F349" s="2" t="n"/>
    </row>
    <row r="350" ht="15.75" customHeight="1" s="57">
      <c r="A350" s="2" t="n"/>
      <c r="B350" s="2" t="n"/>
      <c r="C350" s="2" t="n"/>
      <c r="D350" s="2" t="n"/>
      <c r="E350" s="2" t="n"/>
      <c r="F350" s="2" t="n"/>
    </row>
    <row r="351" ht="15.75" customHeight="1" s="57">
      <c r="A351" s="2" t="n"/>
      <c r="B351" s="2" t="n"/>
      <c r="C351" s="2" t="n"/>
      <c r="D351" s="2" t="n"/>
      <c r="E351" s="2" t="n"/>
      <c r="F351" s="2" t="n"/>
    </row>
    <row r="352" ht="15.75" customHeight="1" s="57">
      <c r="A352" s="2" t="n"/>
      <c r="B352" s="2" t="n"/>
      <c r="C352" s="2" t="n"/>
      <c r="D352" s="2" t="n"/>
      <c r="E352" s="2" t="n"/>
      <c r="F352" s="2" t="n"/>
    </row>
    <row r="353" ht="15.75" customHeight="1" s="57">
      <c r="A353" s="2" t="n"/>
      <c r="B353" s="2" t="n"/>
      <c r="C353" s="2" t="n"/>
      <c r="D353" s="2" t="n"/>
      <c r="E353" s="2" t="n"/>
      <c r="F353" s="2" t="n"/>
    </row>
    <row r="354" ht="15.75" customHeight="1" s="57">
      <c r="A354" s="2" t="n"/>
      <c r="B354" s="2" t="n"/>
      <c r="C354" s="2" t="n"/>
      <c r="D354" s="2" t="n"/>
      <c r="E354" s="2" t="n"/>
      <c r="F354" s="2" t="n"/>
    </row>
    <row r="355" ht="15.75" customHeight="1" s="57">
      <c r="A355" s="2" t="n"/>
      <c r="B355" s="2" t="n"/>
      <c r="C355" s="2" t="n"/>
      <c r="D355" s="2" t="n"/>
      <c r="E355" s="2" t="n"/>
      <c r="F355" s="2" t="n"/>
    </row>
    <row r="356" ht="15.75" customHeight="1" s="57">
      <c r="A356" s="2" t="n"/>
      <c r="B356" s="2" t="n"/>
      <c r="C356" s="2" t="n"/>
      <c r="D356" s="2" t="n"/>
      <c r="E356" s="2" t="n"/>
      <c r="F356" s="2" t="n"/>
    </row>
    <row r="357" ht="15.75" customHeight="1" s="57">
      <c r="A357" s="2" t="n"/>
      <c r="B357" s="2" t="n"/>
      <c r="C357" s="2" t="n"/>
      <c r="D357" s="2" t="n"/>
      <c r="E357" s="2" t="n"/>
      <c r="F357" s="2" t="n"/>
    </row>
    <row r="358" ht="15.75" customHeight="1" s="57">
      <c r="A358" s="2" t="n"/>
      <c r="B358" s="2" t="n"/>
      <c r="C358" s="2" t="n"/>
      <c r="D358" s="2" t="n"/>
      <c r="E358" s="2" t="n"/>
      <c r="F358" s="2" t="n"/>
    </row>
    <row r="359" ht="15.75" customHeight="1" s="57">
      <c r="A359" s="2" t="n"/>
      <c r="B359" s="2" t="n"/>
      <c r="C359" s="2" t="n"/>
      <c r="D359" s="2" t="n"/>
      <c r="E359" s="2" t="n"/>
      <c r="F359" s="2" t="n"/>
    </row>
    <row r="360" ht="15.75" customHeight="1" s="57">
      <c r="A360" s="2" t="n"/>
      <c r="B360" s="2" t="n"/>
      <c r="C360" s="2" t="n"/>
      <c r="D360" s="2" t="n"/>
      <c r="E360" s="2" t="n"/>
      <c r="F360" s="2" t="n"/>
    </row>
    <row r="361" ht="15.75" customHeight="1" s="57">
      <c r="A361" s="2" t="n"/>
      <c r="B361" s="2" t="n"/>
      <c r="C361" s="2" t="n"/>
      <c r="D361" s="2" t="n"/>
      <c r="E361" s="2" t="n"/>
      <c r="F361" s="2" t="n"/>
    </row>
    <row r="362" ht="15.75" customHeight="1" s="57">
      <c r="A362" s="2" t="n"/>
      <c r="B362" s="2" t="n"/>
      <c r="C362" s="2" t="n"/>
      <c r="D362" s="2" t="n"/>
      <c r="E362" s="2" t="n"/>
      <c r="F362" s="2" t="n"/>
    </row>
    <row r="363" ht="15.75" customHeight="1" s="57">
      <c r="A363" s="2" t="n"/>
      <c r="B363" s="2" t="n"/>
      <c r="C363" s="2" t="n"/>
      <c r="D363" s="2" t="n"/>
      <c r="E363" s="2" t="n"/>
      <c r="F363" s="2" t="n"/>
    </row>
    <row r="364" ht="15.75" customHeight="1" s="57">
      <c r="A364" s="2" t="n"/>
      <c r="B364" s="2" t="n"/>
      <c r="C364" s="2" t="n"/>
      <c r="D364" s="2" t="n"/>
      <c r="E364" s="2" t="n"/>
      <c r="F364" s="2" t="n"/>
    </row>
    <row r="365" ht="15.75" customHeight="1" s="57">
      <c r="A365" s="2" t="n"/>
      <c r="B365" s="2" t="n"/>
      <c r="C365" s="2" t="n"/>
      <c r="D365" s="2" t="n"/>
      <c r="E365" s="2" t="n"/>
      <c r="F365" s="2" t="n"/>
    </row>
    <row r="366" ht="15.75" customHeight="1" s="57">
      <c r="A366" s="2" t="n"/>
      <c r="B366" s="2" t="n"/>
      <c r="C366" s="2" t="n"/>
      <c r="D366" s="2" t="n"/>
      <c r="E366" s="2" t="n"/>
      <c r="F366" s="2" t="n"/>
    </row>
    <row r="367" ht="15.75" customHeight="1" s="57">
      <c r="A367" s="2" t="n"/>
      <c r="B367" s="2" t="n"/>
      <c r="C367" s="2" t="n"/>
      <c r="D367" s="2" t="n"/>
      <c r="E367" s="2" t="n"/>
      <c r="F367" s="2" t="n"/>
    </row>
    <row r="368" ht="15.75" customHeight="1" s="57">
      <c r="A368" s="2" t="n"/>
      <c r="B368" s="2" t="n"/>
      <c r="C368" s="2" t="n"/>
      <c r="D368" s="2" t="n"/>
      <c r="E368" s="2" t="n"/>
      <c r="F368" s="2" t="n"/>
    </row>
    <row r="369" ht="15.75" customHeight="1" s="57">
      <c r="A369" s="2" t="n"/>
      <c r="B369" s="2" t="n"/>
      <c r="C369" s="2" t="n"/>
      <c r="D369" s="2" t="n"/>
      <c r="E369" s="2" t="n"/>
      <c r="F369" s="2" t="n"/>
    </row>
    <row r="370" ht="15.75" customHeight="1" s="57">
      <c r="A370" s="2" t="n"/>
      <c r="B370" s="2" t="n"/>
      <c r="C370" s="2" t="n"/>
      <c r="D370" s="2" t="n"/>
      <c r="E370" s="2" t="n"/>
      <c r="F370" s="2" t="n"/>
    </row>
    <row r="371" ht="15.75" customHeight="1" s="57">
      <c r="A371" s="2" t="n"/>
      <c r="B371" s="2" t="n"/>
      <c r="C371" s="2" t="n"/>
      <c r="D371" s="2" t="n"/>
      <c r="E371" s="2" t="n"/>
      <c r="F371" s="2" t="n"/>
    </row>
    <row r="372" ht="15.75" customHeight="1" s="57">
      <c r="A372" s="2" t="n"/>
      <c r="B372" s="2" t="n"/>
      <c r="C372" s="2" t="n"/>
      <c r="D372" s="2" t="n"/>
      <c r="E372" s="2" t="n"/>
      <c r="F372" s="2" t="n"/>
    </row>
    <row r="373" ht="15.75" customHeight="1" s="57">
      <c r="A373" s="2" t="n"/>
      <c r="B373" s="2" t="n"/>
      <c r="C373" s="2" t="n"/>
      <c r="D373" s="2" t="n"/>
      <c r="E373" s="2" t="n"/>
      <c r="F373" s="2" t="n"/>
    </row>
    <row r="374" ht="15.75" customHeight="1" s="57">
      <c r="A374" s="2" t="n"/>
      <c r="B374" s="2" t="n"/>
      <c r="C374" s="2" t="n"/>
      <c r="D374" s="2" t="n"/>
      <c r="E374" s="2" t="n"/>
      <c r="F374" s="2" t="n"/>
    </row>
    <row r="375" ht="15.75" customHeight="1" s="57">
      <c r="A375" s="2" t="n"/>
      <c r="B375" s="2" t="n"/>
      <c r="C375" s="2" t="n"/>
      <c r="D375" s="2" t="n"/>
      <c r="E375" s="2" t="n"/>
      <c r="F375" s="2" t="n"/>
    </row>
    <row r="376" ht="15.75" customHeight="1" s="57">
      <c r="A376" s="2" t="n"/>
      <c r="B376" s="2" t="n"/>
      <c r="C376" s="2" t="n"/>
      <c r="D376" s="2" t="n"/>
      <c r="E376" s="2" t="n"/>
      <c r="F376" s="2" t="n"/>
    </row>
    <row r="377" ht="15.75" customHeight="1" s="57">
      <c r="A377" s="2" t="n"/>
      <c r="B377" s="2" t="n"/>
      <c r="C377" s="2" t="n"/>
      <c r="D377" s="2" t="n"/>
      <c r="E377" s="2" t="n"/>
      <c r="F377" s="2" t="n"/>
    </row>
    <row r="378" ht="15.75" customHeight="1" s="57">
      <c r="A378" s="2" t="n"/>
      <c r="B378" s="2" t="n"/>
      <c r="C378" s="2" t="n"/>
      <c r="D378" s="2" t="n"/>
      <c r="E378" s="2" t="n"/>
      <c r="F378" s="2" t="n"/>
    </row>
    <row r="379" ht="15.75" customHeight="1" s="57">
      <c r="A379" s="2" t="n"/>
      <c r="B379" s="2" t="n"/>
      <c r="C379" s="2" t="n"/>
      <c r="D379" s="2" t="n"/>
      <c r="E379" s="2" t="n"/>
      <c r="F379" s="2" t="n"/>
    </row>
    <row r="380" ht="15.75" customHeight="1" s="57">
      <c r="A380" s="2" t="n"/>
      <c r="B380" s="2" t="n"/>
      <c r="C380" s="2" t="n"/>
      <c r="D380" s="2" t="n"/>
      <c r="E380" s="2" t="n"/>
      <c r="F380" s="2" t="n"/>
    </row>
    <row r="381" ht="15.75" customHeight="1" s="57">
      <c r="A381" s="2" t="n"/>
      <c r="B381" s="2" t="n"/>
      <c r="C381" s="2" t="n"/>
      <c r="D381" s="2" t="n"/>
      <c r="E381" s="2" t="n"/>
      <c r="F381" s="2" t="n"/>
    </row>
    <row r="382" ht="15.75" customHeight="1" s="57">
      <c r="A382" s="2" t="n"/>
      <c r="B382" s="2" t="n"/>
      <c r="C382" s="2" t="n"/>
      <c r="D382" s="2" t="n"/>
      <c r="E382" s="2" t="n"/>
      <c r="F382" s="2" t="n"/>
    </row>
    <row r="383" ht="15.75" customHeight="1" s="57">
      <c r="A383" s="2" t="n"/>
      <c r="B383" s="2" t="n"/>
      <c r="C383" s="2" t="n"/>
      <c r="D383" s="2" t="n"/>
      <c r="E383" s="2" t="n"/>
      <c r="F383" s="2" t="n"/>
    </row>
    <row r="384" ht="15.75" customHeight="1" s="57">
      <c r="A384" s="2" t="n"/>
      <c r="B384" s="2" t="n"/>
      <c r="C384" s="2" t="n"/>
      <c r="D384" s="2" t="n"/>
      <c r="E384" s="2" t="n"/>
      <c r="F384" s="2" t="n"/>
    </row>
    <row r="385" ht="15.75" customHeight="1" s="57">
      <c r="A385" s="2" t="n"/>
      <c r="B385" s="2" t="n"/>
      <c r="C385" s="2" t="n"/>
      <c r="D385" s="2" t="n"/>
      <c r="E385" s="2" t="n"/>
      <c r="F385" s="2" t="n"/>
    </row>
    <row r="386" ht="15.75" customHeight="1" s="57">
      <c r="A386" s="2" t="n"/>
      <c r="B386" s="2" t="n"/>
      <c r="C386" s="2" t="n"/>
      <c r="D386" s="2" t="n"/>
      <c r="E386" s="2" t="n"/>
      <c r="F386" s="2" t="n"/>
    </row>
    <row r="387" ht="15.75" customHeight="1" s="57">
      <c r="A387" s="2" t="n"/>
      <c r="B387" s="2" t="n"/>
      <c r="C387" s="2" t="n"/>
      <c r="D387" s="2" t="n"/>
      <c r="E387" s="2" t="n"/>
      <c r="F387" s="2" t="n"/>
    </row>
    <row r="388" ht="15.75" customHeight="1" s="57">
      <c r="A388" s="2" t="n"/>
      <c r="B388" s="2" t="n"/>
      <c r="C388" s="2" t="n"/>
      <c r="D388" s="2" t="n"/>
      <c r="E388" s="2" t="n"/>
      <c r="F388" s="2" t="n"/>
    </row>
    <row r="389" ht="15.75" customHeight="1" s="57">
      <c r="A389" s="2" t="n"/>
      <c r="B389" s="2" t="n"/>
      <c r="C389" s="2" t="n"/>
      <c r="D389" s="2" t="n"/>
      <c r="E389" s="2" t="n"/>
      <c r="F389" s="2" t="n"/>
    </row>
    <row r="390" ht="15.75" customHeight="1" s="57">
      <c r="A390" s="2" t="n"/>
      <c r="B390" s="2" t="n"/>
      <c r="C390" s="2" t="n"/>
      <c r="D390" s="2" t="n"/>
      <c r="E390" s="2" t="n"/>
      <c r="F390" s="2" t="n"/>
    </row>
    <row r="391" ht="15.75" customHeight="1" s="57">
      <c r="A391" s="2" t="n"/>
      <c r="B391" s="2" t="n"/>
      <c r="C391" s="2" t="n"/>
      <c r="D391" s="2" t="n"/>
      <c r="E391" s="2" t="n"/>
      <c r="F391" s="2" t="n"/>
    </row>
    <row r="392" ht="15.75" customHeight="1" s="57">
      <c r="A392" s="2" t="n"/>
      <c r="B392" s="2" t="n"/>
      <c r="C392" s="2" t="n"/>
      <c r="D392" s="2" t="n"/>
      <c r="E392" s="2" t="n"/>
      <c r="F392" s="2" t="n"/>
    </row>
    <row r="393" ht="15.75" customHeight="1" s="57">
      <c r="A393" s="2" t="n"/>
      <c r="B393" s="2" t="n"/>
      <c r="C393" s="2" t="n"/>
      <c r="D393" s="2" t="n"/>
      <c r="E393" s="2" t="n"/>
      <c r="F393" s="2" t="n"/>
    </row>
    <row r="394" ht="15.75" customHeight="1" s="57">
      <c r="A394" s="2" t="n"/>
      <c r="B394" s="2" t="n"/>
      <c r="C394" s="2" t="n"/>
      <c r="D394" s="2" t="n"/>
      <c r="E394" s="2" t="n"/>
      <c r="F394" s="2" t="n"/>
    </row>
    <row r="395" ht="15.75" customHeight="1" s="57">
      <c r="A395" s="2" t="n"/>
      <c r="B395" s="2" t="n"/>
      <c r="C395" s="2" t="n"/>
      <c r="D395" s="2" t="n"/>
      <c r="E395" s="2" t="n"/>
      <c r="F395" s="2" t="n"/>
    </row>
    <row r="396" ht="15.75" customHeight="1" s="57">
      <c r="A396" s="2" t="n"/>
      <c r="B396" s="2" t="n"/>
      <c r="C396" s="2" t="n"/>
      <c r="D396" s="2" t="n"/>
      <c r="E396" s="2" t="n"/>
      <c r="F396" s="2" t="n"/>
    </row>
    <row r="397" ht="15.75" customHeight="1" s="57">
      <c r="A397" s="2" t="n"/>
      <c r="B397" s="2" t="n"/>
      <c r="C397" s="2" t="n"/>
      <c r="D397" s="2" t="n"/>
      <c r="E397" s="2" t="n"/>
      <c r="F397" s="2" t="n"/>
    </row>
    <row r="398" ht="15.75" customHeight="1" s="57">
      <c r="A398" s="2" t="n"/>
      <c r="B398" s="2" t="n"/>
      <c r="C398" s="2" t="n"/>
      <c r="D398" s="2" t="n"/>
      <c r="E398" s="2" t="n"/>
      <c r="F398" s="2" t="n"/>
    </row>
    <row r="399" ht="15.75" customHeight="1" s="57">
      <c r="A399" s="2" t="n"/>
      <c r="B399" s="2" t="n"/>
      <c r="C399" s="2" t="n"/>
      <c r="D399" s="2" t="n"/>
      <c r="E399" s="2" t="n"/>
      <c r="F399" s="2" t="n"/>
    </row>
    <row r="400" ht="15.75" customHeight="1" s="57">
      <c r="A400" s="2" t="n"/>
      <c r="B400" s="2" t="n"/>
      <c r="C400" s="2" t="n"/>
      <c r="D400" s="2" t="n"/>
      <c r="E400" s="2" t="n"/>
      <c r="F400" s="2" t="n"/>
    </row>
    <row r="401" ht="15.75" customHeight="1" s="57">
      <c r="A401" s="2" t="n"/>
      <c r="B401" s="2" t="n"/>
      <c r="C401" s="2" t="n"/>
      <c r="D401" s="2" t="n"/>
      <c r="E401" s="2" t="n"/>
      <c r="F401" s="2" t="n"/>
    </row>
    <row r="402" ht="15.75" customHeight="1" s="57">
      <c r="A402" s="2" t="n"/>
      <c r="B402" s="2" t="n"/>
      <c r="C402" s="2" t="n"/>
      <c r="D402" s="2" t="n"/>
      <c r="E402" s="2" t="n"/>
      <c r="F402" s="2" t="n"/>
    </row>
    <row r="403" ht="15.75" customHeight="1" s="57">
      <c r="A403" s="2" t="n"/>
      <c r="B403" s="2" t="n"/>
      <c r="C403" s="2" t="n"/>
      <c r="D403" s="2" t="n"/>
      <c r="E403" s="2" t="n"/>
      <c r="F403" s="2" t="n"/>
    </row>
    <row r="404" ht="15.75" customHeight="1" s="57">
      <c r="A404" s="2" t="n"/>
      <c r="B404" s="2" t="n"/>
      <c r="C404" s="2" t="n"/>
      <c r="D404" s="2" t="n"/>
      <c r="E404" s="2" t="n"/>
      <c r="F404" s="2" t="n"/>
    </row>
    <row r="405" ht="15.75" customHeight="1" s="57">
      <c r="A405" s="2" t="n"/>
      <c r="B405" s="2" t="n"/>
      <c r="C405" s="2" t="n"/>
      <c r="D405" s="2" t="n"/>
      <c r="E405" s="2" t="n"/>
      <c r="F405" s="2" t="n"/>
    </row>
    <row r="406" ht="15.75" customHeight="1" s="57">
      <c r="A406" s="2" t="n"/>
      <c r="B406" s="2" t="n"/>
      <c r="C406" s="2" t="n"/>
      <c r="D406" s="2" t="n"/>
      <c r="E406" s="2" t="n"/>
      <c r="F406" s="2" t="n"/>
    </row>
    <row r="407" ht="15.75" customHeight="1" s="57">
      <c r="A407" s="2" t="n"/>
      <c r="B407" s="2" t="n"/>
      <c r="C407" s="2" t="n"/>
      <c r="D407" s="2" t="n"/>
      <c r="E407" s="2" t="n"/>
      <c r="F407" s="2" t="n"/>
    </row>
    <row r="408" ht="15.75" customHeight="1" s="57">
      <c r="A408" s="2" t="n"/>
      <c r="B408" s="2" t="n"/>
      <c r="C408" s="2" t="n"/>
      <c r="D408" s="2" t="n"/>
      <c r="E408" s="2" t="n"/>
      <c r="F408" s="2" t="n"/>
    </row>
    <row r="409" ht="15.75" customHeight="1" s="57">
      <c r="A409" s="2" t="n"/>
      <c r="B409" s="2" t="n"/>
      <c r="C409" s="2" t="n"/>
      <c r="D409" s="2" t="n"/>
      <c r="E409" s="2" t="n"/>
      <c r="F409" s="2" t="n"/>
    </row>
    <row r="410" ht="15.75" customHeight="1" s="57">
      <c r="A410" s="2" t="n"/>
      <c r="B410" s="2" t="n"/>
      <c r="C410" s="2" t="n"/>
      <c r="D410" s="2" t="n"/>
      <c r="E410" s="2" t="n"/>
      <c r="F410" s="2" t="n"/>
    </row>
    <row r="411" ht="15.75" customHeight="1" s="57">
      <c r="A411" s="2" t="n"/>
      <c r="B411" s="2" t="n"/>
      <c r="C411" s="2" t="n"/>
      <c r="D411" s="2" t="n"/>
      <c r="E411" s="2" t="n"/>
      <c r="F411" s="2" t="n"/>
    </row>
    <row r="412" ht="15.75" customHeight="1" s="57">
      <c r="A412" s="2" t="n"/>
      <c r="B412" s="2" t="n"/>
      <c r="C412" s="2" t="n"/>
      <c r="D412" s="2" t="n"/>
      <c r="E412" s="2" t="n"/>
      <c r="F412" s="2" t="n"/>
    </row>
    <row r="413" ht="15.75" customHeight="1" s="57">
      <c r="A413" s="2" t="n"/>
      <c r="B413" s="2" t="n"/>
      <c r="C413" s="2" t="n"/>
      <c r="D413" s="2" t="n"/>
      <c r="E413" s="2" t="n"/>
      <c r="F413" s="2" t="n"/>
    </row>
    <row r="414" ht="15.75" customHeight="1" s="57">
      <c r="A414" s="2" t="n"/>
      <c r="B414" s="2" t="n"/>
      <c r="C414" s="2" t="n"/>
      <c r="D414" s="2" t="n"/>
      <c r="E414" s="2" t="n"/>
      <c r="F414" s="2" t="n"/>
    </row>
    <row r="415" ht="15.75" customHeight="1" s="57">
      <c r="A415" s="2" t="n"/>
      <c r="B415" s="2" t="n"/>
      <c r="C415" s="2" t="n"/>
      <c r="D415" s="2" t="n"/>
      <c r="E415" s="2" t="n"/>
      <c r="F415" s="2" t="n"/>
    </row>
    <row r="416" ht="15.75" customHeight="1" s="57">
      <c r="A416" s="2" t="n"/>
      <c r="B416" s="2" t="n"/>
      <c r="C416" s="2" t="n"/>
      <c r="D416" s="2" t="n"/>
      <c r="E416" s="2" t="n"/>
      <c r="F416" s="2" t="n"/>
    </row>
    <row r="417" ht="15.75" customHeight="1" s="57">
      <c r="A417" s="2" t="n"/>
      <c r="B417" s="2" t="n"/>
      <c r="C417" s="2" t="n"/>
      <c r="D417" s="2" t="n"/>
      <c r="E417" s="2" t="n"/>
      <c r="F417" s="2" t="n"/>
    </row>
    <row r="418" ht="15.75" customHeight="1" s="57">
      <c r="A418" s="2" t="n"/>
      <c r="B418" s="2" t="n"/>
      <c r="C418" s="2" t="n"/>
      <c r="D418" s="2" t="n"/>
      <c r="E418" s="2" t="n"/>
      <c r="F418" s="2" t="n"/>
    </row>
    <row r="419" ht="15.75" customHeight="1" s="57">
      <c r="A419" s="2" t="n"/>
      <c r="B419" s="2" t="n"/>
      <c r="C419" s="2" t="n"/>
      <c r="D419" s="2" t="n"/>
      <c r="E419" s="2" t="n"/>
      <c r="F419" s="2" t="n"/>
    </row>
    <row r="420" ht="15.75" customHeight="1" s="57">
      <c r="A420" s="2" t="n"/>
      <c r="B420" s="2" t="n"/>
      <c r="C420" s="2" t="n"/>
      <c r="D420" s="2" t="n"/>
      <c r="E420" s="2" t="n"/>
      <c r="F420" s="2" t="n"/>
    </row>
    <row r="421" ht="15.75" customHeight="1" s="57">
      <c r="A421" s="2" t="n"/>
      <c r="B421" s="2" t="n"/>
      <c r="C421" s="2" t="n"/>
      <c r="D421" s="2" t="n"/>
      <c r="E421" s="2" t="n"/>
      <c r="F421" s="2" t="n"/>
    </row>
    <row r="422" ht="15.75" customHeight="1" s="57">
      <c r="A422" s="2" t="n"/>
      <c r="B422" s="2" t="n"/>
      <c r="C422" s="2" t="n"/>
      <c r="D422" s="2" t="n"/>
      <c r="E422" s="2" t="n"/>
      <c r="F422" s="2" t="n"/>
    </row>
    <row r="423" ht="15.75" customHeight="1" s="57">
      <c r="A423" s="2" t="n"/>
      <c r="B423" s="2" t="n"/>
      <c r="C423" s="2" t="n"/>
      <c r="D423" s="2" t="n"/>
      <c r="E423" s="2" t="n"/>
      <c r="F423" s="2" t="n"/>
    </row>
    <row r="424" ht="15.75" customHeight="1" s="57">
      <c r="A424" s="2" t="n"/>
      <c r="B424" s="2" t="n"/>
      <c r="C424" s="2" t="n"/>
      <c r="D424" s="2" t="n"/>
      <c r="E424" s="2" t="n"/>
      <c r="F424" s="2" t="n"/>
    </row>
    <row r="425" ht="15.75" customHeight="1" s="57">
      <c r="A425" s="2" t="n"/>
      <c r="B425" s="2" t="n"/>
      <c r="C425" s="2" t="n"/>
      <c r="D425" s="2" t="n"/>
      <c r="E425" s="2" t="n"/>
      <c r="F425" s="2" t="n"/>
    </row>
    <row r="426" ht="15.75" customHeight="1" s="57">
      <c r="A426" s="2" t="n"/>
      <c r="B426" s="2" t="n"/>
      <c r="C426" s="2" t="n"/>
      <c r="D426" s="2" t="n"/>
      <c r="E426" s="2" t="n"/>
      <c r="F426" s="2" t="n"/>
    </row>
    <row r="427" ht="15.75" customHeight="1" s="57">
      <c r="A427" s="2" t="n"/>
      <c r="B427" s="2" t="n"/>
      <c r="C427" s="2" t="n"/>
      <c r="D427" s="2" t="n"/>
      <c r="E427" s="2" t="n"/>
      <c r="F427" s="2" t="n"/>
    </row>
    <row r="428" ht="15.75" customHeight="1" s="57">
      <c r="A428" s="2" t="n"/>
      <c r="B428" s="2" t="n"/>
      <c r="C428" s="2" t="n"/>
      <c r="D428" s="2" t="n"/>
      <c r="E428" s="2" t="n"/>
      <c r="F428" s="2" t="n"/>
    </row>
    <row r="429" ht="15.75" customHeight="1" s="57">
      <c r="A429" s="2" t="n"/>
      <c r="B429" s="2" t="n"/>
      <c r="C429" s="2" t="n"/>
      <c r="D429" s="2" t="n"/>
      <c r="E429" s="2" t="n"/>
      <c r="F429" s="2" t="n"/>
    </row>
    <row r="430" ht="15.75" customHeight="1" s="57">
      <c r="A430" s="2" t="n"/>
      <c r="B430" s="2" t="n"/>
      <c r="C430" s="2" t="n"/>
      <c r="D430" s="2" t="n"/>
      <c r="E430" s="2" t="n"/>
      <c r="F430" s="2" t="n"/>
    </row>
    <row r="431" ht="15.75" customHeight="1" s="57">
      <c r="A431" s="2" t="n"/>
      <c r="B431" s="2" t="n"/>
      <c r="C431" s="2" t="n"/>
      <c r="D431" s="2" t="n"/>
      <c r="E431" s="2" t="n"/>
      <c r="F431" s="2" t="n"/>
    </row>
    <row r="432" ht="15.75" customHeight="1" s="57">
      <c r="A432" s="2" t="n"/>
      <c r="B432" s="2" t="n"/>
      <c r="C432" s="2" t="n"/>
      <c r="D432" s="2" t="n"/>
      <c r="E432" s="2" t="n"/>
      <c r="F432" s="2" t="n"/>
    </row>
    <row r="433" ht="15.75" customHeight="1" s="57">
      <c r="A433" s="2" t="n"/>
      <c r="B433" s="2" t="n"/>
      <c r="C433" s="2" t="n"/>
      <c r="D433" s="2" t="n"/>
      <c r="E433" s="2" t="n"/>
      <c r="F433" s="2" t="n"/>
    </row>
    <row r="434" ht="15.75" customHeight="1" s="57">
      <c r="A434" s="2" t="n"/>
      <c r="B434" s="2" t="n"/>
      <c r="C434" s="2" t="n"/>
      <c r="D434" s="2" t="n"/>
      <c r="E434" s="2" t="n"/>
      <c r="F434" s="2" t="n"/>
    </row>
    <row r="435" ht="15.75" customHeight="1" s="57">
      <c r="A435" s="2" t="n"/>
      <c r="B435" s="2" t="n"/>
      <c r="C435" s="2" t="n"/>
      <c r="D435" s="2" t="n"/>
      <c r="E435" s="2" t="n"/>
      <c r="F435" s="2" t="n"/>
    </row>
    <row r="436" ht="15.75" customHeight="1" s="57">
      <c r="A436" s="2" t="n"/>
      <c r="B436" s="2" t="n"/>
      <c r="C436" s="2" t="n"/>
      <c r="D436" s="2" t="n"/>
      <c r="E436" s="2" t="n"/>
      <c r="F436" s="2" t="n"/>
    </row>
    <row r="437" ht="15.75" customHeight="1" s="57">
      <c r="A437" s="2" t="n"/>
      <c r="B437" s="2" t="n"/>
      <c r="C437" s="2" t="n"/>
      <c r="D437" s="2" t="n"/>
      <c r="E437" s="2" t="n"/>
      <c r="F437" s="2" t="n"/>
    </row>
    <row r="438" ht="15.75" customHeight="1" s="57">
      <c r="A438" s="2" t="n"/>
      <c r="B438" s="2" t="n"/>
      <c r="C438" s="2" t="n"/>
      <c r="D438" s="2" t="n"/>
      <c r="E438" s="2" t="n"/>
      <c r="F438" s="2" t="n"/>
    </row>
    <row r="439" ht="15.75" customHeight="1" s="57">
      <c r="A439" s="2" t="n"/>
      <c r="B439" s="2" t="n"/>
      <c r="C439" s="2" t="n"/>
      <c r="D439" s="2" t="n"/>
      <c r="E439" s="2" t="n"/>
      <c r="F439" s="2" t="n"/>
    </row>
    <row r="440" ht="15.75" customHeight="1" s="57">
      <c r="A440" s="2" t="n"/>
      <c r="B440" s="2" t="n"/>
      <c r="C440" s="2" t="n"/>
      <c r="D440" s="2" t="n"/>
      <c r="E440" s="2" t="n"/>
      <c r="F440" s="2" t="n"/>
    </row>
    <row r="441" ht="15.75" customHeight="1" s="57">
      <c r="A441" s="2" t="n"/>
      <c r="B441" s="2" t="n"/>
      <c r="C441" s="2" t="n"/>
      <c r="D441" s="2" t="n"/>
      <c r="E441" s="2" t="n"/>
      <c r="F441" s="2" t="n"/>
    </row>
    <row r="442" ht="15.75" customHeight="1" s="57">
      <c r="A442" s="2" t="n"/>
      <c r="B442" s="2" t="n"/>
      <c r="C442" s="2" t="n"/>
      <c r="D442" s="2" t="n"/>
      <c r="E442" s="2" t="n"/>
      <c r="F442" s="2" t="n"/>
    </row>
    <row r="443" ht="15.75" customHeight="1" s="57">
      <c r="A443" s="2" t="n"/>
      <c r="B443" s="2" t="n"/>
      <c r="C443" s="2" t="n"/>
      <c r="D443" s="2" t="n"/>
      <c r="E443" s="2" t="n"/>
      <c r="F443" s="2" t="n"/>
    </row>
    <row r="444" ht="15.75" customHeight="1" s="57">
      <c r="A444" s="2" t="n"/>
      <c r="B444" s="2" t="n"/>
      <c r="C444" s="2" t="n"/>
      <c r="D444" s="2" t="n"/>
      <c r="E444" s="2" t="n"/>
      <c r="F444" s="2" t="n"/>
    </row>
    <row r="445" ht="15.75" customHeight="1" s="57">
      <c r="A445" s="2" t="n"/>
      <c r="B445" s="2" t="n"/>
      <c r="C445" s="2" t="n"/>
      <c r="D445" s="2" t="n"/>
      <c r="E445" s="2" t="n"/>
      <c r="F445" s="2" t="n"/>
    </row>
    <row r="446" ht="15.75" customHeight="1" s="57">
      <c r="A446" s="2" t="n"/>
      <c r="B446" s="2" t="n"/>
      <c r="C446" s="2" t="n"/>
      <c r="D446" s="2" t="n"/>
      <c r="E446" s="2" t="n"/>
      <c r="F446" s="2" t="n"/>
    </row>
    <row r="447" ht="15.75" customHeight="1" s="57">
      <c r="A447" s="2" t="n"/>
      <c r="B447" s="2" t="n"/>
      <c r="C447" s="2" t="n"/>
      <c r="D447" s="2" t="n"/>
      <c r="E447" s="2" t="n"/>
      <c r="F447" s="2" t="n"/>
    </row>
    <row r="448" ht="15.75" customHeight="1" s="57">
      <c r="A448" s="2" t="n"/>
      <c r="B448" s="2" t="n"/>
      <c r="C448" s="2" t="n"/>
      <c r="D448" s="2" t="n"/>
      <c r="E448" s="2" t="n"/>
      <c r="F448" s="2" t="n"/>
    </row>
    <row r="449" ht="15.75" customHeight="1" s="57">
      <c r="A449" s="2" t="n"/>
      <c r="B449" s="2" t="n"/>
      <c r="C449" s="2" t="n"/>
      <c r="D449" s="2" t="n"/>
      <c r="E449" s="2" t="n"/>
      <c r="F449" s="2" t="n"/>
    </row>
    <row r="450" ht="15.75" customHeight="1" s="57">
      <c r="A450" s="2" t="n"/>
      <c r="B450" s="2" t="n"/>
      <c r="C450" s="2" t="n"/>
      <c r="D450" s="2" t="n"/>
      <c r="E450" s="2" t="n"/>
      <c r="F450" s="2" t="n"/>
    </row>
    <row r="451" ht="15.75" customHeight="1" s="57">
      <c r="A451" s="2" t="n"/>
      <c r="B451" s="2" t="n"/>
      <c r="C451" s="2" t="n"/>
      <c r="D451" s="2" t="n"/>
      <c r="E451" s="2" t="n"/>
      <c r="F451" s="2" t="n"/>
    </row>
    <row r="452" ht="15.75" customHeight="1" s="57">
      <c r="A452" s="2" t="n"/>
      <c r="B452" s="2" t="n"/>
      <c r="C452" s="2" t="n"/>
      <c r="D452" s="2" t="n"/>
      <c r="E452" s="2" t="n"/>
      <c r="F452" s="2" t="n"/>
    </row>
    <row r="453" ht="15.75" customHeight="1" s="57">
      <c r="A453" s="2" t="n"/>
      <c r="B453" s="2" t="n"/>
      <c r="C453" s="2" t="n"/>
      <c r="D453" s="2" t="n"/>
      <c r="E453" s="2" t="n"/>
      <c r="F453" s="2" t="n"/>
    </row>
    <row r="454" ht="15.75" customHeight="1" s="57">
      <c r="A454" s="2" t="n"/>
      <c r="B454" s="2" t="n"/>
      <c r="C454" s="2" t="n"/>
      <c r="D454" s="2" t="n"/>
      <c r="E454" s="2" t="n"/>
      <c r="F454" s="2" t="n"/>
    </row>
    <row r="455" ht="15.75" customHeight="1" s="57">
      <c r="A455" s="2" t="n"/>
      <c r="B455" s="2" t="n"/>
      <c r="C455" s="2" t="n"/>
      <c r="D455" s="2" t="n"/>
      <c r="E455" s="2" t="n"/>
      <c r="F455" s="2" t="n"/>
    </row>
    <row r="456" ht="15.75" customHeight="1" s="57">
      <c r="A456" s="2" t="n"/>
      <c r="B456" s="2" t="n"/>
      <c r="C456" s="2" t="n"/>
      <c r="D456" s="2" t="n"/>
      <c r="E456" s="2" t="n"/>
      <c r="F456" s="2" t="n"/>
    </row>
    <row r="457" ht="15.75" customHeight="1" s="57">
      <c r="A457" s="2" t="n"/>
      <c r="B457" s="2" t="n"/>
      <c r="C457" s="2" t="n"/>
      <c r="D457" s="2" t="n"/>
      <c r="E457" s="2" t="n"/>
      <c r="F457" s="2" t="n"/>
    </row>
    <row r="458" ht="15.75" customHeight="1" s="57">
      <c r="A458" s="2" t="n"/>
      <c r="B458" s="2" t="n"/>
      <c r="C458" s="2" t="n"/>
      <c r="D458" s="2" t="n"/>
      <c r="E458" s="2" t="n"/>
      <c r="F458" s="2" t="n"/>
    </row>
    <row r="459" ht="15.75" customHeight="1" s="57">
      <c r="A459" s="2" t="n"/>
      <c r="B459" s="2" t="n"/>
      <c r="C459" s="2" t="n"/>
      <c r="D459" s="2" t="n"/>
      <c r="E459" s="2" t="n"/>
      <c r="F459" s="2" t="n"/>
    </row>
    <row r="460" ht="15.75" customHeight="1" s="57">
      <c r="A460" s="2" t="n"/>
      <c r="B460" s="2" t="n"/>
      <c r="C460" s="2" t="n"/>
      <c r="D460" s="2" t="n"/>
      <c r="E460" s="2" t="n"/>
      <c r="F460" s="2" t="n"/>
    </row>
    <row r="461" ht="15.75" customHeight="1" s="57">
      <c r="A461" s="2" t="n"/>
      <c r="B461" s="2" t="n"/>
      <c r="C461" s="2" t="n"/>
      <c r="D461" s="2" t="n"/>
      <c r="E461" s="2" t="n"/>
      <c r="F461" s="2" t="n"/>
    </row>
    <row r="462" ht="15.75" customHeight="1" s="57">
      <c r="A462" s="2" t="n"/>
      <c r="B462" s="2" t="n"/>
      <c r="C462" s="2" t="n"/>
      <c r="D462" s="2" t="n"/>
      <c r="E462" s="2" t="n"/>
      <c r="F462" s="2" t="n"/>
    </row>
    <row r="463" ht="15.75" customHeight="1" s="57">
      <c r="A463" s="2" t="n"/>
      <c r="B463" s="2" t="n"/>
      <c r="C463" s="2" t="n"/>
      <c r="D463" s="2" t="n"/>
      <c r="E463" s="2" t="n"/>
      <c r="F463" s="2" t="n"/>
    </row>
    <row r="464" ht="15.75" customHeight="1" s="57">
      <c r="A464" s="2" t="n"/>
      <c r="B464" s="2" t="n"/>
      <c r="C464" s="2" t="n"/>
      <c r="D464" s="2" t="n"/>
      <c r="E464" s="2" t="n"/>
      <c r="F464" s="2" t="n"/>
    </row>
    <row r="465" ht="15.75" customHeight="1" s="57">
      <c r="A465" s="2" t="n"/>
      <c r="B465" s="2" t="n"/>
      <c r="C465" s="2" t="n"/>
      <c r="D465" s="2" t="n"/>
      <c r="E465" s="2" t="n"/>
      <c r="F465" s="2" t="n"/>
    </row>
    <row r="466" ht="15.75" customHeight="1" s="57">
      <c r="A466" s="2" t="n"/>
      <c r="B466" s="2" t="n"/>
      <c r="C466" s="2" t="n"/>
      <c r="D466" s="2" t="n"/>
      <c r="E466" s="2" t="n"/>
      <c r="F466" s="2" t="n"/>
    </row>
    <row r="467" ht="15.75" customHeight="1" s="57">
      <c r="A467" s="2" t="n"/>
      <c r="B467" s="2" t="n"/>
      <c r="C467" s="2" t="n"/>
      <c r="D467" s="2" t="n"/>
      <c r="E467" s="2" t="n"/>
      <c r="F467" s="2" t="n"/>
    </row>
    <row r="468" ht="15.75" customHeight="1" s="57">
      <c r="A468" s="2" t="n"/>
      <c r="B468" s="2" t="n"/>
      <c r="C468" s="2" t="n"/>
      <c r="D468" s="2" t="n"/>
      <c r="E468" s="2" t="n"/>
      <c r="F468" s="2" t="n"/>
    </row>
    <row r="469" ht="15.75" customHeight="1" s="57">
      <c r="A469" s="2" t="n"/>
      <c r="B469" s="2" t="n"/>
      <c r="C469" s="2" t="n"/>
      <c r="D469" s="2" t="n"/>
      <c r="E469" s="2" t="n"/>
      <c r="F469" s="2" t="n"/>
    </row>
    <row r="470" ht="15.75" customHeight="1" s="57">
      <c r="A470" s="2" t="n"/>
      <c r="B470" s="2" t="n"/>
      <c r="C470" s="2" t="n"/>
      <c r="D470" s="2" t="n"/>
      <c r="E470" s="2" t="n"/>
      <c r="F470" s="2" t="n"/>
    </row>
    <row r="471" ht="15.75" customHeight="1" s="57">
      <c r="A471" s="2" t="n"/>
      <c r="B471" s="2" t="n"/>
      <c r="C471" s="2" t="n"/>
      <c r="D471" s="2" t="n"/>
      <c r="E471" s="2" t="n"/>
      <c r="F471" s="2" t="n"/>
    </row>
    <row r="472" ht="15.75" customHeight="1" s="57">
      <c r="A472" s="2" t="n"/>
      <c r="B472" s="2" t="n"/>
      <c r="C472" s="2" t="n"/>
      <c r="D472" s="2" t="n"/>
      <c r="E472" s="2" t="n"/>
      <c r="F472" s="2" t="n"/>
    </row>
    <row r="473" ht="15.75" customHeight="1" s="57">
      <c r="A473" s="2" t="n"/>
      <c r="B473" s="2" t="n"/>
      <c r="C473" s="2" t="n"/>
      <c r="D473" s="2" t="n"/>
      <c r="E473" s="2" t="n"/>
      <c r="F473" s="2" t="n"/>
    </row>
    <row r="474" ht="15.75" customHeight="1" s="57">
      <c r="A474" s="2" t="n"/>
      <c r="B474" s="2" t="n"/>
      <c r="C474" s="2" t="n"/>
      <c r="D474" s="2" t="n"/>
      <c r="E474" s="2" t="n"/>
      <c r="F474" s="2" t="n"/>
    </row>
    <row r="475" ht="15.75" customHeight="1" s="57">
      <c r="A475" s="2" t="n"/>
      <c r="B475" s="2" t="n"/>
      <c r="C475" s="2" t="n"/>
      <c r="D475" s="2" t="n"/>
      <c r="E475" s="2" t="n"/>
      <c r="F475" s="2" t="n"/>
    </row>
    <row r="476" ht="15.75" customHeight="1" s="57">
      <c r="A476" s="2" t="n"/>
      <c r="B476" s="2" t="n"/>
      <c r="C476" s="2" t="n"/>
      <c r="D476" s="2" t="n"/>
      <c r="E476" s="2" t="n"/>
      <c r="F476" s="2" t="n"/>
    </row>
    <row r="477" ht="15.75" customHeight="1" s="57">
      <c r="A477" s="2" t="n"/>
      <c r="B477" s="2" t="n"/>
      <c r="C477" s="2" t="n"/>
      <c r="D477" s="2" t="n"/>
      <c r="E477" s="2" t="n"/>
      <c r="F477" s="2" t="n"/>
    </row>
    <row r="478" ht="15.75" customHeight="1" s="57">
      <c r="A478" s="2" t="n"/>
      <c r="B478" s="2" t="n"/>
      <c r="C478" s="2" t="n"/>
      <c r="D478" s="2" t="n"/>
      <c r="E478" s="2" t="n"/>
      <c r="F478" s="2" t="n"/>
    </row>
    <row r="479" ht="15.75" customHeight="1" s="57">
      <c r="A479" s="2" t="n"/>
      <c r="B479" s="2" t="n"/>
      <c r="C479" s="2" t="n"/>
      <c r="D479" s="2" t="n"/>
      <c r="E479" s="2" t="n"/>
      <c r="F479" s="2" t="n"/>
    </row>
    <row r="480" ht="15.75" customHeight="1" s="57">
      <c r="A480" s="2" t="n"/>
      <c r="B480" s="2" t="n"/>
      <c r="C480" s="2" t="n"/>
      <c r="D480" s="2" t="n"/>
      <c r="E480" s="2" t="n"/>
      <c r="F480" s="2" t="n"/>
    </row>
    <row r="481" ht="15.75" customHeight="1" s="57">
      <c r="A481" s="2" t="n"/>
      <c r="B481" s="2" t="n"/>
      <c r="C481" s="2" t="n"/>
      <c r="D481" s="2" t="n"/>
      <c r="E481" s="2" t="n"/>
      <c r="F481" s="2" t="n"/>
    </row>
    <row r="482" ht="15.75" customHeight="1" s="57">
      <c r="A482" s="2" t="n"/>
      <c r="B482" s="2" t="n"/>
      <c r="C482" s="2" t="n"/>
      <c r="D482" s="2" t="n"/>
      <c r="E482" s="2" t="n"/>
      <c r="F482" s="2" t="n"/>
    </row>
    <row r="483" ht="15.75" customHeight="1" s="57">
      <c r="A483" s="2" t="n"/>
      <c r="B483" s="2" t="n"/>
      <c r="C483" s="2" t="n"/>
      <c r="D483" s="2" t="n"/>
      <c r="E483" s="2" t="n"/>
      <c r="F483" s="2" t="n"/>
    </row>
    <row r="484" ht="15.75" customHeight="1" s="57">
      <c r="A484" s="2" t="n"/>
      <c r="B484" s="2" t="n"/>
      <c r="C484" s="2" t="n"/>
      <c r="D484" s="2" t="n"/>
      <c r="E484" s="2" t="n"/>
      <c r="F484" s="2" t="n"/>
    </row>
    <row r="485" ht="15.75" customHeight="1" s="57">
      <c r="A485" s="2" t="n"/>
      <c r="B485" s="2" t="n"/>
      <c r="C485" s="2" t="n"/>
      <c r="D485" s="2" t="n"/>
      <c r="E485" s="2" t="n"/>
      <c r="F485" s="2" t="n"/>
    </row>
    <row r="486" ht="15.75" customHeight="1" s="57">
      <c r="A486" s="2" t="n"/>
      <c r="B486" s="2" t="n"/>
      <c r="C486" s="2" t="n"/>
      <c r="D486" s="2" t="n"/>
      <c r="E486" s="2" t="n"/>
      <c r="F486" s="2" t="n"/>
    </row>
    <row r="487" ht="15.75" customHeight="1" s="57">
      <c r="A487" s="2" t="n"/>
      <c r="B487" s="2" t="n"/>
      <c r="C487" s="2" t="n"/>
      <c r="D487" s="2" t="n"/>
      <c r="E487" s="2" t="n"/>
      <c r="F487" s="2" t="n"/>
    </row>
    <row r="488" ht="15.75" customHeight="1" s="57">
      <c r="A488" s="2" t="n"/>
      <c r="B488" s="2" t="n"/>
      <c r="C488" s="2" t="n"/>
      <c r="D488" s="2" t="n"/>
      <c r="E488" s="2" t="n"/>
      <c r="F488" s="2" t="n"/>
    </row>
    <row r="489" ht="15.75" customHeight="1" s="57">
      <c r="A489" s="2" t="n"/>
      <c r="B489" s="2" t="n"/>
      <c r="C489" s="2" t="n"/>
      <c r="D489" s="2" t="n"/>
      <c r="E489" s="2" t="n"/>
      <c r="F489" s="2" t="n"/>
    </row>
    <row r="490" ht="15.75" customHeight="1" s="57">
      <c r="A490" s="2" t="n"/>
      <c r="B490" s="2" t="n"/>
      <c r="C490" s="2" t="n"/>
      <c r="D490" s="2" t="n"/>
      <c r="E490" s="2" t="n"/>
      <c r="F490" s="2" t="n"/>
    </row>
    <row r="491" ht="15.75" customHeight="1" s="57">
      <c r="A491" s="2" t="n"/>
      <c r="B491" s="2" t="n"/>
      <c r="C491" s="2" t="n"/>
      <c r="D491" s="2" t="n"/>
      <c r="E491" s="2" t="n"/>
      <c r="F491" s="2" t="n"/>
    </row>
    <row r="492" ht="15.75" customHeight="1" s="57">
      <c r="A492" s="2" t="n"/>
      <c r="B492" s="2" t="n"/>
      <c r="C492" s="2" t="n"/>
      <c r="D492" s="2" t="n"/>
      <c r="E492" s="2" t="n"/>
      <c r="F492" s="2" t="n"/>
    </row>
    <row r="493" ht="15.75" customHeight="1" s="57">
      <c r="A493" s="2" t="n"/>
      <c r="B493" s="2" t="n"/>
      <c r="C493" s="2" t="n"/>
      <c r="D493" s="2" t="n"/>
      <c r="E493" s="2" t="n"/>
      <c r="F493" s="2" t="n"/>
    </row>
    <row r="494" ht="15.75" customHeight="1" s="57">
      <c r="A494" s="2" t="n"/>
      <c r="B494" s="2" t="n"/>
      <c r="C494" s="2" t="n"/>
      <c r="D494" s="2" t="n"/>
      <c r="E494" s="2" t="n"/>
      <c r="F494" s="2" t="n"/>
    </row>
    <row r="495" ht="15.75" customHeight="1" s="57">
      <c r="A495" s="2" t="n"/>
      <c r="B495" s="2" t="n"/>
      <c r="C495" s="2" t="n"/>
      <c r="D495" s="2" t="n"/>
      <c r="E495" s="2" t="n"/>
      <c r="F495" s="2" t="n"/>
    </row>
    <row r="496" ht="15.75" customHeight="1" s="57">
      <c r="A496" s="2" t="n"/>
      <c r="B496" s="2" t="n"/>
      <c r="C496" s="2" t="n"/>
      <c r="D496" s="2" t="n"/>
      <c r="E496" s="2" t="n"/>
      <c r="F496" s="2" t="n"/>
    </row>
    <row r="497" ht="15.75" customHeight="1" s="57">
      <c r="A497" s="2" t="n"/>
      <c r="B497" s="2" t="n"/>
      <c r="C497" s="2" t="n"/>
      <c r="D497" s="2" t="n"/>
      <c r="E497" s="2" t="n"/>
      <c r="F497" s="2" t="n"/>
    </row>
    <row r="498" ht="15.75" customHeight="1" s="57">
      <c r="A498" s="2" t="n"/>
      <c r="B498" s="2" t="n"/>
      <c r="C498" s="2" t="n"/>
      <c r="D498" s="2" t="n"/>
      <c r="E498" s="2" t="n"/>
      <c r="F498" s="2" t="n"/>
    </row>
    <row r="499" ht="15.75" customHeight="1" s="57">
      <c r="A499" s="2" t="n"/>
      <c r="B499" s="2" t="n"/>
      <c r="C499" s="2" t="n"/>
      <c r="D499" s="2" t="n"/>
      <c r="E499" s="2" t="n"/>
      <c r="F499" s="2" t="n"/>
    </row>
    <row r="500" ht="15.75" customHeight="1" s="57">
      <c r="A500" s="2" t="n"/>
      <c r="B500" s="2" t="n"/>
      <c r="C500" s="2" t="n"/>
      <c r="D500" s="2" t="n"/>
      <c r="E500" s="2" t="n"/>
      <c r="F500" s="2" t="n"/>
    </row>
    <row r="501" ht="15.75" customHeight="1" s="57">
      <c r="A501" s="2" t="n"/>
      <c r="B501" s="2" t="n"/>
      <c r="C501" s="2" t="n"/>
      <c r="D501" s="2" t="n"/>
      <c r="E501" s="2" t="n"/>
      <c r="F501" s="2" t="n"/>
    </row>
    <row r="502" ht="15.75" customHeight="1" s="57">
      <c r="A502" s="2" t="n"/>
      <c r="B502" s="2" t="n"/>
      <c r="C502" s="2" t="n"/>
      <c r="D502" s="2" t="n"/>
      <c r="E502" s="2" t="n"/>
      <c r="F502" s="2" t="n"/>
    </row>
    <row r="503" ht="15.75" customHeight="1" s="57">
      <c r="A503" s="2" t="n"/>
      <c r="B503" s="2" t="n"/>
      <c r="C503" s="2" t="n"/>
      <c r="D503" s="2" t="n"/>
      <c r="E503" s="2" t="n"/>
      <c r="F503" s="2" t="n"/>
    </row>
    <row r="504" ht="15.75" customHeight="1" s="57">
      <c r="A504" s="2" t="n"/>
      <c r="B504" s="2" t="n"/>
      <c r="C504" s="2" t="n"/>
      <c r="D504" s="2" t="n"/>
      <c r="E504" s="2" t="n"/>
      <c r="F504" s="2" t="n"/>
    </row>
    <row r="505" ht="15.75" customHeight="1" s="57">
      <c r="A505" s="2" t="n"/>
      <c r="B505" s="2" t="n"/>
      <c r="C505" s="2" t="n"/>
      <c r="D505" s="2" t="n"/>
      <c r="E505" s="2" t="n"/>
      <c r="F505" s="2" t="n"/>
    </row>
    <row r="506" ht="15.75" customHeight="1" s="57">
      <c r="A506" s="2" t="n"/>
      <c r="B506" s="2" t="n"/>
      <c r="C506" s="2" t="n"/>
      <c r="D506" s="2" t="n"/>
      <c r="E506" s="2" t="n"/>
      <c r="F506" s="2" t="n"/>
    </row>
    <row r="507" ht="15.75" customHeight="1" s="57">
      <c r="A507" s="2" t="n"/>
      <c r="B507" s="2" t="n"/>
      <c r="C507" s="2" t="n"/>
      <c r="D507" s="2" t="n"/>
      <c r="E507" s="2" t="n"/>
      <c r="F507" s="2" t="n"/>
    </row>
    <row r="508" ht="15.75" customHeight="1" s="57">
      <c r="A508" s="2" t="n"/>
      <c r="B508" s="2" t="n"/>
      <c r="C508" s="2" t="n"/>
      <c r="D508" s="2" t="n"/>
      <c r="E508" s="2" t="n"/>
      <c r="F508" s="2" t="n"/>
    </row>
    <row r="509" ht="15.75" customHeight="1" s="57">
      <c r="A509" s="2" t="n"/>
      <c r="B509" s="2" t="n"/>
      <c r="C509" s="2" t="n"/>
      <c r="D509" s="2" t="n"/>
      <c r="E509" s="2" t="n"/>
      <c r="F509" s="2" t="n"/>
    </row>
    <row r="510" ht="15.75" customHeight="1" s="57">
      <c r="A510" s="2" t="n"/>
      <c r="B510" s="2" t="n"/>
      <c r="C510" s="2" t="n"/>
      <c r="D510" s="2" t="n"/>
      <c r="E510" s="2" t="n"/>
      <c r="F510" s="2" t="n"/>
    </row>
    <row r="511" ht="15.75" customHeight="1" s="57">
      <c r="A511" s="2" t="n"/>
      <c r="B511" s="2" t="n"/>
      <c r="C511" s="2" t="n"/>
      <c r="D511" s="2" t="n"/>
      <c r="E511" s="2" t="n"/>
      <c r="F511" s="2" t="n"/>
    </row>
    <row r="512" ht="15.75" customHeight="1" s="57">
      <c r="A512" s="2" t="n"/>
      <c r="B512" s="2" t="n"/>
      <c r="C512" s="2" t="n"/>
      <c r="D512" s="2" t="n"/>
      <c r="E512" s="2" t="n"/>
      <c r="F512" s="2" t="n"/>
    </row>
    <row r="513" ht="15.75" customHeight="1" s="57">
      <c r="A513" s="2" t="n"/>
      <c r="B513" s="2" t="n"/>
      <c r="C513" s="2" t="n"/>
      <c r="D513" s="2" t="n"/>
      <c r="E513" s="2" t="n"/>
      <c r="F513" s="2" t="n"/>
    </row>
    <row r="514" ht="15.75" customHeight="1" s="57">
      <c r="A514" s="2" t="n"/>
      <c r="B514" s="2" t="n"/>
      <c r="C514" s="2" t="n"/>
      <c r="D514" s="2" t="n"/>
      <c r="E514" s="2" t="n"/>
      <c r="F514" s="2" t="n"/>
    </row>
    <row r="515" ht="15.75" customHeight="1" s="57">
      <c r="A515" s="2" t="n"/>
      <c r="B515" s="2" t="n"/>
      <c r="C515" s="2" t="n"/>
      <c r="D515" s="2" t="n"/>
      <c r="E515" s="2" t="n"/>
      <c r="F515" s="2" t="n"/>
    </row>
    <row r="516" ht="15.75" customHeight="1" s="57">
      <c r="A516" s="2" t="n"/>
      <c r="B516" s="2" t="n"/>
      <c r="C516" s="2" t="n"/>
      <c r="D516" s="2" t="n"/>
      <c r="E516" s="2" t="n"/>
      <c r="F516" s="2" t="n"/>
    </row>
    <row r="517" ht="15.75" customHeight="1" s="57">
      <c r="A517" s="2" t="n"/>
      <c r="B517" s="2" t="n"/>
      <c r="C517" s="2" t="n"/>
      <c r="D517" s="2" t="n"/>
      <c r="E517" s="2" t="n"/>
      <c r="F517" s="2" t="n"/>
    </row>
    <row r="518" ht="15.75" customHeight="1" s="57">
      <c r="A518" s="2" t="n"/>
      <c r="B518" s="2" t="n"/>
      <c r="C518" s="2" t="n"/>
      <c r="D518" s="2" t="n"/>
      <c r="E518" s="2" t="n"/>
      <c r="F518" s="2" t="n"/>
    </row>
    <row r="519" ht="15.75" customHeight="1" s="57">
      <c r="A519" s="2" t="n"/>
      <c r="B519" s="2" t="n"/>
      <c r="C519" s="2" t="n"/>
      <c r="D519" s="2" t="n"/>
      <c r="E519" s="2" t="n"/>
      <c r="F519" s="2" t="n"/>
    </row>
    <row r="520" ht="15.75" customHeight="1" s="57">
      <c r="A520" s="2" t="n"/>
      <c r="B520" s="2" t="n"/>
      <c r="C520" s="2" t="n"/>
      <c r="D520" s="2" t="n"/>
      <c r="E520" s="2" t="n"/>
      <c r="F520" s="2" t="n"/>
    </row>
    <row r="521" ht="15.75" customHeight="1" s="57">
      <c r="A521" s="2" t="n"/>
      <c r="B521" s="2" t="n"/>
      <c r="C521" s="2" t="n"/>
      <c r="D521" s="2" t="n"/>
      <c r="E521" s="2" t="n"/>
      <c r="F521" s="2" t="n"/>
    </row>
    <row r="522" ht="15.75" customHeight="1" s="57">
      <c r="A522" s="2" t="n"/>
      <c r="B522" s="2" t="n"/>
      <c r="C522" s="2" t="n"/>
      <c r="D522" s="2" t="n"/>
      <c r="E522" s="2" t="n"/>
      <c r="F522" s="2" t="n"/>
    </row>
    <row r="523" ht="15.75" customHeight="1" s="57">
      <c r="A523" s="2" t="n"/>
      <c r="B523" s="2" t="n"/>
      <c r="C523" s="2" t="n"/>
      <c r="D523" s="2" t="n"/>
      <c r="E523" s="2" t="n"/>
      <c r="F523" s="2" t="n"/>
    </row>
    <row r="524" ht="15.75" customHeight="1" s="57">
      <c r="A524" s="2" t="n"/>
      <c r="B524" s="2" t="n"/>
      <c r="C524" s="2" t="n"/>
      <c r="D524" s="2" t="n"/>
      <c r="E524" s="2" t="n"/>
      <c r="F524" s="2" t="n"/>
    </row>
    <row r="525" ht="15.75" customHeight="1" s="57">
      <c r="A525" s="2" t="n"/>
      <c r="B525" s="2" t="n"/>
      <c r="C525" s="2" t="n"/>
      <c r="D525" s="2" t="n"/>
      <c r="E525" s="2" t="n"/>
      <c r="F525" s="2" t="n"/>
    </row>
    <row r="526" ht="15.75" customHeight="1" s="57">
      <c r="A526" s="2" t="n"/>
      <c r="B526" s="2" t="n"/>
      <c r="C526" s="2" t="n"/>
      <c r="D526" s="2" t="n"/>
      <c r="E526" s="2" t="n"/>
      <c r="F526" s="2" t="n"/>
    </row>
    <row r="527" ht="15.75" customHeight="1" s="57">
      <c r="A527" s="2" t="n"/>
      <c r="B527" s="2" t="n"/>
      <c r="C527" s="2" t="n"/>
      <c r="D527" s="2" t="n"/>
      <c r="E527" s="2" t="n"/>
      <c r="F527" s="2" t="n"/>
    </row>
    <row r="528" ht="15.75" customHeight="1" s="57">
      <c r="A528" s="2" t="n"/>
      <c r="B528" s="2" t="n"/>
      <c r="C528" s="2" t="n"/>
      <c r="D528" s="2" t="n"/>
      <c r="E528" s="2" t="n"/>
      <c r="F528" s="2" t="n"/>
    </row>
    <row r="529" ht="15.75" customHeight="1" s="57">
      <c r="A529" s="2" t="n"/>
      <c r="B529" s="2" t="n"/>
      <c r="C529" s="2" t="n"/>
      <c r="D529" s="2" t="n"/>
      <c r="E529" s="2" t="n"/>
      <c r="F529" s="2" t="n"/>
    </row>
    <row r="530" ht="15.75" customHeight="1" s="57">
      <c r="A530" s="2" t="n"/>
      <c r="B530" s="2" t="n"/>
      <c r="C530" s="2" t="n"/>
      <c r="D530" s="2" t="n"/>
      <c r="E530" s="2" t="n"/>
      <c r="F530" s="2" t="n"/>
    </row>
    <row r="531" ht="15.75" customHeight="1" s="57">
      <c r="A531" s="2" t="n"/>
      <c r="B531" s="2" t="n"/>
      <c r="C531" s="2" t="n"/>
      <c r="D531" s="2" t="n"/>
      <c r="E531" s="2" t="n"/>
      <c r="F531" s="2" t="n"/>
    </row>
    <row r="532" ht="15.75" customHeight="1" s="57">
      <c r="A532" s="2" t="n"/>
      <c r="B532" s="2" t="n"/>
      <c r="C532" s="2" t="n"/>
      <c r="D532" s="2" t="n"/>
      <c r="E532" s="2" t="n"/>
      <c r="F532" s="2" t="n"/>
    </row>
    <row r="533" ht="15.75" customHeight="1" s="57">
      <c r="A533" s="2" t="n"/>
      <c r="B533" s="2" t="n"/>
      <c r="C533" s="2" t="n"/>
      <c r="D533" s="2" t="n"/>
      <c r="E533" s="2" t="n"/>
      <c r="F533" s="2" t="n"/>
    </row>
    <row r="534" ht="15.75" customHeight="1" s="57">
      <c r="A534" s="2" t="n"/>
      <c r="B534" s="2" t="n"/>
      <c r="C534" s="2" t="n"/>
      <c r="D534" s="2" t="n"/>
      <c r="E534" s="2" t="n"/>
      <c r="F534" s="2" t="n"/>
    </row>
    <row r="535" ht="15.75" customHeight="1" s="57">
      <c r="A535" s="2" t="n"/>
      <c r="B535" s="2" t="n"/>
      <c r="C535" s="2" t="n"/>
      <c r="D535" s="2" t="n"/>
      <c r="E535" s="2" t="n"/>
      <c r="F535" s="2" t="n"/>
    </row>
    <row r="536" ht="15.75" customHeight="1" s="57">
      <c r="A536" s="2" t="n"/>
      <c r="B536" s="2" t="n"/>
      <c r="C536" s="2" t="n"/>
      <c r="D536" s="2" t="n"/>
      <c r="E536" s="2" t="n"/>
      <c r="F536" s="2" t="n"/>
    </row>
    <row r="537" ht="15.75" customHeight="1" s="57">
      <c r="A537" s="2" t="n"/>
      <c r="B537" s="2" t="n"/>
      <c r="C537" s="2" t="n"/>
      <c r="D537" s="2" t="n"/>
      <c r="E537" s="2" t="n"/>
      <c r="F537" s="2" t="n"/>
    </row>
    <row r="538" ht="15.75" customHeight="1" s="57">
      <c r="A538" s="2" t="n"/>
      <c r="B538" s="2" t="n"/>
      <c r="C538" s="2" t="n"/>
      <c r="D538" s="2" t="n"/>
      <c r="E538" s="2" t="n"/>
      <c r="F538" s="2" t="n"/>
    </row>
    <row r="539" ht="15.75" customHeight="1" s="57">
      <c r="A539" s="2" t="n"/>
      <c r="B539" s="2" t="n"/>
      <c r="C539" s="2" t="n"/>
      <c r="D539" s="2" t="n"/>
      <c r="E539" s="2" t="n"/>
      <c r="F539" s="2" t="n"/>
    </row>
    <row r="540" ht="15.75" customHeight="1" s="57">
      <c r="A540" s="2" t="n"/>
      <c r="B540" s="2" t="n"/>
      <c r="C540" s="2" t="n"/>
      <c r="D540" s="2" t="n"/>
      <c r="E540" s="2" t="n"/>
      <c r="F540" s="2" t="n"/>
    </row>
    <row r="541" ht="15.75" customHeight="1" s="57">
      <c r="A541" s="2" t="n"/>
      <c r="B541" s="2" t="n"/>
      <c r="C541" s="2" t="n"/>
      <c r="D541" s="2" t="n"/>
      <c r="E541" s="2" t="n"/>
      <c r="F541" s="2" t="n"/>
    </row>
    <row r="542" ht="15.75" customHeight="1" s="57">
      <c r="A542" s="2" t="n"/>
      <c r="B542" s="2" t="n"/>
      <c r="C542" s="2" t="n"/>
      <c r="D542" s="2" t="n"/>
      <c r="E542" s="2" t="n"/>
      <c r="F542" s="2" t="n"/>
    </row>
    <row r="543" ht="15.75" customHeight="1" s="57">
      <c r="A543" s="2" t="n"/>
      <c r="B543" s="2" t="n"/>
      <c r="C543" s="2" t="n"/>
      <c r="D543" s="2" t="n"/>
      <c r="E543" s="2" t="n"/>
      <c r="F543" s="2" t="n"/>
    </row>
    <row r="544" ht="15.75" customHeight="1" s="57">
      <c r="A544" s="2" t="n"/>
      <c r="B544" s="2" t="n"/>
      <c r="C544" s="2" t="n"/>
      <c r="D544" s="2" t="n"/>
      <c r="E544" s="2" t="n"/>
      <c r="F544" s="2" t="n"/>
    </row>
    <row r="545" ht="15.75" customHeight="1" s="57">
      <c r="A545" s="2" t="n"/>
      <c r="B545" s="2" t="n"/>
      <c r="C545" s="2" t="n"/>
      <c r="D545" s="2" t="n"/>
      <c r="E545" s="2" t="n"/>
      <c r="F545" s="2" t="n"/>
    </row>
    <row r="546" ht="15.75" customHeight="1" s="57">
      <c r="A546" s="2" t="n"/>
      <c r="B546" s="2" t="n"/>
      <c r="C546" s="2" t="n"/>
      <c r="D546" s="2" t="n"/>
      <c r="E546" s="2" t="n"/>
      <c r="F546" s="2" t="n"/>
    </row>
    <row r="547" ht="15.75" customHeight="1" s="57">
      <c r="A547" s="2" t="n"/>
      <c r="B547" s="2" t="n"/>
      <c r="C547" s="2" t="n"/>
      <c r="D547" s="2" t="n"/>
      <c r="E547" s="2" t="n"/>
      <c r="F547" s="2" t="n"/>
    </row>
    <row r="548" ht="15.75" customHeight="1" s="57">
      <c r="A548" s="2" t="n"/>
      <c r="B548" s="2" t="n"/>
      <c r="C548" s="2" t="n"/>
      <c r="D548" s="2" t="n"/>
      <c r="E548" s="2" t="n"/>
      <c r="F548" s="2" t="n"/>
    </row>
    <row r="549" ht="15.75" customHeight="1" s="57">
      <c r="A549" s="2" t="n"/>
      <c r="B549" s="2" t="n"/>
      <c r="C549" s="2" t="n"/>
      <c r="D549" s="2" t="n"/>
      <c r="E549" s="2" t="n"/>
      <c r="F549" s="2" t="n"/>
    </row>
    <row r="550" ht="15.75" customHeight="1" s="57">
      <c r="A550" s="2" t="n"/>
      <c r="B550" s="2" t="n"/>
      <c r="C550" s="2" t="n"/>
      <c r="D550" s="2" t="n"/>
      <c r="E550" s="2" t="n"/>
      <c r="F550" s="2" t="n"/>
    </row>
    <row r="551" ht="15.75" customHeight="1" s="57">
      <c r="A551" s="2" t="n"/>
      <c r="B551" s="2" t="n"/>
      <c r="C551" s="2" t="n"/>
      <c r="D551" s="2" t="n"/>
      <c r="E551" s="2" t="n"/>
      <c r="F551" s="2" t="n"/>
    </row>
    <row r="552" ht="15.75" customHeight="1" s="57">
      <c r="A552" s="2" t="n"/>
      <c r="B552" s="2" t="n"/>
      <c r="C552" s="2" t="n"/>
      <c r="D552" s="2" t="n"/>
      <c r="E552" s="2" t="n"/>
      <c r="F552" s="2" t="n"/>
    </row>
    <row r="553" ht="15.75" customHeight="1" s="57">
      <c r="A553" s="2" t="n"/>
      <c r="B553" s="2" t="n"/>
      <c r="C553" s="2" t="n"/>
      <c r="D553" s="2" t="n"/>
      <c r="E553" s="2" t="n"/>
      <c r="F553" s="2" t="n"/>
    </row>
    <row r="554" ht="15.75" customHeight="1" s="57">
      <c r="A554" s="2" t="n"/>
      <c r="B554" s="2" t="n"/>
      <c r="C554" s="2" t="n"/>
      <c r="D554" s="2" t="n"/>
      <c r="E554" s="2" t="n"/>
      <c r="F554" s="2" t="n"/>
    </row>
    <row r="555" ht="15.75" customHeight="1" s="57">
      <c r="A555" s="2" t="n"/>
      <c r="B555" s="2" t="n"/>
      <c r="C555" s="2" t="n"/>
      <c r="D555" s="2" t="n"/>
      <c r="E555" s="2" t="n"/>
      <c r="F555" s="2" t="n"/>
    </row>
    <row r="556" ht="15.75" customHeight="1" s="57">
      <c r="A556" s="2" t="n"/>
      <c r="B556" s="2" t="n"/>
      <c r="C556" s="2" t="n"/>
      <c r="D556" s="2" t="n"/>
      <c r="E556" s="2" t="n"/>
      <c r="F556" s="2" t="n"/>
    </row>
    <row r="557" ht="15.75" customHeight="1" s="57">
      <c r="A557" s="2" t="n"/>
      <c r="B557" s="2" t="n"/>
      <c r="C557" s="2" t="n"/>
      <c r="D557" s="2" t="n"/>
      <c r="E557" s="2" t="n"/>
      <c r="F557" s="2" t="n"/>
    </row>
    <row r="558" ht="15.75" customHeight="1" s="57">
      <c r="A558" s="2" t="n"/>
      <c r="B558" s="2" t="n"/>
      <c r="C558" s="2" t="n"/>
      <c r="D558" s="2" t="n"/>
      <c r="E558" s="2" t="n"/>
      <c r="F558" s="2" t="n"/>
    </row>
    <row r="559" ht="15.75" customHeight="1" s="57">
      <c r="A559" s="2" t="n"/>
      <c r="B559" s="2" t="n"/>
      <c r="C559" s="2" t="n"/>
      <c r="D559" s="2" t="n"/>
      <c r="E559" s="2" t="n"/>
      <c r="F559" s="2" t="n"/>
    </row>
    <row r="560" ht="15.75" customHeight="1" s="57">
      <c r="A560" s="2" t="n"/>
      <c r="B560" s="2" t="n"/>
      <c r="C560" s="2" t="n"/>
      <c r="D560" s="2" t="n"/>
      <c r="E560" s="2" t="n"/>
      <c r="F560" s="2" t="n"/>
    </row>
    <row r="561" ht="15.75" customHeight="1" s="57">
      <c r="A561" s="2" t="n"/>
      <c r="B561" s="2" t="n"/>
      <c r="C561" s="2" t="n"/>
      <c r="D561" s="2" t="n"/>
      <c r="E561" s="2" t="n"/>
      <c r="F561" s="2" t="n"/>
    </row>
    <row r="562" ht="15.75" customHeight="1" s="57">
      <c r="A562" s="2" t="n"/>
      <c r="B562" s="2" t="n"/>
      <c r="C562" s="2" t="n"/>
      <c r="D562" s="2" t="n"/>
      <c r="E562" s="2" t="n"/>
      <c r="F562" s="2" t="n"/>
    </row>
    <row r="563" ht="15.75" customHeight="1" s="57">
      <c r="A563" s="2" t="n"/>
      <c r="B563" s="2" t="n"/>
      <c r="C563" s="2" t="n"/>
      <c r="D563" s="2" t="n"/>
      <c r="E563" s="2" t="n"/>
      <c r="F563" s="2" t="n"/>
    </row>
    <row r="564" ht="15.75" customHeight="1" s="57">
      <c r="A564" s="2" t="n"/>
      <c r="B564" s="2" t="n"/>
      <c r="C564" s="2" t="n"/>
      <c r="D564" s="2" t="n"/>
      <c r="E564" s="2" t="n"/>
      <c r="F564" s="2" t="n"/>
    </row>
    <row r="565" ht="15.75" customHeight="1" s="57">
      <c r="A565" s="2" t="n"/>
      <c r="B565" s="2" t="n"/>
      <c r="C565" s="2" t="n"/>
      <c r="D565" s="2" t="n"/>
      <c r="E565" s="2" t="n"/>
      <c r="F565" s="2" t="n"/>
    </row>
    <row r="566" ht="15.75" customHeight="1" s="57">
      <c r="A566" s="2" t="n"/>
      <c r="B566" s="2" t="n"/>
      <c r="C566" s="2" t="n"/>
      <c r="D566" s="2" t="n"/>
      <c r="E566" s="2" t="n"/>
      <c r="F566" s="2" t="n"/>
    </row>
    <row r="567" ht="15.75" customHeight="1" s="57">
      <c r="A567" s="2" t="n"/>
      <c r="B567" s="2" t="n"/>
      <c r="C567" s="2" t="n"/>
      <c r="D567" s="2" t="n"/>
      <c r="E567" s="2" t="n"/>
      <c r="F567" s="2" t="n"/>
    </row>
    <row r="568" ht="15.75" customHeight="1" s="57">
      <c r="A568" s="2" t="n"/>
      <c r="B568" s="2" t="n"/>
      <c r="C568" s="2" t="n"/>
      <c r="D568" s="2" t="n"/>
      <c r="E568" s="2" t="n"/>
      <c r="F568" s="2" t="n"/>
    </row>
    <row r="569" ht="15.75" customHeight="1" s="57">
      <c r="A569" s="2" t="n"/>
      <c r="B569" s="2" t="n"/>
      <c r="C569" s="2" t="n"/>
      <c r="D569" s="2" t="n"/>
      <c r="E569" s="2" t="n"/>
      <c r="F569" s="2" t="n"/>
    </row>
    <row r="570" ht="15.75" customHeight="1" s="57">
      <c r="A570" s="2" t="n"/>
      <c r="B570" s="2" t="n"/>
      <c r="C570" s="2" t="n"/>
      <c r="D570" s="2" t="n"/>
      <c r="E570" s="2" t="n"/>
      <c r="F570" s="2" t="n"/>
    </row>
    <row r="571" ht="15.75" customHeight="1" s="57">
      <c r="A571" s="2" t="n"/>
      <c r="B571" s="2" t="n"/>
      <c r="C571" s="2" t="n"/>
      <c r="D571" s="2" t="n"/>
      <c r="E571" s="2" t="n"/>
      <c r="F571" s="2" t="n"/>
    </row>
    <row r="572" ht="15.75" customHeight="1" s="57">
      <c r="A572" s="2" t="n"/>
      <c r="B572" s="2" t="n"/>
      <c r="C572" s="2" t="n"/>
      <c r="D572" s="2" t="n"/>
      <c r="E572" s="2" t="n"/>
      <c r="F572" s="2" t="n"/>
    </row>
    <row r="573" ht="15.75" customHeight="1" s="57">
      <c r="A573" s="2" t="n"/>
      <c r="B573" s="2" t="n"/>
      <c r="C573" s="2" t="n"/>
      <c r="D573" s="2" t="n"/>
      <c r="E573" s="2" t="n"/>
      <c r="F573" s="2" t="n"/>
    </row>
    <row r="574" ht="15.75" customHeight="1" s="57">
      <c r="A574" s="2" t="n"/>
      <c r="B574" s="2" t="n"/>
      <c r="C574" s="2" t="n"/>
      <c r="D574" s="2" t="n"/>
      <c r="E574" s="2" t="n"/>
      <c r="F574" s="2" t="n"/>
    </row>
    <row r="575" ht="15.75" customHeight="1" s="57">
      <c r="A575" s="2" t="n"/>
      <c r="B575" s="2" t="n"/>
      <c r="C575" s="2" t="n"/>
      <c r="D575" s="2" t="n"/>
      <c r="E575" s="2" t="n"/>
      <c r="F575" s="2" t="n"/>
    </row>
    <row r="576" ht="15.75" customHeight="1" s="57">
      <c r="A576" s="2" t="n"/>
      <c r="B576" s="2" t="n"/>
      <c r="C576" s="2" t="n"/>
      <c r="D576" s="2" t="n"/>
      <c r="E576" s="2" t="n"/>
      <c r="F576" s="2" t="n"/>
    </row>
    <row r="577" ht="15.75" customHeight="1" s="57">
      <c r="A577" s="2" t="n"/>
      <c r="B577" s="2" t="n"/>
      <c r="C577" s="2" t="n"/>
      <c r="D577" s="2" t="n"/>
      <c r="E577" s="2" t="n"/>
      <c r="F577" s="2" t="n"/>
    </row>
    <row r="578" ht="15.75" customHeight="1" s="57">
      <c r="A578" s="2" t="n"/>
      <c r="B578" s="2" t="n"/>
      <c r="C578" s="2" t="n"/>
      <c r="D578" s="2" t="n"/>
      <c r="E578" s="2" t="n"/>
      <c r="F578" s="2" t="n"/>
    </row>
    <row r="579" ht="15.75" customHeight="1" s="57">
      <c r="A579" s="2" t="n"/>
      <c r="B579" s="2" t="n"/>
      <c r="C579" s="2" t="n"/>
      <c r="D579" s="2" t="n"/>
      <c r="E579" s="2" t="n"/>
      <c r="F579" s="2" t="n"/>
    </row>
    <row r="580" ht="15.75" customHeight="1" s="57">
      <c r="A580" s="2" t="n"/>
      <c r="B580" s="2" t="n"/>
      <c r="C580" s="2" t="n"/>
      <c r="D580" s="2" t="n"/>
      <c r="E580" s="2" t="n"/>
      <c r="F580" s="2" t="n"/>
    </row>
    <row r="581" ht="15.75" customHeight="1" s="57">
      <c r="A581" s="2" t="n"/>
      <c r="B581" s="2" t="n"/>
      <c r="C581" s="2" t="n"/>
      <c r="D581" s="2" t="n"/>
      <c r="E581" s="2" t="n"/>
      <c r="F581" s="2" t="n"/>
    </row>
    <row r="582" ht="15.75" customHeight="1" s="57">
      <c r="A582" s="2" t="n"/>
      <c r="B582" s="2" t="n"/>
      <c r="C582" s="2" t="n"/>
      <c r="D582" s="2" t="n"/>
      <c r="E582" s="2" t="n"/>
      <c r="F582" s="2" t="n"/>
    </row>
    <row r="583" ht="15.75" customHeight="1" s="57">
      <c r="A583" s="2" t="n"/>
      <c r="B583" s="2" t="n"/>
      <c r="C583" s="2" t="n"/>
      <c r="D583" s="2" t="n"/>
      <c r="E583" s="2" t="n"/>
      <c r="F583" s="2" t="n"/>
    </row>
    <row r="584" ht="15.75" customHeight="1" s="57">
      <c r="A584" s="2" t="n"/>
      <c r="B584" s="2" t="n"/>
      <c r="C584" s="2" t="n"/>
      <c r="D584" s="2" t="n"/>
      <c r="E584" s="2" t="n"/>
      <c r="F584" s="2" t="n"/>
    </row>
    <row r="585" ht="15.75" customHeight="1" s="57">
      <c r="A585" s="2" t="n"/>
      <c r="B585" s="2" t="n"/>
      <c r="C585" s="2" t="n"/>
      <c r="D585" s="2" t="n"/>
      <c r="E585" s="2" t="n"/>
      <c r="F585" s="2" t="n"/>
    </row>
    <row r="586" ht="15.75" customHeight="1" s="57">
      <c r="A586" s="2" t="n"/>
      <c r="B586" s="2" t="n"/>
      <c r="C586" s="2" t="n"/>
      <c r="D586" s="2" t="n"/>
      <c r="E586" s="2" t="n"/>
      <c r="F586" s="2" t="n"/>
    </row>
    <row r="587" ht="15.75" customHeight="1" s="57">
      <c r="A587" s="2" t="n"/>
      <c r="B587" s="2" t="n"/>
      <c r="C587" s="2" t="n"/>
      <c r="D587" s="2" t="n"/>
      <c r="E587" s="2" t="n"/>
      <c r="F587" s="2" t="n"/>
    </row>
    <row r="588" ht="15.75" customHeight="1" s="57">
      <c r="A588" s="2" t="n"/>
      <c r="B588" s="2" t="n"/>
      <c r="C588" s="2" t="n"/>
      <c r="D588" s="2" t="n"/>
      <c r="E588" s="2" t="n"/>
      <c r="F588" s="2" t="n"/>
    </row>
    <row r="589" ht="15.75" customHeight="1" s="57">
      <c r="A589" s="2" t="n"/>
      <c r="B589" s="2" t="n"/>
      <c r="C589" s="2" t="n"/>
      <c r="D589" s="2" t="n"/>
      <c r="E589" s="2" t="n"/>
      <c r="F589" s="2" t="n"/>
    </row>
    <row r="590" ht="15.75" customHeight="1" s="57">
      <c r="A590" s="2" t="n"/>
      <c r="B590" s="2" t="n"/>
      <c r="C590" s="2" t="n"/>
      <c r="D590" s="2" t="n"/>
      <c r="E590" s="2" t="n"/>
      <c r="F590" s="2" t="n"/>
    </row>
    <row r="591" ht="15.75" customHeight="1" s="57">
      <c r="A591" s="2" t="n"/>
      <c r="B591" s="2" t="n"/>
      <c r="C591" s="2" t="n"/>
      <c r="D591" s="2" t="n"/>
      <c r="E591" s="2" t="n"/>
      <c r="F591" s="2" t="n"/>
    </row>
    <row r="592" ht="15.75" customHeight="1" s="57">
      <c r="A592" s="2" t="n"/>
      <c r="B592" s="2" t="n"/>
      <c r="C592" s="2" t="n"/>
      <c r="D592" s="2" t="n"/>
      <c r="E592" s="2" t="n"/>
      <c r="F592" s="2" t="n"/>
    </row>
    <row r="593" ht="15.75" customHeight="1" s="57">
      <c r="A593" s="2" t="n"/>
      <c r="B593" s="2" t="n"/>
      <c r="C593" s="2" t="n"/>
      <c r="D593" s="2" t="n"/>
      <c r="E593" s="2" t="n"/>
      <c r="F593" s="2" t="n"/>
    </row>
    <row r="594" ht="15.75" customHeight="1" s="57">
      <c r="A594" s="2" t="n"/>
      <c r="B594" s="2" t="n"/>
      <c r="C594" s="2" t="n"/>
      <c r="D594" s="2" t="n"/>
      <c r="E594" s="2" t="n"/>
      <c r="F594" s="2" t="n"/>
    </row>
    <row r="595" ht="15.75" customHeight="1" s="57">
      <c r="A595" s="2" t="n"/>
      <c r="B595" s="2" t="n"/>
      <c r="C595" s="2" t="n"/>
      <c r="D595" s="2" t="n"/>
      <c r="E595" s="2" t="n"/>
      <c r="F595" s="2" t="n"/>
    </row>
    <row r="596" ht="15.75" customHeight="1" s="57">
      <c r="A596" s="2" t="n"/>
      <c r="B596" s="2" t="n"/>
      <c r="C596" s="2" t="n"/>
      <c r="D596" s="2" t="n"/>
      <c r="E596" s="2" t="n"/>
      <c r="F596" s="2" t="n"/>
    </row>
    <row r="597" ht="15.75" customHeight="1" s="57">
      <c r="A597" s="2" t="n"/>
      <c r="B597" s="2" t="n"/>
      <c r="C597" s="2" t="n"/>
      <c r="D597" s="2" t="n"/>
      <c r="E597" s="2" t="n"/>
      <c r="F597" s="2" t="n"/>
    </row>
    <row r="598" ht="15.75" customHeight="1" s="57">
      <c r="A598" s="2" t="n"/>
      <c r="B598" s="2" t="n"/>
      <c r="C598" s="2" t="n"/>
      <c r="D598" s="2" t="n"/>
      <c r="E598" s="2" t="n"/>
      <c r="F598" s="2" t="n"/>
    </row>
    <row r="599" ht="15.75" customHeight="1" s="57">
      <c r="A599" s="2" t="n"/>
      <c r="B599" s="2" t="n"/>
      <c r="C599" s="2" t="n"/>
      <c r="D599" s="2" t="n"/>
      <c r="E599" s="2" t="n"/>
      <c r="F599" s="2" t="n"/>
    </row>
    <row r="600" ht="15.75" customHeight="1" s="57">
      <c r="A600" s="2" t="n"/>
      <c r="B600" s="2" t="n"/>
      <c r="C600" s="2" t="n"/>
      <c r="D600" s="2" t="n"/>
      <c r="E600" s="2" t="n"/>
      <c r="F600" s="2" t="n"/>
    </row>
    <row r="601" ht="15.75" customHeight="1" s="57">
      <c r="A601" s="2" t="n"/>
      <c r="B601" s="2" t="n"/>
      <c r="C601" s="2" t="n"/>
      <c r="D601" s="2" t="n"/>
      <c r="E601" s="2" t="n"/>
      <c r="F601" s="2" t="n"/>
    </row>
    <row r="602" ht="15.75" customHeight="1" s="57">
      <c r="A602" s="2" t="n"/>
      <c r="B602" s="2" t="n"/>
      <c r="C602" s="2" t="n"/>
      <c r="D602" s="2" t="n"/>
      <c r="E602" s="2" t="n"/>
      <c r="F602" s="2" t="n"/>
    </row>
    <row r="603" ht="15.75" customHeight="1" s="57">
      <c r="A603" s="2" t="n"/>
      <c r="B603" s="2" t="n"/>
      <c r="C603" s="2" t="n"/>
      <c r="D603" s="2" t="n"/>
      <c r="E603" s="2" t="n"/>
      <c r="F603" s="2" t="n"/>
    </row>
    <row r="604" ht="15.75" customHeight="1" s="57">
      <c r="A604" s="2" t="n"/>
      <c r="B604" s="2" t="n"/>
      <c r="C604" s="2" t="n"/>
      <c r="D604" s="2" t="n"/>
      <c r="E604" s="2" t="n"/>
      <c r="F604" s="2" t="n"/>
    </row>
    <row r="605" ht="15.75" customHeight="1" s="57">
      <c r="A605" s="2" t="n"/>
      <c r="B605" s="2" t="n"/>
      <c r="C605" s="2" t="n"/>
      <c r="D605" s="2" t="n"/>
      <c r="E605" s="2" t="n"/>
      <c r="F605" s="2" t="n"/>
    </row>
    <row r="606" ht="15.75" customHeight="1" s="57">
      <c r="A606" s="2" t="n"/>
      <c r="B606" s="2" t="n"/>
      <c r="C606" s="2" t="n"/>
      <c r="D606" s="2" t="n"/>
      <c r="E606" s="2" t="n"/>
      <c r="F606" s="2" t="n"/>
    </row>
    <row r="607" ht="15.75" customHeight="1" s="57">
      <c r="A607" s="2" t="n"/>
      <c r="B607" s="2" t="n"/>
      <c r="C607" s="2" t="n"/>
      <c r="D607" s="2" t="n"/>
      <c r="E607" s="2" t="n"/>
      <c r="F607" s="2" t="n"/>
    </row>
    <row r="608" ht="15.75" customHeight="1" s="57">
      <c r="A608" s="2" t="n"/>
      <c r="B608" s="2" t="n"/>
      <c r="C608" s="2" t="n"/>
      <c r="D608" s="2" t="n"/>
      <c r="E608" s="2" t="n"/>
      <c r="F608" s="2" t="n"/>
    </row>
    <row r="609" ht="15.75" customHeight="1" s="57">
      <c r="A609" s="2" t="n"/>
      <c r="B609" s="2" t="n"/>
      <c r="C609" s="2" t="n"/>
      <c r="D609" s="2" t="n"/>
      <c r="E609" s="2" t="n"/>
      <c r="F609" s="2" t="n"/>
    </row>
    <row r="610" ht="15.75" customHeight="1" s="57">
      <c r="A610" s="2" t="n"/>
      <c r="B610" s="2" t="n"/>
      <c r="C610" s="2" t="n"/>
      <c r="D610" s="2" t="n"/>
      <c r="E610" s="2" t="n"/>
      <c r="F610" s="2" t="n"/>
    </row>
    <row r="611" ht="15.75" customHeight="1" s="57">
      <c r="A611" s="2" t="n"/>
      <c r="B611" s="2" t="n"/>
      <c r="C611" s="2" t="n"/>
      <c r="D611" s="2" t="n"/>
      <c r="E611" s="2" t="n"/>
      <c r="F611" s="2" t="n"/>
    </row>
    <row r="612" ht="15.75" customHeight="1" s="57">
      <c r="A612" s="2" t="n"/>
      <c r="B612" s="2" t="n"/>
      <c r="C612" s="2" t="n"/>
      <c r="D612" s="2" t="n"/>
      <c r="E612" s="2" t="n"/>
      <c r="F612" s="2" t="n"/>
    </row>
    <row r="613" ht="15.75" customHeight="1" s="57">
      <c r="A613" s="2" t="n"/>
      <c r="B613" s="2" t="n"/>
      <c r="C613" s="2" t="n"/>
      <c r="D613" s="2" t="n"/>
      <c r="E613" s="2" t="n"/>
      <c r="F613" s="2" t="n"/>
    </row>
    <row r="614" ht="15.75" customHeight="1" s="57">
      <c r="A614" s="2" t="n"/>
      <c r="B614" s="2" t="n"/>
      <c r="C614" s="2" t="n"/>
      <c r="D614" s="2" t="n"/>
      <c r="E614" s="2" t="n"/>
      <c r="F614" s="2" t="n"/>
    </row>
    <row r="615" ht="15.75" customHeight="1" s="57">
      <c r="A615" s="2" t="n"/>
      <c r="B615" s="2" t="n"/>
      <c r="C615" s="2" t="n"/>
      <c r="D615" s="2" t="n"/>
      <c r="E615" s="2" t="n"/>
      <c r="F615" s="2" t="n"/>
    </row>
    <row r="616" ht="15.75" customHeight="1" s="57">
      <c r="A616" s="2" t="n"/>
      <c r="B616" s="2" t="n"/>
      <c r="C616" s="2" t="n"/>
      <c r="D616" s="2" t="n"/>
      <c r="E616" s="2" t="n"/>
      <c r="F616" s="2" t="n"/>
    </row>
    <row r="617" ht="15.75" customHeight="1" s="57">
      <c r="A617" s="2" t="n"/>
      <c r="B617" s="2" t="n"/>
      <c r="C617" s="2" t="n"/>
      <c r="D617" s="2" t="n"/>
      <c r="E617" s="2" t="n"/>
      <c r="F617" s="2" t="n"/>
    </row>
    <row r="618" ht="15.75" customHeight="1" s="57">
      <c r="A618" s="2" t="n"/>
      <c r="B618" s="2" t="n"/>
      <c r="C618" s="2" t="n"/>
      <c r="D618" s="2" t="n"/>
      <c r="E618" s="2" t="n"/>
      <c r="F618" s="2" t="n"/>
    </row>
    <row r="619" ht="15.75" customHeight="1" s="57">
      <c r="A619" s="2" t="n"/>
      <c r="B619" s="2" t="n"/>
      <c r="C619" s="2" t="n"/>
      <c r="D619" s="2" t="n"/>
      <c r="E619" s="2" t="n"/>
      <c r="F619" s="2" t="n"/>
    </row>
    <row r="620" ht="15.75" customHeight="1" s="57">
      <c r="A620" s="2" t="n"/>
      <c r="B620" s="2" t="n"/>
      <c r="C620" s="2" t="n"/>
      <c r="D620" s="2" t="n"/>
      <c r="E620" s="2" t="n"/>
      <c r="F620" s="2" t="n"/>
    </row>
    <row r="621" ht="15.75" customHeight="1" s="57">
      <c r="A621" s="2" t="n"/>
      <c r="B621" s="2" t="n"/>
      <c r="C621" s="2" t="n"/>
      <c r="D621" s="2" t="n"/>
      <c r="E621" s="2" t="n"/>
      <c r="F621" s="2" t="n"/>
    </row>
    <row r="622" ht="15.75" customHeight="1" s="57">
      <c r="A622" s="2" t="n"/>
      <c r="B622" s="2" t="n"/>
      <c r="C622" s="2" t="n"/>
      <c r="D622" s="2" t="n"/>
      <c r="E622" s="2" t="n"/>
      <c r="F622" s="2" t="n"/>
    </row>
    <row r="623" ht="15.75" customHeight="1" s="57">
      <c r="A623" s="2" t="n"/>
      <c r="B623" s="2" t="n"/>
      <c r="C623" s="2" t="n"/>
      <c r="D623" s="2" t="n"/>
      <c r="E623" s="2" t="n"/>
      <c r="F623" s="2" t="n"/>
    </row>
    <row r="624" ht="15.75" customHeight="1" s="57">
      <c r="A624" s="2" t="n"/>
      <c r="B624" s="2" t="n"/>
      <c r="C624" s="2" t="n"/>
      <c r="D624" s="2" t="n"/>
      <c r="E624" s="2" t="n"/>
      <c r="F624" s="2" t="n"/>
    </row>
    <row r="625" ht="15.75" customHeight="1" s="57">
      <c r="A625" s="2" t="n"/>
      <c r="B625" s="2" t="n"/>
      <c r="C625" s="2" t="n"/>
      <c r="D625" s="2" t="n"/>
      <c r="E625" s="2" t="n"/>
      <c r="F625" s="2" t="n"/>
    </row>
    <row r="626" ht="15.75" customHeight="1" s="57">
      <c r="A626" s="2" t="n"/>
      <c r="B626" s="2" t="n"/>
      <c r="C626" s="2" t="n"/>
      <c r="D626" s="2" t="n"/>
      <c r="E626" s="2" t="n"/>
      <c r="F626" s="2" t="n"/>
    </row>
    <row r="627" ht="15.75" customHeight="1" s="57">
      <c r="A627" s="2" t="n"/>
      <c r="B627" s="2" t="n"/>
      <c r="C627" s="2" t="n"/>
      <c r="D627" s="2" t="n"/>
      <c r="E627" s="2" t="n"/>
      <c r="F627" s="2" t="n"/>
    </row>
    <row r="628" ht="15.75" customHeight="1" s="57">
      <c r="A628" s="2" t="n"/>
      <c r="B628" s="2" t="n"/>
      <c r="C628" s="2" t="n"/>
      <c r="D628" s="2" t="n"/>
      <c r="E628" s="2" t="n"/>
      <c r="F628" s="2" t="n"/>
    </row>
    <row r="629" ht="15.75" customHeight="1" s="57">
      <c r="A629" s="2" t="n"/>
      <c r="B629" s="2" t="n"/>
      <c r="C629" s="2" t="n"/>
      <c r="D629" s="2" t="n"/>
      <c r="E629" s="2" t="n"/>
      <c r="F629" s="2" t="n"/>
    </row>
    <row r="630" ht="15.75" customHeight="1" s="57">
      <c r="A630" s="2" t="n"/>
      <c r="B630" s="2" t="n"/>
      <c r="C630" s="2" t="n"/>
      <c r="D630" s="2" t="n"/>
      <c r="E630" s="2" t="n"/>
      <c r="F630" s="2" t="n"/>
    </row>
    <row r="631" ht="15.75" customHeight="1" s="57">
      <c r="A631" s="2" t="n"/>
      <c r="B631" s="2" t="n"/>
      <c r="C631" s="2" t="n"/>
      <c r="D631" s="2" t="n"/>
      <c r="E631" s="2" t="n"/>
      <c r="F631" s="2" t="n"/>
    </row>
    <row r="632" ht="15.75" customHeight="1" s="57">
      <c r="A632" s="2" t="n"/>
      <c r="B632" s="2" t="n"/>
      <c r="C632" s="2" t="n"/>
      <c r="D632" s="2" t="n"/>
      <c r="E632" s="2" t="n"/>
      <c r="F632" s="2" t="n"/>
    </row>
    <row r="633" ht="15.75" customHeight="1" s="57">
      <c r="A633" s="2" t="n"/>
      <c r="B633" s="2" t="n"/>
      <c r="C633" s="2" t="n"/>
      <c r="D633" s="2" t="n"/>
      <c r="E633" s="2" t="n"/>
      <c r="F633" s="2" t="n"/>
    </row>
    <row r="634" ht="15.75" customHeight="1" s="57">
      <c r="A634" s="2" t="n"/>
      <c r="B634" s="2" t="n"/>
      <c r="C634" s="2" t="n"/>
      <c r="D634" s="2" t="n"/>
      <c r="E634" s="2" t="n"/>
      <c r="F634" s="2" t="n"/>
    </row>
    <row r="635" ht="15.75" customHeight="1" s="57">
      <c r="A635" s="2" t="n"/>
      <c r="B635" s="2" t="n"/>
      <c r="C635" s="2" t="n"/>
      <c r="D635" s="2" t="n"/>
      <c r="E635" s="2" t="n"/>
      <c r="F635" s="2" t="n"/>
    </row>
    <row r="636" ht="15.75" customHeight="1" s="57">
      <c r="A636" s="2" t="n"/>
      <c r="B636" s="2" t="n"/>
      <c r="C636" s="2" t="n"/>
      <c r="D636" s="2" t="n"/>
      <c r="E636" s="2" t="n"/>
      <c r="F636" s="2" t="n"/>
    </row>
    <row r="637" ht="15.75" customHeight="1" s="57">
      <c r="A637" s="2" t="n"/>
      <c r="B637" s="2" t="n"/>
      <c r="C637" s="2" t="n"/>
      <c r="D637" s="2" t="n"/>
      <c r="E637" s="2" t="n"/>
      <c r="F637" s="2" t="n"/>
    </row>
    <row r="638" ht="15.75" customHeight="1" s="57">
      <c r="A638" s="2" t="n"/>
      <c r="B638" s="2" t="n"/>
      <c r="C638" s="2" t="n"/>
      <c r="D638" s="2" t="n"/>
      <c r="E638" s="2" t="n"/>
      <c r="F638" s="2" t="n"/>
    </row>
    <row r="639" ht="15.75" customHeight="1" s="57">
      <c r="A639" s="2" t="n"/>
      <c r="B639" s="2" t="n"/>
      <c r="C639" s="2" t="n"/>
      <c r="D639" s="2" t="n"/>
      <c r="E639" s="2" t="n"/>
      <c r="F639" s="2" t="n"/>
    </row>
    <row r="640" ht="15.75" customHeight="1" s="57">
      <c r="A640" s="2" t="n"/>
      <c r="B640" s="2" t="n"/>
      <c r="C640" s="2" t="n"/>
      <c r="D640" s="2" t="n"/>
      <c r="E640" s="2" t="n"/>
      <c r="F640" s="2" t="n"/>
    </row>
    <row r="641" ht="15.75" customHeight="1" s="57">
      <c r="A641" s="2" t="n"/>
      <c r="B641" s="2" t="n"/>
      <c r="C641" s="2" t="n"/>
      <c r="D641" s="2" t="n"/>
      <c r="E641" s="2" t="n"/>
      <c r="F641" s="2" t="n"/>
    </row>
    <row r="642" ht="15.75" customHeight="1" s="57">
      <c r="A642" s="2" t="n"/>
      <c r="B642" s="2" t="n"/>
      <c r="C642" s="2" t="n"/>
      <c r="D642" s="2" t="n"/>
      <c r="E642" s="2" t="n"/>
      <c r="F642" s="2" t="n"/>
    </row>
    <row r="643" ht="15.75" customHeight="1" s="57">
      <c r="A643" s="2" t="n"/>
      <c r="B643" s="2" t="n"/>
      <c r="C643" s="2" t="n"/>
      <c r="D643" s="2" t="n"/>
      <c r="E643" s="2" t="n"/>
      <c r="F643" s="2" t="n"/>
    </row>
    <row r="644" ht="15.75" customHeight="1" s="57">
      <c r="A644" s="2" t="n"/>
      <c r="B644" s="2" t="n"/>
      <c r="C644" s="2" t="n"/>
      <c r="D644" s="2" t="n"/>
      <c r="E644" s="2" t="n"/>
      <c r="F644" s="2" t="n"/>
    </row>
    <row r="645" ht="15.75" customHeight="1" s="57">
      <c r="A645" s="2" t="n"/>
      <c r="B645" s="2" t="n"/>
      <c r="C645" s="2" t="n"/>
      <c r="D645" s="2" t="n"/>
      <c r="E645" s="2" t="n"/>
      <c r="F645" s="2" t="n"/>
    </row>
    <row r="646" ht="15.75" customHeight="1" s="57">
      <c r="A646" s="2" t="n"/>
      <c r="B646" s="2" t="n"/>
      <c r="C646" s="2" t="n"/>
      <c r="D646" s="2" t="n"/>
      <c r="E646" s="2" t="n"/>
      <c r="F646" s="2" t="n"/>
    </row>
    <row r="647" ht="15.75" customHeight="1" s="57">
      <c r="A647" s="2" t="n"/>
      <c r="B647" s="2" t="n"/>
      <c r="C647" s="2" t="n"/>
      <c r="D647" s="2" t="n"/>
      <c r="E647" s="2" t="n"/>
      <c r="F647" s="2" t="n"/>
    </row>
    <row r="648" ht="15.75" customHeight="1" s="57">
      <c r="A648" s="2" t="n"/>
      <c r="B648" s="2" t="n"/>
      <c r="C648" s="2" t="n"/>
      <c r="D648" s="2" t="n"/>
      <c r="E648" s="2" t="n"/>
      <c r="F648" s="2" t="n"/>
    </row>
    <row r="649" ht="15.75" customHeight="1" s="57">
      <c r="A649" s="2" t="n"/>
      <c r="B649" s="2" t="n"/>
      <c r="C649" s="2" t="n"/>
      <c r="D649" s="2" t="n"/>
      <c r="E649" s="2" t="n"/>
      <c r="F649" s="2" t="n"/>
    </row>
    <row r="650" ht="15.75" customHeight="1" s="57">
      <c r="A650" s="2" t="n"/>
      <c r="B650" s="2" t="n"/>
      <c r="C650" s="2" t="n"/>
      <c r="D650" s="2" t="n"/>
      <c r="E650" s="2" t="n"/>
      <c r="F650" s="2" t="n"/>
    </row>
    <row r="651" ht="15.75" customHeight="1" s="57">
      <c r="A651" s="2" t="n"/>
      <c r="B651" s="2" t="n"/>
      <c r="C651" s="2" t="n"/>
      <c r="D651" s="2" t="n"/>
      <c r="E651" s="2" t="n"/>
      <c r="F651" s="2" t="n"/>
    </row>
    <row r="652" ht="15.75" customHeight="1" s="57">
      <c r="A652" s="2" t="n"/>
      <c r="B652" s="2" t="n"/>
      <c r="C652" s="2" t="n"/>
      <c r="D652" s="2" t="n"/>
      <c r="E652" s="2" t="n"/>
      <c r="F652" s="2" t="n"/>
    </row>
    <row r="653" ht="15.75" customHeight="1" s="57">
      <c r="A653" s="2" t="n"/>
      <c r="B653" s="2" t="n"/>
      <c r="C653" s="2" t="n"/>
      <c r="D653" s="2" t="n"/>
      <c r="E653" s="2" t="n"/>
      <c r="F653" s="2" t="n"/>
    </row>
    <row r="654" ht="15.75" customHeight="1" s="57">
      <c r="A654" s="2" t="n"/>
      <c r="B654" s="2" t="n"/>
      <c r="C654" s="2" t="n"/>
      <c r="D654" s="2" t="n"/>
      <c r="E654" s="2" t="n"/>
      <c r="F654" s="2" t="n"/>
    </row>
    <row r="655" ht="15.75" customHeight="1" s="57">
      <c r="A655" s="2" t="n"/>
      <c r="B655" s="2" t="n"/>
      <c r="C655" s="2" t="n"/>
      <c r="D655" s="2" t="n"/>
      <c r="E655" s="2" t="n"/>
      <c r="F655" s="2" t="n"/>
    </row>
    <row r="656" ht="15.75" customHeight="1" s="57">
      <c r="A656" s="2" t="n"/>
      <c r="B656" s="2" t="n"/>
      <c r="C656" s="2" t="n"/>
      <c r="D656" s="2" t="n"/>
      <c r="E656" s="2" t="n"/>
      <c r="F656" s="2" t="n"/>
    </row>
    <row r="657" ht="15.75" customHeight="1" s="57">
      <c r="A657" s="2" t="n"/>
      <c r="B657" s="2" t="n"/>
      <c r="C657" s="2" t="n"/>
      <c r="D657" s="2" t="n"/>
      <c r="E657" s="2" t="n"/>
      <c r="F657" s="2" t="n"/>
    </row>
    <row r="658" ht="15.75" customHeight="1" s="57">
      <c r="A658" s="2" t="n"/>
      <c r="B658" s="2" t="n"/>
      <c r="C658" s="2" t="n"/>
      <c r="D658" s="2" t="n"/>
      <c r="E658" s="2" t="n"/>
      <c r="F658" s="2" t="n"/>
    </row>
    <row r="659" ht="15.75" customHeight="1" s="57">
      <c r="A659" s="2" t="n"/>
      <c r="B659" s="2" t="n"/>
      <c r="C659" s="2" t="n"/>
      <c r="D659" s="2" t="n"/>
      <c r="E659" s="2" t="n"/>
      <c r="F659" s="2" t="n"/>
    </row>
    <row r="660" ht="15.75" customHeight="1" s="57">
      <c r="A660" s="2" t="n"/>
      <c r="B660" s="2" t="n"/>
      <c r="C660" s="2" t="n"/>
      <c r="D660" s="2" t="n"/>
      <c r="E660" s="2" t="n"/>
      <c r="F660" s="2" t="n"/>
    </row>
    <row r="661" ht="15.75" customHeight="1" s="57">
      <c r="A661" s="2" t="n"/>
      <c r="B661" s="2" t="n"/>
      <c r="C661" s="2" t="n"/>
      <c r="D661" s="2" t="n"/>
      <c r="E661" s="2" t="n"/>
      <c r="F661" s="2" t="n"/>
    </row>
    <row r="662" ht="15.75" customHeight="1" s="57">
      <c r="A662" s="2" t="n"/>
      <c r="B662" s="2" t="n"/>
      <c r="C662" s="2" t="n"/>
      <c r="D662" s="2" t="n"/>
      <c r="E662" s="2" t="n"/>
      <c r="F662" s="2" t="n"/>
    </row>
    <row r="663" ht="15.75" customHeight="1" s="57">
      <c r="A663" s="2" t="n"/>
      <c r="B663" s="2" t="n"/>
      <c r="C663" s="2" t="n"/>
      <c r="D663" s="2" t="n"/>
      <c r="E663" s="2" t="n"/>
      <c r="F663" s="2" t="n"/>
    </row>
    <row r="664" ht="15.75" customHeight="1" s="57">
      <c r="A664" s="2" t="n"/>
      <c r="B664" s="2" t="n"/>
      <c r="C664" s="2" t="n"/>
      <c r="D664" s="2" t="n"/>
      <c r="E664" s="2" t="n"/>
      <c r="F664" s="2" t="n"/>
    </row>
    <row r="665" ht="15.75" customHeight="1" s="57">
      <c r="A665" s="2" t="n"/>
      <c r="B665" s="2" t="n"/>
      <c r="C665" s="2" t="n"/>
      <c r="D665" s="2" t="n"/>
      <c r="E665" s="2" t="n"/>
      <c r="F665" s="2" t="n"/>
    </row>
    <row r="666" ht="15.75" customHeight="1" s="57">
      <c r="A666" s="2" t="n"/>
      <c r="B666" s="2" t="n"/>
      <c r="C666" s="2" t="n"/>
      <c r="D666" s="2" t="n"/>
      <c r="E666" s="2" t="n"/>
      <c r="F666" s="2" t="n"/>
    </row>
    <row r="667" ht="15.75" customHeight="1" s="57">
      <c r="A667" s="2" t="n"/>
      <c r="B667" s="2" t="n"/>
      <c r="C667" s="2" t="n"/>
      <c r="D667" s="2" t="n"/>
      <c r="E667" s="2" t="n"/>
      <c r="F667" s="2" t="n"/>
    </row>
    <row r="668" ht="15.75" customHeight="1" s="57">
      <c r="A668" s="2" t="n"/>
      <c r="B668" s="2" t="n"/>
      <c r="C668" s="2" t="n"/>
      <c r="D668" s="2" t="n"/>
      <c r="E668" s="2" t="n"/>
      <c r="F668" s="2" t="n"/>
    </row>
    <row r="669" ht="15.75" customHeight="1" s="57">
      <c r="A669" s="2" t="n"/>
      <c r="B669" s="2" t="n"/>
      <c r="C669" s="2" t="n"/>
      <c r="D669" s="2" t="n"/>
      <c r="E669" s="2" t="n"/>
      <c r="F669" s="2" t="n"/>
    </row>
    <row r="670" ht="15.75" customHeight="1" s="57">
      <c r="A670" s="2" t="n"/>
      <c r="B670" s="2" t="n"/>
      <c r="C670" s="2" t="n"/>
      <c r="D670" s="2" t="n"/>
      <c r="E670" s="2" t="n"/>
      <c r="F670" s="2" t="n"/>
    </row>
    <row r="671" ht="15.75" customHeight="1" s="57">
      <c r="A671" s="2" t="n"/>
      <c r="B671" s="2" t="n"/>
      <c r="C671" s="2" t="n"/>
      <c r="D671" s="2" t="n"/>
      <c r="E671" s="2" t="n"/>
      <c r="F671" s="2" t="n"/>
    </row>
    <row r="672" ht="15.75" customHeight="1" s="57">
      <c r="A672" s="2" t="n"/>
      <c r="B672" s="2" t="n"/>
      <c r="C672" s="2" t="n"/>
      <c r="D672" s="2" t="n"/>
      <c r="E672" s="2" t="n"/>
      <c r="F672" s="2" t="n"/>
    </row>
    <row r="673" ht="15.75" customHeight="1" s="57">
      <c r="A673" s="2" t="n"/>
      <c r="B673" s="2" t="n"/>
      <c r="C673" s="2" t="n"/>
      <c r="D673" s="2" t="n"/>
      <c r="E673" s="2" t="n"/>
      <c r="F673" s="2" t="n"/>
    </row>
    <row r="674" ht="15.75" customHeight="1" s="57">
      <c r="A674" s="2" t="n"/>
      <c r="B674" s="2" t="n"/>
      <c r="C674" s="2" t="n"/>
      <c r="D674" s="2" t="n"/>
      <c r="E674" s="2" t="n"/>
      <c r="F674" s="2" t="n"/>
    </row>
    <row r="675" ht="15.75" customHeight="1" s="57">
      <c r="A675" s="2" t="n"/>
      <c r="B675" s="2" t="n"/>
      <c r="C675" s="2" t="n"/>
      <c r="D675" s="2" t="n"/>
      <c r="E675" s="2" t="n"/>
      <c r="F675" s="2" t="n"/>
    </row>
    <row r="676" ht="15.75" customHeight="1" s="57">
      <c r="A676" s="2" t="n"/>
      <c r="B676" s="2" t="n"/>
      <c r="C676" s="2" t="n"/>
      <c r="D676" s="2" t="n"/>
      <c r="E676" s="2" t="n"/>
      <c r="F676" s="2" t="n"/>
    </row>
    <row r="677" ht="15.75" customHeight="1" s="57">
      <c r="A677" s="2" t="n"/>
      <c r="B677" s="2" t="n"/>
      <c r="C677" s="2" t="n"/>
      <c r="D677" s="2" t="n"/>
      <c r="E677" s="2" t="n"/>
      <c r="F677" s="2" t="n"/>
    </row>
    <row r="678" ht="15.75" customHeight="1" s="57">
      <c r="A678" s="2" t="n"/>
      <c r="B678" s="2" t="n"/>
      <c r="C678" s="2" t="n"/>
      <c r="D678" s="2" t="n"/>
      <c r="E678" s="2" t="n"/>
      <c r="F678" s="2" t="n"/>
    </row>
    <row r="679" ht="15.75" customHeight="1" s="57">
      <c r="A679" s="2" t="n"/>
      <c r="B679" s="2" t="n"/>
      <c r="C679" s="2" t="n"/>
      <c r="D679" s="2" t="n"/>
      <c r="E679" s="2" t="n"/>
      <c r="F679" s="2" t="n"/>
    </row>
    <row r="680" ht="15.75" customHeight="1" s="57">
      <c r="A680" s="2" t="n"/>
      <c r="B680" s="2" t="n"/>
      <c r="C680" s="2" t="n"/>
      <c r="D680" s="2" t="n"/>
      <c r="E680" s="2" t="n"/>
      <c r="F680" s="2" t="n"/>
    </row>
    <row r="681" ht="15.75" customHeight="1" s="57">
      <c r="A681" s="2" t="n"/>
      <c r="B681" s="2" t="n"/>
      <c r="C681" s="2" t="n"/>
      <c r="D681" s="2" t="n"/>
      <c r="E681" s="2" t="n"/>
      <c r="F681" s="2" t="n"/>
    </row>
    <row r="682" ht="15.75" customHeight="1" s="57">
      <c r="A682" s="2" t="n"/>
      <c r="B682" s="2" t="n"/>
      <c r="C682" s="2" t="n"/>
      <c r="D682" s="2" t="n"/>
      <c r="E682" s="2" t="n"/>
      <c r="F682" s="2" t="n"/>
    </row>
    <row r="683" ht="15.75" customHeight="1" s="57">
      <c r="A683" s="2" t="n"/>
      <c r="B683" s="2" t="n"/>
      <c r="C683" s="2" t="n"/>
      <c r="D683" s="2" t="n"/>
      <c r="E683" s="2" t="n"/>
      <c r="F683" s="2" t="n"/>
    </row>
    <row r="684" ht="15.75" customHeight="1" s="57">
      <c r="A684" s="2" t="n"/>
      <c r="B684" s="2" t="n"/>
      <c r="C684" s="2" t="n"/>
      <c r="D684" s="2" t="n"/>
      <c r="E684" s="2" t="n"/>
      <c r="F684" s="2" t="n"/>
    </row>
    <row r="685" ht="15.75" customHeight="1" s="57">
      <c r="A685" s="2" t="n"/>
      <c r="B685" s="2" t="n"/>
      <c r="C685" s="2" t="n"/>
      <c r="D685" s="2" t="n"/>
      <c r="E685" s="2" t="n"/>
      <c r="F685" s="2" t="n"/>
    </row>
    <row r="686" ht="15.75" customHeight="1" s="57">
      <c r="A686" s="2" t="n"/>
      <c r="B686" s="2" t="n"/>
      <c r="C686" s="2" t="n"/>
      <c r="D686" s="2" t="n"/>
      <c r="E686" s="2" t="n"/>
      <c r="F686" s="2" t="n"/>
    </row>
    <row r="687" ht="15.75" customHeight="1" s="57">
      <c r="A687" s="2" t="n"/>
      <c r="B687" s="2" t="n"/>
      <c r="C687" s="2" t="n"/>
      <c r="D687" s="2" t="n"/>
      <c r="E687" s="2" t="n"/>
      <c r="F687" s="2" t="n"/>
    </row>
    <row r="688" ht="15.75" customHeight="1" s="57">
      <c r="A688" s="2" t="n"/>
      <c r="B688" s="2" t="n"/>
      <c r="C688" s="2" t="n"/>
      <c r="D688" s="2" t="n"/>
      <c r="E688" s="2" t="n"/>
      <c r="F688" s="2" t="n"/>
    </row>
    <row r="689" ht="15.75" customHeight="1" s="57">
      <c r="A689" s="2" t="n"/>
      <c r="B689" s="2" t="n"/>
      <c r="C689" s="2" t="n"/>
      <c r="D689" s="2" t="n"/>
      <c r="E689" s="2" t="n"/>
      <c r="F689" s="2" t="n"/>
    </row>
    <row r="690" ht="15.75" customHeight="1" s="57">
      <c r="A690" s="2" t="n"/>
      <c r="B690" s="2" t="n"/>
      <c r="C690" s="2" t="n"/>
      <c r="D690" s="2" t="n"/>
      <c r="E690" s="2" t="n"/>
      <c r="F690" s="2" t="n"/>
    </row>
    <row r="691" ht="15.75" customHeight="1" s="57">
      <c r="A691" s="2" t="n"/>
      <c r="B691" s="2" t="n"/>
      <c r="C691" s="2" t="n"/>
      <c r="D691" s="2" t="n"/>
      <c r="E691" s="2" t="n"/>
      <c r="F691" s="2" t="n"/>
    </row>
    <row r="692" ht="15.75" customHeight="1" s="57">
      <c r="A692" s="2" t="n"/>
      <c r="B692" s="2" t="n"/>
      <c r="C692" s="2" t="n"/>
      <c r="D692" s="2" t="n"/>
      <c r="E692" s="2" t="n"/>
      <c r="F692" s="2" t="n"/>
    </row>
    <row r="693" ht="15.75" customHeight="1" s="57">
      <c r="A693" s="2" t="n"/>
      <c r="B693" s="2" t="n"/>
      <c r="C693" s="2" t="n"/>
      <c r="D693" s="2" t="n"/>
      <c r="E693" s="2" t="n"/>
      <c r="F693" s="2" t="n"/>
    </row>
    <row r="694" ht="15.75" customHeight="1" s="57">
      <c r="A694" s="2" t="n"/>
      <c r="B694" s="2" t="n"/>
      <c r="C694" s="2" t="n"/>
      <c r="D694" s="2" t="n"/>
      <c r="E694" s="2" t="n"/>
      <c r="F694" s="2" t="n"/>
    </row>
    <row r="695" ht="15.75" customHeight="1" s="57">
      <c r="A695" s="2" t="n"/>
      <c r="B695" s="2" t="n"/>
      <c r="C695" s="2" t="n"/>
      <c r="D695" s="2" t="n"/>
      <c r="E695" s="2" t="n"/>
      <c r="F695" s="2" t="n"/>
    </row>
    <row r="696" ht="15.75" customHeight="1" s="57">
      <c r="A696" s="2" t="n"/>
      <c r="B696" s="2" t="n"/>
      <c r="C696" s="2" t="n"/>
      <c r="D696" s="2" t="n"/>
      <c r="E696" s="2" t="n"/>
      <c r="F696" s="2" t="n"/>
    </row>
    <row r="697" ht="15.75" customHeight="1" s="57">
      <c r="A697" s="2" t="n"/>
      <c r="B697" s="2" t="n"/>
      <c r="C697" s="2" t="n"/>
      <c r="D697" s="2" t="n"/>
      <c r="E697" s="2" t="n"/>
      <c r="F697" s="2" t="n"/>
    </row>
    <row r="698" ht="15.75" customHeight="1" s="57">
      <c r="A698" s="2" t="n"/>
      <c r="B698" s="2" t="n"/>
      <c r="C698" s="2" t="n"/>
      <c r="D698" s="2" t="n"/>
      <c r="E698" s="2" t="n"/>
      <c r="F698" s="2" t="n"/>
    </row>
    <row r="699" ht="15.75" customHeight="1" s="57">
      <c r="A699" s="2" t="n"/>
      <c r="B699" s="2" t="n"/>
      <c r="C699" s="2" t="n"/>
      <c r="D699" s="2" t="n"/>
      <c r="E699" s="2" t="n"/>
      <c r="F699" s="2" t="n"/>
    </row>
    <row r="700" ht="15.75" customHeight="1" s="57">
      <c r="A700" s="2" t="n"/>
      <c r="B700" s="2" t="n"/>
      <c r="C700" s="2" t="n"/>
      <c r="D700" s="2" t="n"/>
      <c r="E700" s="2" t="n"/>
      <c r="F700" s="2" t="n"/>
    </row>
    <row r="701" ht="15.75" customHeight="1" s="57">
      <c r="A701" s="2" t="n"/>
      <c r="B701" s="2" t="n"/>
      <c r="C701" s="2" t="n"/>
      <c r="D701" s="2" t="n"/>
      <c r="E701" s="2" t="n"/>
      <c r="F701" s="2" t="n"/>
    </row>
    <row r="702" ht="15.75" customHeight="1" s="57">
      <c r="A702" s="2" t="n"/>
      <c r="B702" s="2" t="n"/>
      <c r="C702" s="2" t="n"/>
      <c r="D702" s="2" t="n"/>
      <c r="E702" s="2" t="n"/>
      <c r="F702" s="2" t="n"/>
    </row>
    <row r="703" ht="15.75" customHeight="1" s="57">
      <c r="A703" s="2" t="n"/>
      <c r="B703" s="2" t="n"/>
      <c r="C703" s="2" t="n"/>
      <c r="D703" s="2" t="n"/>
      <c r="E703" s="2" t="n"/>
      <c r="F703" s="2" t="n"/>
    </row>
    <row r="704" ht="15.75" customHeight="1" s="57">
      <c r="A704" s="2" t="n"/>
      <c r="B704" s="2" t="n"/>
      <c r="C704" s="2" t="n"/>
      <c r="D704" s="2" t="n"/>
      <c r="E704" s="2" t="n"/>
      <c r="F704" s="2" t="n"/>
    </row>
    <row r="705" ht="15.75" customHeight="1" s="57">
      <c r="A705" s="2" t="n"/>
      <c r="B705" s="2" t="n"/>
      <c r="C705" s="2" t="n"/>
      <c r="D705" s="2" t="n"/>
      <c r="E705" s="2" t="n"/>
      <c r="F705" s="2" t="n"/>
    </row>
    <row r="706" ht="15.75" customHeight="1" s="57">
      <c r="A706" s="2" t="n"/>
      <c r="B706" s="2" t="n"/>
      <c r="C706" s="2" t="n"/>
      <c r="D706" s="2" t="n"/>
      <c r="E706" s="2" t="n"/>
      <c r="F706" s="2" t="n"/>
    </row>
    <row r="707" ht="15.75" customHeight="1" s="57">
      <c r="A707" s="2" t="n"/>
      <c r="B707" s="2" t="n"/>
      <c r="C707" s="2" t="n"/>
      <c r="D707" s="2" t="n"/>
      <c r="E707" s="2" t="n"/>
      <c r="F707" s="2" t="n"/>
    </row>
    <row r="708" ht="15.75" customHeight="1" s="57">
      <c r="A708" s="2" t="n"/>
      <c r="B708" s="2" t="n"/>
      <c r="C708" s="2" t="n"/>
      <c r="D708" s="2" t="n"/>
      <c r="E708" s="2" t="n"/>
      <c r="F708" s="2" t="n"/>
    </row>
    <row r="709" ht="15.75" customHeight="1" s="57">
      <c r="A709" s="2" t="n"/>
      <c r="B709" s="2" t="n"/>
      <c r="C709" s="2" t="n"/>
      <c r="D709" s="2" t="n"/>
      <c r="E709" s="2" t="n"/>
      <c r="F709" s="2" t="n"/>
    </row>
    <row r="710" ht="15.75" customHeight="1" s="57">
      <c r="A710" s="2" t="n"/>
      <c r="B710" s="2" t="n"/>
      <c r="C710" s="2" t="n"/>
      <c r="D710" s="2" t="n"/>
      <c r="E710" s="2" t="n"/>
      <c r="F710" s="2" t="n"/>
    </row>
    <row r="711" ht="15.75" customHeight="1" s="57">
      <c r="A711" s="2" t="n"/>
      <c r="B711" s="2" t="n"/>
      <c r="C711" s="2" t="n"/>
      <c r="D711" s="2" t="n"/>
      <c r="E711" s="2" t="n"/>
      <c r="F711" s="2" t="n"/>
    </row>
    <row r="712" ht="15.75" customHeight="1" s="57">
      <c r="A712" s="2" t="n"/>
      <c r="B712" s="2" t="n"/>
      <c r="C712" s="2" t="n"/>
      <c r="D712" s="2" t="n"/>
      <c r="E712" s="2" t="n"/>
      <c r="F712" s="2" t="n"/>
    </row>
    <row r="713" ht="15.75" customHeight="1" s="57">
      <c r="A713" s="2" t="n"/>
      <c r="B713" s="2" t="n"/>
      <c r="C713" s="2" t="n"/>
      <c r="D713" s="2" t="n"/>
      <c r="E713" s="2" t="n"/>
      <c r="F713" s="2" t="n"/>
    </row>
    <row r="714" ht="15.75" customHeight="1" s="57">
      <c r="A714" s="2" t="n"/>
      <c r="B714" s="2" t="n"/>
      <c r="C714" s="2" t="n"/>
      <c r="D714" s="2" t="n"/>
      <c r="E714" s="2" t="n"/>
      <c r="F714" s="2" t="n"/>
    </row>
    <row r="715" ht="15.75" customHeight="1" s="57">
      <c r="A715" s="2" t="n"/>
      <c r="B715" s="2" t="n"/>
      <c r="C715" s="2" t="n"/>
      <c r="D715" s="2" t="n"/>
      <c r="E715" s="2" t="n"/>
      <c r="F715" s="2" t="n"/>
    </row>
    <row r="716" ht="15.75" customHeight="1" s="57">
      <c r="A716" s="2" t="n"/>
      <c r="B716" s="2" t="n"/>
      <c r="C716" s="2" t="n"/>
      <c r="D716" s="2" t="n"/>
      <c r="E716" s="2" t="n"/>
      <c r="F716" s="2" t="n"/>
    </row>
    <row r="717" ht="15.75" customHeight="1" s="57">
      <c r="A717" s="2" t="n"/>
      <c r="B717" s="2" t="n"/>
      <c r="C717" s="2" t="n"/>
      <c r="D717" s="2" t="n"/>
      <c r="E717" s="2" t="n"/>
      <c r="F717" s="2" t="n"/>
    </row>
    <row r="718" ht="15.75" customHeight="1" s="57">
      <c r="A718" s="2" t="n"/>
      <c r="B718" s="2" t="n"/>
      <c r="C718" s="2" t="n"/>
      <c r="D718" s="2" t="n"/>
      <c r="E718" s="2" t="n"/>
      <c r="F718" s="2" t="n"/>
    </row>
    <row r="719" ht="15.75" customHeight="1" s="57">
      <c r="A719" s="2" t="n"/>
      <c r="B719" s="2" t="n"/>
      <c r="C719" s="2" t="n"/>
      <c r="D719" s="2" t="n"/>
      <c r="E719" s="2" t="n"/>
      <c r="F719" s="2" t="n"/>
    </row>
    <row r="720" ht="15.75" customHeight="1" s="57">
      <c r="A720" s="2" t="n"/>
      <c r="B720" s="2" t="n"/>
      <c r="C720" s="2" t="n"/>
      <c r="D720" s="2" t="n"/>
      <c r="E720" s="2" t="n"/>
      <c r="F720" s="2" t="n"/>
    </row>
    <row r="721" ht="15.75" customHeight="1" s="57">
      <c r="A721" s="2" t="n"/>
      <c r="B721" s="2" t="n"/>
      <c r="C721" s="2" t="n"/>
      <c r="D721" s="2" t="n"/>
      <c r="E721" s="2" t="n"/>
      <c r="F721" s="2" t="n"/>
    </row>
    <row r="722" ht="15.75" customHeight="1" s="57">
      <c r="A722" s="2" t="n"/>
      <c r="B722" s="2" t="n"/>
      <c r="C722" s="2" t="n"/>
      <c r="D722" s="2" t="n"/>
      <c r="E722" s="2" t="n"/>
      <c r="F722" s="2" t="n"/>
    </row>
    <row r="723" ht="15.75" customHeight="1" s="57">
      <c r="A723" s="2" t="n"/>
      <c r="B723" s="2" t="n"/>
      <c r="C723" s="2" t="n"/>
      <c r="D723" s="2" t="n"/>
      <c r="E723" s="2" t="n"/>
      <c r="F723" s="2" t="n"/>
    </row>
    <row r="724" ht="15.75" customHeight="1" s="57">
      <c r="A724" s="2" t="n"/>
      <c r="B724" s="2" t="n"/>
      <c r="C724" s="2" t="n"/>
      <c r="D724" s="2" t="n"/>
      <c r="E724" s="2" t="n"/>
      <c r="F724" s="2" t="n"/>
    </row>
    <row r="725" ht="15.75" customHeight="1" s="57">
      <c r="A725" s="2" t="n"/>
      <c r="B725" s="2" t="n"/>
      <c r="C725" s="2" t="n"/>
      <c r="D725" s="2" t="n"/>
      <c r="E725" s="2" t="n"/>
      <c r="F725" s="2" t="n"/>
    </row>
    <row r="726" ht="15.75" customHeight="1" s="57">
      <c r="A726" s="2" t="n"/>
      <c r="B726" s="2" t="n"/>
      <c r="C726" s="2" t="n"/>
      <c r="D726" s="2" t="n"/>
      <c r="E726" s="2" t="n"/>
      <c r="F726" s="2" t="n"/>
    </row>
    <row r="727" ht="15.75" customHeight="1" s="57">
      <c r="A727" s="2" t="n"/>
      <c r="B727" s="2" t="n"/>
      <c r="C727" s="2" t="n"/>
      <c r="D727" s="2" t="n"/>
      <c r="E727" s="2" t="n"/>
      <c r="F727" s="2" t="n"/>
    </row>
    <row r="728" ht="15.75" customHeight="1" s="57">
      <c r="A728" s="2" t="n"/>
      <c r="B728" s="2" t="n"/>
      <c r="C728" s="2" t="n"/>
      <c r="D728" s="2" t="n"/>
      <c r="E728" s="2" t="n"/>
      <c r="F728" s="2" t="n"/>
    </row>
    <row r="729" ht="15.75" customHeight="1" s="57">
      <c r="A729" s="2" t="n"/>
      <c r="B729" s="2" t="n"/>
      <c r="C729" s="2" t="n"/>
      <c r="D729" s="2" t="n"/>
      <c r="E729" s="2" t="n"/>
      <c r="F729" s="2" t="n"/>
    </row>
    <row r="730" ht="15.75" customHeight="1" s="57">
      <c r="A730" s="2" t="n"/>
      <c r="B730" s="2" t="n"/>
      <c r="C730" s="2" t="n"/>
      <c r="D730" s="2" t="n"/>
      <c r="E730" s="2" t="n"/>
      <c r="F730" s="2" t="n"/>
    </row>
    <row r="731" ht="15.75" customHeight="1" s="57">
      <c r="A731" s="2" t="n"/>
      <c r="B731" s="2" t="n"/>
      <c r="C731" s="2" t="n"/>
      <c r="D731" s="2" t="n"/>
      <c r="E731" s="2" t="n"/>
      <c r="F731" s="2" t="n"/>
    </row>
    <row r="732" ht="15.75" customHeight="1" s="57">
      <c r="A732" s="2" t="n"/>
      <c r="B732" s="2" t="n"/>
      <c r="C732" s="2" t="n"/>
      <c r="D732" s="2" t="n"/>
      <c r="E732" s="2" t="n"/>
      <c r="F732" s="2" t="n"/>
    </row>
    <row r="733" ht="15.75" customHeight="1" s="57">
      <c r="A733" s="2" t="n"/>
      <c r="B733" s="2" t="n"/>
      <c r="C733" s="2" t="n"/>
      <c r="D733" s="2" t="n"/>
      <c r="E733" s="2" t="n"/>
      <c r="F733" s="2" t="n"/>
    </row>
    <row r="734" ht="15.75" customHeight="1" s="57">
      <c r="A734" s="2" t="n"/>
      <c r="B734" s="2" t="n"/>
      <c r="C734" s="2" t="n"/>
      <c r="D734" s="2" t="n"/>
      <c r="E734" s="2" t="n"/>
      <c r="F734" s="2" t="n"/>
    </row>
    <row r="735" ht="15.75" customHeight="1" s="57">
      <c r="A735" s="2" t="n"/>
      <c r="B735" s="2" t="n"/>
      <c r="C735" s="2" t="n"/>
      <c r="D735" s="2" t="n"/>
      <c r="E735" s="2" t="n"/>
      <c r="F735" s="2" t="n"/>
    </row>
    <row r="736" ht="15.75" customHeight="1" s="57">
      <c r="A736" s="2" t="n"/>
      <c r="B736" s="2" t="n"/>
      <c r="C736" s="2" t="n"/>
      <c r="D736" s="2" t="n"/>
      <c r="E736" s="2" t="n"/>
      <c r="F736" s="2" t="n"/>
    </row>
    <row r="737" ht="15.75" customHeight="1" s="57">
      <c r="A737" s="2" t="n"/>
      <c r="B737" s="2" t="n"/>
      <c r="C737" s="2" t="n"/>
      <c r="D737" s="2" t="n"/>
      <c r="E737" s="2" t="n"/>
      <c r="F737" s="2" t="n"/>
    </row>
    <row r="738" ht="15.75" customHeight="1" s="57">
      <c r="A738" s="2" t="n"/>
      <c r="B738" s="2" t="n"/>
      <c r="C738" s="2" t="n"/>
      <c r="D738" s="2" t="n"/>
      <c r="E738" s="2" t="n"/>
      <c r="F738" s="2" t="n"/>
    </row>
    <row r="739" ht="15.75" customHeight="1" s="57">
      <c r="A739" s="2" t="n"/>
      <c r="B739" s="2" t="n"/>
      <c r="C739" s="2" t="n"/>
      <c r="D739" s="2" t="n"/>
      <c r="E739" s="2" t="n"/>
      <c r="F739" s="2" t="n"/>
    </row>
    <row r="740" ht="15.75" customHeight="1" s="57">
      <c r="A740" s="2" t="n"/>
      <c r="B740" s="2" t="n"/>
      <c r="C740" s="2" t="n"/>
      <c r="D740" s="2" t="n"/>
      <c r="E740" s="2" t="n"/>
      <c r="F740" s="2" t="n"/>
    </row>
    <row r="741" ht="15.75" customHeight="1" s="57">
      <c r="A741" s="2" t="n"/>
      <c r="B741" s="2" t="n"/>
      <c r="C741" s="2" t="n"/>
      <c r="D741" s="2" t="n"/>
      <c r="E741" s="2" t="n"/>
      <c r="F741" s="2" t="n"/>
    </row>
    <row r="742" ht="15.75" customHeight="1" s="57">
      <c r="A742" s="2" t="n"/>
      <c r="B742" s="2" t="n"/>
      <c r="C742" s="2" t="n"/>
      <c r="D742" s="2" t="n"/>
      <c r="E742" s="2" t="n"/>
      <c r="F742" s="2" t="n"/>
    </row>
    <row r="743" ht="15.75" customHeight="1" s="57">
      <c r="A743" s="2" t="n"/>
      <c r="B743" s="2" t="n"/>
      <c r="C743" s="2" t="n"/>
      <c r="D743" s="2" t="n"/>
      <c r="E743" s="2" t="n"/>
      <c r="F743" s="2" t="n"/>
    </row>
    <row r="744" ht="15.75" customHeight="1" s="57">
      <c r="A744" s="2" t="n"/>
      <c r="B744" s="2" t="n"/>
      <c r="C744" s="2" t="n"/>
      <c r="D744" s="2" t="n"/>
      <c r="E744" s="2" t="n"/>
      <c r="F744" s="2" t="n"/>
    </row>
    <row r="745" ht="15.75" customHeight="1" s="57">
      <c r="A745" s="2" t="n"/>
      <c r="B745" s="2" t="n"/>
      <c r="C745" s="2" t="n"/>
      <c r="D745" s="2" t="n"/>
      <c r="E745" s="2" t="n"/>
      <c r="F745" s="2" t="n"/>
    </row>
    <row r="746" ht="15.75" customHeight="1" s="57">
      <c r="A746" s="2" t="n"/>
      <c r="B746" s="2" t="n"/>
      <c r="C746" s="2" t="n"/>
      <c r="D746" s="2" t="n"/>
      <c r="E746" s="2" t="n"/>
      <c r="F746" s="2" t="n"/>
    </row>
    <row r="747" ht="15.75" customHeight="1" s="57">
      <c r="A747" s="2" t="n"/>
      <c r="B747" s="2" t="n"/>
      <c r="C747" s="2" t="n"/>
      <c r="D747" s="2" t="n"/>
      <c r="E747" s="2" t="n"/>
      <c r="F747" s="2" t="n"/>
    </row>
    <row r="748" ht="15.75" customHeight="1" s="57">
      <c r="A748" s="2" t="n"/>
      <c r="B748" s="2" t="n"/>
      <c r="C748" s="2" t="n"/>
      <c r="D748" s="2" t="n"/>
      <c r="E748" s="2" t="n"/>
      <c r="F748" s="2" t="n"/>
    </row>
    <row r="749" ht="15.75" customHeight="1" s="57">
      <c r="A749" s="2" t="n"/>
      <c r="B749" s="2" t="n"/>
      <c r="C749" s="2" t="n"/>
      <c r="D749" s="2" t="n"/>
      <c r="E749" s="2" t="n"/>
      <c r="F749" s="2" t="n"/>
    </row>
    <row r="750" ht="15.75" customHeight="1" s="57">
      <c r="A750" s="2" t="n"/>
      <c r="B750" s="2" t="n"/>
      <c r="C750" s="2" t="n"/>
      <c r="D750" s="2" t="n"/>
      <c r="E750" s="2" t="n"/>
      <c r="F750" s="2" t="n"/>
    </row>
    <row r="751" ht="15.75" customHeight="1" s="57">
      <c r="A751" s="2" t="n"/>
      <c r="B751" s="2" t="n"/>
      <c r="C751" s="2" t="n"/>
      <c r="D751" s="2" t="n"/>
      <c r="E751" s="2" t="n"/>
      <c r="F751" s="2" t="n"/>
    </row>
    <row r="752" ht="15.75" customHeight="1" s="57">
      <c r="A752" s="2" t="n"/>
      <c r="B752" s="2" t="n"/>
      <c r="C752" s="2" t="n"/>
      <c r="D752" s="2" t="n"/>
      <c r="E752" s="2" t="n"/>
      <c r="F752" s="2" t="n"/>
    </row>
    <row r="753" ht="15.75" customHeight="1" s="57">
      <c r="A753" s="2" t="n"/>
      <c r="B753" s="2" t="n"/>
      <c r="C753" s="2" t="n"/>
      <c r="D753" s="2" t="n"/>
      <c r="E753" s="2" t="n"/>
      <c r="F753" s="2" t="n"/>
    </row>
    <row r="754" ht="15.75" customHeight="1" s="57">
      <c r="A754" s="2" t="n"/>
      <c r="B754" s="2" t="n"/>
      <c r="C754" s="2" t="n"/>
      <c r="D754" s="2" t="n"/>
      <c r="E754" s="2" t="n"/>
      <c r="F754" s="2" t="n"/>
    </row>
    <row r="755" ht="15.75" customHeight="1" s="57">
      <c r="A755" s="2" t="n"/>
      <c r="B755" s="2" t="n"/>
      <c r="C755" s="2" t="n"/>
      <c r="D755" s="2" t="n"/>
      <c r="E755" s="2" t="n"/>
      <c r="F755" s="2" t="n"/>
    </row>
    <row r="756" ht="15.75" customHeight="1" s="57">
      <c r="A756" s="2" t="n"/>
      <c r="B756" s="2" t="n"/>
      <c r="C756" s="2" t="n"/>
      <c r="D756" s="2" t="n"/>
      <c r="E756" s="2" t="n"/>
      <c r="F756" s="2" t="n"/>
    </row>
    <row r="757" ht="15.75" customHeight="1" s="57">
      <c r="A757" s="2" t="n"/>
      <c r="B757" s="2" t="n"/>
      <c r="C757" s="2" t="n"/>
      <c r="D757" s="2" t="n"/>
      <c r="E757" s="2" t="n"/>
      <c r="F757" s="2" t="n"/>
    </row>
    <row r="758" ht="15.75" customHeight="1" s="57">
      <c r="A758" s="2" t="n"/>
      <c r="B758" s="2" t="n"/>
      <c r="C758" s="2" t="n"/>
      <c r="D758" s="2" t="n"/>
      <c r="E758" s="2" t="n"/>
      <c r="F758" s="2" t="n"/>
    </row>
    <row r="759" ht="15.75" customHeight="1" s="57">
      <c r="A759" s="2" t="n"/>
      <c r="B759" s="2" t="n"/>
      <c r="C759" s="2" t="n"/>
      <c r="D759" s="2" t="n"/>
      <c r="E759" s="2" t="n"/>
      <c r="F759" s="2" t="n"/>
    </row>
    <row r="760" ht="15.75" customHeight="1" s="57">
      <c r="A760" s="2" t="n"/>
      <c r="B760" s="2" t="n"/>
      <c r="C760" s="2" t="n"/>
      <c r="D760" s="2" t="n"/>
      <c r="E760" s="2" t="n"/>
      <c r="F760" s="2" t="n"/>
    </row>
    <row r="761" ht="15.75" customHeight="1" s="57">
      <c r="A761" s="2" t="n"/>
      <c r="B761" s="2" t="n"/>
      <c r="C761" s="2" t="n"/>
      <c r="D761" s="2" t="n"/>
      <c r="E761" s="2" t="n"/>
      <c r="F761" s="2" t="n"/>
    </row>
    <row r="762" ht="15.75" customHeight="1" s="57">
      <c r="A762" s="2" t="n"/>
      <c r="B762" s="2" t="n"/>
      <c r="C762" s="2" t="n"/>
      <c r="D762" s="2" t="n"/>
      <c r="E762" s="2" t="n"/>
      <c r="F762" s="2" t="n"/>
    </row>
    <row r="763" ht="15.75" customHeight="1" s="57">
      <c r="A763" s="2" t="n"/>
      <c r="B763" s="2" t="n"/>
      <c r="C763" s="2" t="n"/>
      <c r="D763" s="2" t="n"/>
      <c r="E763" s="2" t="n"/>
      <c r="F763" s="2" t="n"/>
    </row>
    <row r="764" ht="15.75" customHeight="1" s="57">
      <c r="A764" s="2" t="n"/>
      <c r="B764" s="2" t="n"/>
      <c r="C764" s="2" t="n"/>
      <c r="D764" s="2" t="n"/>
      <c r="E764" s="2" t="n"/>
      <c r="F764" s="2" t="n"/>
    </row>
    <row r="765" ht="15.75" customHeight="1" s="57">
      <c r="A765" s="2" t="n"/>
      <c r="B765" s="2" t="n"/>
      <c r="C765" s="2" t="n"/>
      <c r="D765" s="2" t="n"/>
      <c r="E765" s="2" t="n"/>
      <c r="F765" s="2" t="n"/>
    </row>
    <row r="766" ht="15.75" customHeight="1" s="57">
      <c r="A766" s="2" t="n"/>
      <c r="B766" s="2" t="n"/>
      <c r="C766" s="2" t="n"/>
      <c r="D766" s="2" t="n"/>
      <c r="E766" s="2" t="n"/>
      <c r="F766" s="2" t="n"/>
    </row>
    <row r="767" ht="15.75" customHeight="1" s="57">
      <c r="A767" s="2" t="n"/>
      <c r="B767" s="2" t="n"/>
      <c r="C767" s="2" t="n"/>
      <c r="D767" s="2" t="n"/>
      <c r="E767" s="2" t="n"/>
      <c r="F767" s="2" t="n"/>
    </row>
    <row r="768" ht="15.75" customHeight="1" s="57">
      <c r="A768" s="2" t="n"/>
      <c r="B768" s="2" t="n"/>
      <c r="C768" s="2" t="n"/>
      <c r="D768" s="2" t="n"/>
      <c r="E768" s="2" t="n"/>
      <c r="F768" s="2" t="n"/>
    </row>
    <row r="769" ht="15.75" customHeight="1" s="57">
      <c r="A769" s="2" t="n"/>
      <c r="B769" s="2" t="n"/>
      <c r="C769" s="2" t="n"/>
      <c r="D769" s="2" t="n"/>
      <c r="E769" s="2" t="n"/>
      <c r="F769" s="2" t="n"/>
    </row>
    <row r="770" ht="15.75" customHeight="1" s="57">
      <c r="A770" s="2" t="n"/>
      <c r="B770" s="2" t="n"/>
      <c r="C770" s="2" t="n"/>
      <c r="D770" s="2" t="n"/>
      <c r="E770" s="2" t="n"/>
      <c r="F770" s="2" t="n"/>
    </row>
    <row r="771" ht="15.75" customHeight="1" s="57">
      <c r="A771" s="2" t="n"/>
      <c r="B771" s="2" t="n"/>
      <c r="C771" s="2" t="n"/>
      <c r="D771" s="2" t="n"/>
      <c r="E771" s="2" t="n"/>
      <c r="F771" s="2" t="n"/>
    </row>
    <row r="772" ht="15.75" customHeight="1" s="57">
      <c r="A772" s="2" t="n"/>
      <c r="B772" s="2" t="n"/>
      <c r="C772" s="2" t="n"/>
      <c r="D772" s="2" t="n"/>
      <c r="E772" s="2" t="n"/>
      <c r="F772" s="2" t="n"/>
    </row>
    <row r="773" ht="15.75" customHeight="1" s="57">
      <c r="A773" s="2" t="n"/>
      <c r="B773" s="2" t="n"/>
      <c r="C773" s="2" t="n"/>
      <c r="D773" s="2" t="n"/>
      <c r="E773" s="2" t="n"/>
      <c r="F773" s="2" t="n"/>
    </row>
    <row r="774" ht="15.75" customHeight="1" s="57">
      <c r="A774" s="2" t="n"/>
      <c r="B774" s="2" t="n"/>
      <c r="C774" s="2" t="n"/>
      <c r="D774" s="2" t="n"/>
      <c r="E774" s="2" t="n"/>
      <c r="F774" s="2" t="n"/>
    </row>
    <row r="775" ht="15.75" customHeight="1" s="57">
      <c r="A775" s="2" t="n"/>
      <c r="B775" s="2" t="n"/>
      <c r="C775" s="2" t="n"/>
      <c r="D775" s="2" t="n"/>
      <c r="E775" s="2" t="n"/>
      <c r="F775" s="2" t="n"/>
    </row>
    <row r="776" ht="15.75" customHeight="1" s="57">
      <c r="A776" s="2" t="n"/>
      <c r="B776" s="2" t="n"/>
      <c r="C776" s="2" t="n"/>
      <c r="D776" s="2" t="n"/>
      <c r="E776" s="2" t="n"/>
      <c r="F776" s="2" t="n"/>
    </row>
    <row r="777" ht="15.75" customHeight="1" s="57">
      <c r="A777" s="2" t="n"/>
      <c r="B777" s="2" t="n"/>
      <c r="C777" s="2" t="n"/>
      <c r="D777" s="2" t="n"/>
      <c r="E777" s="2" t="n"/>
      <c r="F777" s="2" t="n"/>
    </row>
    <row r="778" ht="15.75" customHeight="1" s="57">
      <c r="A778" s="2" t="n"/>
      <c r="B778" s="2" t="n"/>
      <c r="C778" s="2" t="n"/>
      <c r="D778" s="2" t="n"/>
      <c r="E778" s="2" t="n"/>
      <c r="F778" s="2" t="n"/>
    </row>
    <row r="779" ht="15.75" customHeight="1" s="57">
      <c r="A779" s="2" t="n"/>
      <c r="B779" s="2" t="n"/>
      <c r="C779" s="2" t="n"/>
      <c r="D779" s="2" t="n"/>
      <c r="E779" s="2" t="n"/>
      <c r="F779" s="2" t="n"/>
    </row>
    <row r="780" ht="15.75" customHeight="1" s="57">
      <c r="A780" s="2" t="n"/>
      <c r="B780" s="2" t="n"/>
      <c r="C780" s="2" t="n"/>
      <c r="D780" s="2" t="n"/>
      <c r="E780" s="2" t="n"/>
      <c r="F780" s="2" t="n"/>
    </row>
    <row r="781" ht="15.75" customHeight="1" s="57">
      <c r="A781" s="2" t="n"/>
      <c r="B781" s="2" t="n"/>
      <c r="C781" s="2" t="n"/>
      <c r="D781" s="2" t="n"/>
      <c r="E781" s="2" t="n"/>
      <c r="F781" s="2" t="n"/>
    </row>
    <row r="782" ht="15.75" customHeight="1" s="57">
      <c r="A782" s="2" t="n"/>
      <c r="B782" s="2" t="n"/>
      <c r="C782" s="2" t="n"/>
      <c r="D782" s="2" t="n"/>
      <c r="E782" s="2" t="n"/>
      <c r="F782" s="2" t="n"/>
    </row>
    <row r="783" ht="15.75" customHeight="1" s="57">
      <c r="A783" s="2" t="n"/>
      <c r="B783" s="2" t="n"/>
      <c r="C783" s="2" t="n"/>
      <c r="D783" s="2" t="n"/>
      <c r="E783" s="2" t="n"/>
      <c r="F783" s="2" t="n"/>
    </row>
    <row r="784" ht="15.75" customHeight="1" s="57">
      <c r="A784" s="2" t="n"/>
      <c r="B784" s="2" t="n"/>
      <c r="C784" s="2" t="n"/>
      <c r="D784" s="2" t="n"/>
      <c r="E784" s="2" t="n"/>
      <c r="F784" s="2" t="n"/>
    </row>
    <row r="785" ht="15.75" customHeight="1" s="57">
      <c r="A785" s="2" t="n"/>
      <c r="B785" s="2" t="n"/>
      <c r="C785" s="2" t="n"/>
      <c r="D785" s="2" t="n"/>
      <c r="E785" s="2" t="n"/>
      <c r="F785" s="2" t="n"/>
    </row>
    <row r="786" ht="15.75" customHeight="1" s="57">
      <c r="A786" s="2" t="n"/>
      <c r="B786" s="2" t="n"/>
      <c r="C786" s="2" t="n"/>
      <c r="D786" s="2" t="n"/>
      <c r="E786" s="2" t="n"/>
      <c r="F786" s="2" t="n"/>
    </row>
    <row r="787" ht="15.75" customHeight="1" s="57">
      <c r="A787" s="2" t="n"/>
      <c r="B787" s="2" t="n"/>
      <c r="C787" s="2" t="n"/>
      <c r="D787" s="2" t="n"/>
      <c r="E787" s="2" t="n"/>
      <c r="F787" s="2" t="n"/>
    </row>
    <row r="788" ht="15.75" customHeight="1" s="57">
      <c r="A788" s="2" t="n"/>
      <c r="B788" s="2" t="n"/>
      <c r="C788" s="2" t="n"/>
      <c r="D788" s="2" t="n"/>
      <c r="E788" s="2" t="n"/>
      <c r="F788" s="2" t="n"/>
    </row>
    <row r="789" ht="15.75" customHeight="1" s="57">
      <c r="A789" s="2" t="n"/>
      <c r="B789" s="2" t="n"/>
      <c r="C789" s="2" t="n"/>
      <c r="D789" s="2" t="n"/>
      <c r="E789" s="2" t="n"/>
      <c r="F789" s="2" t="n"/>
    </row>
    <row r="790" ht="15.75" customHeight="1" s="57">
      <c r="A790" s="2" t="n"/>
      <c r="B790" s="2" t="n"/>
      <c r="C790" s="2" t="n"/>
      <c r="D790" s="2" t="n"/>
      <c r="E790" s="2" t="n"/>
      <c r="F790" s="2" t="n"/>
    </row>
    <row r="791" ht="15.75" customHeight="1" s="57">
      <c r="A791" s="2" t="n"/>
      <c r="B791" s="2" t="n"/>
      <c r="C791" s="2" t="n"/>
      <c r="D791" s="2" t="n"/>
      <c r="E791" s="2" t="n"/>
      <c r="F791" s="2" t="n"/>
    </row>
    <row r="792" ht="15.75" customHeight="1" s="57">
      <c r="A792" s="2" t="n"/>
      <c r="B792" s="2" t="n"/>
      <c r="C792" s="2" t="n"/>
      <c r="D792" s="2" t="n"/>
      <c r="E792" s="2" t="n"/>
      <c r="F792" s="2" t="n"/>
    </row>
    <row r="793" ht="15.75" customHeight="1" s="57">
      <c r="A793" s="2" t="n"/>
      <c r="B793" s="2" t="n"/>
      <c r="C793" s="2" t="n"/>
      <c r="D793" s="2" t="n"/>
      <c r="E793" s="2" t="n"/>
      <c r="F793" s="2" t="n"/>
    </row>
    <row r="794" ht="15.75" customHeight="1" s="57">
      <c r="A794" s="2" t="n"/>
      <c r="B794" s="2" t="n"/>
      <c r="C794" s="2" t="n"/>
      <c r="D794" s="2" t="n"/>
      <c r="E794" s="2" t="n"/>
      <c r="F794" s="2" t="n"/>
    </row>
    <row r="795" ht="15.75" customHeight="1" s="57">
      <c r="A795" s="2" t="n"/>
      <c r="B795" s="2" t="n"/>
      <c r="C795" s="2" t="n"/>
      <c r="D795" s="2" t="n"/>
      <c r="E795" s="2" t="n"/>
      <c r="F795" s="2" t="n"/>
    </row>
    <row r="796" ht="15.75" customHeight="1" s="57">
      <c r="A796" s="2" t="n"/>
      <c r="B796" s="2" t="n"/>
      <c r="C796" s="2" t="n"/>
      <c r="D796" s="2" t="n"/>
      <c r="E796" s="2" t="n"/>
      <c r="F796" s="2" t="n"/>
    </row>
    <row r="797" ht="15.75" customHeight="1" s="57">
      <c r="A797" s="2" t="n"/>
      <c r="B797" s="2" t="n"/>
      <c r="C797" s="2" t="n"/>
      <c r="D797" s="2" t="n"/>
      <c r="E797" s="2" t="n"/>
      <c r="F797" s="2" t="n"/>
    </row>
    <row r="798" ht="15.75" customHeight="1" s="57">
      <c r="A798" s="2" t="n"/>
      <c r="B798" s="2" t="n"/>
      <c r="C798" s="2" t="n"/>
      <c r="D798" s="2" t="n"/>
      <c r="E798" s="2" t="n"/>
      <c r="F798" s="2" t="n"/>
    </row>
    <row r="799" ht="15.75" customHeight="1" s="57">
      <c r="A799" s="2" t="n"/>
      <c r="B799" s="2" t="n"/>
      <c r="C799" s="2" t="n"/>
      <c r="D799" s="2" t="n"/>
      <c r="E799" s="2" t="n"/>
      <c r="F799" s="2" t="n"/>
    </row>
    <row r="800" ht="15.75" customHeight="1" s="57">
      <c r="A800" s="2" t="n"/>
      <c r="B800" s="2" t="n"/>
      <c r="C800" s="2" t="n"/>
      <c r="D800" s="2" t="n"/>
      <c r="E800" s="2" t="n"/>
      <c r="F800" s="2" t="n"/>
    </row>
    <row r="801" ht="15.75" customHeight="1" s="57">
      <c r="A801" s="2" t="n"/>
      <c r="B801" s="2" t="n"/>
      <c r="C801" s="2" t="n"/>
      <c r="D801" s="2" t="n"/>
      <c r="E801" s="2" t="n"/>
      <c r="F801" s="2" t="n"/>
    </row>
    <row r="802" ht="15.75" customHeight="1" s="57">
      <c r="A802" s="2" t="n"/>
      <c r="B802" s="2" t="n"/>
      <c r="C802" s="2" t="n"/>
      <c r="D802" s="2" t="n"/>
      <c r="E802" s="2" t="n"/>
      <c r="F802" s="2" t="n"/>
    </row>
    <row r="803" ht="15.75" customHeight="1" s="57">
      <c r="A803" s="2" t="n"/>
      <c r="B803" s="2" t="n"/>
      <c r="C803" s="2" t="n"/>
      <c r="D803" s="2" t="n"/>
      <c r="E803" s="2" t="n"/>
      <c r="F803" s="2" t="n"/>
    </row>
    <row r="804" ht="15.75" customHeight="1" s="57">
      <c r="A804" s="2" t="n"/>
      <c r="B804" s="2" t="n"/>
      <c r="C804" s="2" t="n"/>
      <c r="D804" s="2" t="n"/>
      <c r="E804" s="2" t="n"/>
      <c r="F804" s="2" t="n"/>
    </row>
    <row r="805" ht="15.75" customHeight="1" s="57">
      <c r="A805" s="2" t="n"/>
      <c r="B805" s="2" t="n"/>
      <c r="C805" s="2" t="n"/>
      <c r="D805" s="2" t="n"/>
      <c r="E805" s="2" t="n"/>
      <c r="F805" s="2" t="n"/>
    </row>
    <row r="806" ht="15.75" customHeight="1" s="57">
      <c r="A806" s="2" t="n"/>
      <c r="B806" s="2" t="n"/>
      <c r="C806" s="2" t="n"/>
      <c r="D806" s="2" t="n"/>
      <c r="E806" s="2" t="n"/>
      <c r="F806" s="2" t="n"/>
    </row>
    <row r="807" ht="15.75" customHeight="1" s="57">
      <c r="A807" s="2" t="n"/>
      <c r="B807" s="2" t="n"/>
      <c r="C807" s="2" t="n"/>
      <c r="D807" s="2" t="n"/>
      <c r="E807" s="2" t="n"/>
      <c r="F807" s="2" t="n"/>
    </row>
    <row r="808" ht="15.75" customHeight="1" s="57">
      <c r="A808" s="2" t="n"/>
      <c r="B808" s="2" t="n"/>
      <c r="C808" s="2" t="n"/>
      <c r="D808" s="2" t="n"/>
      <c r="E808" s="2" t="n"/>
      <c r="F808" s="2" t="n"/>
    </row>
    <row r="809" ht="15.75" customHeight="1" s="57">
      <c r="A809" s="2" t="n"/>
      <c r="B809" s="2" t="n"/>
      <c r="C809" s="2" t="n"/>
      <c r="D809" s="2" t="n"/>
      <c r="E809" s="2" t="n"/>
      <c r="F809" s="2" t="n"/>
    </row>
    <row r="810" ht="15.75" customHeight="1" s="57">
      <c r="A810" s="2" t="n"/>
      <c r="B810" s="2" t="n"/>
      <c r="C810" s="2" t="n"/>
      <c r="D810" s="2" t="n"/>
      <c r="E810" s="2" t="n"/>
      <c r="F810" s="2" t="n"/>
    </row>
    <row r="811" ht="15.75" customHeight="1" s="57">
      <c r="A811" s="2" t="n"/>
      <c r="B811" s="2" t="n"/>
      <c r="C811" s="2" t="n"/>
      <c r="D811" s="2" t="n"/>
      <c r="E811" s="2" t="n"/>
      <c r="F811" s="2" t="n"/>
    </row>
    <row r="812" ht="15.75" customHeight="1" s="57">
      <c r="A812" s="2" t="n"/>
      <c r="B812" s="2" t="n"/>
      <c r="C812" s="2" t="n"/>
      <c r="D812" s="2" t="n"/>
      <c r="E812" s="2" t="n"/>
      <c r="F812" s="2" t="n"/>
    </row>
    <row r="813" ht="15.75" customHeight="1" s="57">
      <c r="A813" s="2" t="n"/>
      <c r="B813" s="2" t="n"/>
      <c r="C813" s="2" t="n"/>
      <c r="D813" s="2" t="n"/>
      <c r="E813" s="2" t="n"/>
      <c r="F813" s="2" t="n"/>
    </row>
    <row r="814" ht="15.75" customHeight="1" s="57">
      <c r="A814" s="2" t="n"/>
      <c r="B814" s="2" t="n"/>
      <c r="C814" s="2" t="n"/>
      <c r="D814" s="2" t="n"/>
      <c r="E814" s="2" t="n"/>
      <c r="F814" s="2" t="n"/>
    </row>
    <row r="815" ht="15.75" customHeight="1" s="57">
      <c r="A815" s="2" t="n"/>
      <c r="B815" s="2" t="n"/>
      <c r="C815" s="2" t="n"/>
      <c r="D815" s="2" t="n"/>
      <c r="E815" s="2" t="n"/>
      <c r="F815" s="2" t="n"/>
    </row>
    <row r="816" ht="15.75" customHeight="1" s="57">
      <c r="A816" s="2" t="n"/>
      <c r="B816" s="2" t="n"/>
      <c r="C816" s="2" t="n"/>
      <c r="D816" s="2" t="n"/>
      <c r="E816" s="2" t="n"/>
      <c r="F816" s="2" t="n"/>
    </row>
    <row r="817" ht="15.75" customHeight="1" s="57">
      <c r="A817" s="2" t="n"/>
      <c r="B817" s="2" t="n"/>
      <c r="C817" s="2" t="n"/>
      <c r="D817" s="2" t="n"/>
      <c r="E817" s="2" t="n"/>
      <c r="F817" s="2" t="n"/>
    </row>
    <row r="818" ht="15.75" customHeight="1" s="57">
      <c r="A818" s="2" t="n"/>
      <c r="B818" s="2" t="n"/>
      <c r="C818" s="2" t="n"/>
      <c r="D818" s="2" t="n"/>
      <c r="E818" s="2" t="n"/>
      <c r="F818" s="2" t="n"/>
    </row>
    <row r="819" ht="15.75" customHeight="1" s="57">
      <c r="A819" s="2" t="n"/>
      <c r="B819" s="2" t="n"/>
      <c r="C819" s="2" t="n"/>
      <c r="D819" s="2" t="n"/>
      <c r="E819" s="2" t="n"/>
      <c r="F819" s="2" t="n"/>
    </row>
    <row r="820" ht="15.75" customHeight="1" s="57">
      <c r="A820" s="2" t="n"/>
      <c r="B820" s="2" t="n"/>
      <c r="C820" s="2" t="n"/>
      <c r="D820" s="2" t="n"/>
      <c r="E820" s="2" t="n"/>
      <c r="F820" s="2" t="n"/>
    </row>
    <row r="821" ht="15.75" customHeight="1" s="57">
      <c r="A821" s="2" t="n"/>
      <c r="B821" s="2" t="n"/>
      <c r="C821" s="2" t="n"/>
      <c r="D821" s="2" t="n"/>
      <c r="E821" s="2" t="n"/>
      <c r="F821" s="2" t="n"/>
    </row>
    <row r="822" ht="15.75" customHeight="1" s="57">
      <c r="A822" s="2" t="n"/>
      <c r="B822" s="2" t="n"/>
      <c r="C822" s="2" t="n"/>
      <c r="D822" s="2" t="n"/>
      <c r="E822" s="2" t="n"/>
      <c r="F822" s="2" t="n"/>
    </row>
    <row r="823" ht="15.75" customHeight="1" s="57">
      <c r="A823" s="2" t="n"/>
      <c r="B823" s="2" t="n"/>
      <c r="C823" s="2" t="n"/>
      <c r="D823" s="2" t="n"/>
      <c r="E823" s="2" t="n"/>
      <c r="F823" s="2" t="n"/>
    </row>
    <row r="824" ht="15.75" customHeight="1" s="57">
      <c r="A824" s="2" t="n"/>
      <c r="B824" s="2" t="n"/>
      <c r="C824" s="2" t="n"/>
      <c r="D824" s="2" t="n"/>
      <c r="E824" s="2" t="n"/>
      <c r="F824" s="2" t="n"/>
    </row>
    <row r="825" ht="15.75" customHeight="1" s="57">
      <c r="A825" s="2" t="n"/>
      <c r="B825" s="2" t="n"/>
      <c r="C825" s="2" t="n"/>
      <c r="D825" s="2" t="n"/>
      <c r="E825" s="2" t="n"/>
      <c r="F825" s="2" t="n"/>
    </row>
    <row r="826" ht="15.75" customHeight="1" s="57">
      <c r="A826" s="2" t="n"/>
      <c r="B826" s="2" t="n"/>
      <c r="C826" s="2" t="n"/>
      <c r="D826" s="2" t="n"/>
      <c r="E826" s="2" t="n"/>
      <c r="F826" s="2" t="n"/>
    </row>
    <row r="827" ht="15.75" customHeight="1" s="57">
      <c r="A827" s="2" t="n"/>
      <c r="B827" s="2" t="n"/>
      <c r="C827" s="2" t="n"/>
      <c r="D827" s="2" t="n"/>
      <c r="E827" s="2" t="n"/>
      <c r="F827" s="2" t="n"/>
    </row>
    <row r="828" ht="15.75" customHeight="1" s="57">
      <c r="A828" s="2" t="n"/>
      <c r="B828" s="2" t="n"/>
      <c r="C828" s="2" t="n"/>
      <c r="D828" s="2" t="n"/>
      <c r="E828" s="2" t="n"/>
      <c r="F828" s="2" t="n"/>
    </row>
    <row r="829" ht="15.75" customHeight="1" s="57">
      <c r="A829" s="2" t="n"/>
      <c r="B829" s="2" t="n"/>
      <c r="C829" s="2" t="n"/>
      <c r="D829" s="2" t="n"/>
      <c r="E829" s="2" t="n"/>
      <c r="F829" s="2" t="n"/>
    </row>
    <row r="830" ht="15.75" customHeight="1" s="57">
      <c r="A830" s="2" t="n"/>
      <c r="B830" s="2" t="n"/>
      <c r="C830" s="2" t="n"/>
      <c r="D830" s="2" t="n"/>
      <c r="E830" s="2" t="n"/>
      <c r="F830" s="2" t="n"/>
    </row>
    <row r="831" ht="15.75" customHeight="1" s="57">
      <c r="A831" s="2" t="n"/>
      <c r="B831" s="2" t="n"/>
      <c r="C831" s="2" t="n"/>
      <c r="D831" s="2" t="n"/>
      <c r="E831" s="2" t="n"/>
      <c r="F831" s="2" t="n"/>
    </row>
    <row r="832" ht="15.75" customHeight="1" s="57">
      <c r="A832" s="2" t="n"/>
      <c r="B832" s="2" t="n"/>
      <c r="C832" s="2" t="n"/>
      <c r="D832" s="2" t="n"/>
      <c r="E832" s="2" t="n"/>
      <c r="F832" s="2" t="n"/>
    </row>
    <row r="833" ht="15.75" customHeight="1" s="57">
      <c r="A833" s="2" t="n"/>
      <c r="B833" s="2" t="n"/>
      <c r="C833" s="2" t="n"/>
      <c r="D833" s="2" t="n"/>
      <c r="E833" s="2" t="n"/>
      <c r="F833" s="2" t="n"/>
    </row>
    <row r="834" ht="15.75" customHeight="1" s="57">
      <c r="A834" s="2" t="n"/>
      <c r="B834" s="2" t="n"/>
      <c r="C834" s="2" t="n"/>
      <c r="D834" s="2" t="n"/>
      <c r="E834" s="2" t="n"/>
      <c r="F834" s="2" t="n"/>
    </row>
    <row r="835" ht="15.75" customHeight="1" s="57">
      <c r="A835" s="2" t="n"/>
      <c r="B835" s="2" t="n"/>
      <c r="C835" s="2" t="n"/>
      <c r="D835" s="2" t="n"/>
      <c r="E835" s="2" t="n"/>
      <c r="F835" s="2" t="n"/>
    </row>
    <row r="836" ht="15.75" customHeight="1" s="57">
      <c r="A836" s="2" t="n"/>
      <c r="B836" s="2" t="n"/>
      <c r="C836" s="2" t="n"/>
      <c r="D836" s="2" t="n"/>
      <c r="E836" s="2" t="n"/>
      <c r="F836" s="2" t="n"/>
    </row>
    <row r="837" ht="15.75" customHeight="1" s="57">
      <c r="A837" s="2" t="n"/>
      <c r="B837" s="2" t="n"/>
      <c r="C837" s="2" t="n"/>
      <c r="D837" s="2" t="n"/>
      <c r="E837" s="2" t="n"/>
      <c r="F837" s="2" t="n"/>
    </row>
    <row r="838" ht="15.75" customHeight="1" s="57">
      <c r="A838" s="2" t="n"/>
      <c r="B838" s="2" t="n"/>
      <c r="C838" s="2" t="n"/>
      <c r="D838" s="2" t="n"/>
      <c r="E838" s="2" t="n"/>
      <c r="F838" s="2" t="n"/>
    </row>
    <row r="839" ht="15.75" customHeight="1" s="57">
      <c r="A839" s="2" t="n"/>
      <c r="B839" s="2" t="n"/>
      <c r="C839" s="2" t="n"/>
      <c r="D839" s="2" t="n"/>
      <c r="E839" s="2" t="n"/>
      <c r="F839" s="2" t="n"/>
    </row>
    <row r="840" ht="15.75" customHeight="1" s="57">
      <c r="A840" s="2" t="n"/>
      <c r="B840" s="2" t="n"/>
      <c r="C840" s="2" t="n"/>
      <c r="D840" s="2" t="n"/>
      <c r="E840" s="2" t="n"/>
      <c r="F840" s="2" t="n"/>
    </row>
    <row r="841" ht="15.75" customHeight="1" s="57">
      <c r="A841" s="2" t="n"/>
      <c r="B841" s="2" t="n"/>
      <c r="C841" s="2" t="n"/>
      <c r="D841" s="2" t="n"/>
      <c r="E841" s="2" t="n"/>
      <c r="F841" s="2" t="n"/>
    </row>
    <row r="842" ht="15.75" customHeight="1" s="57">
      <c r="A842" s="2" t="n"/>
      <c r="B842" s="2" t="n"/>
      <c r="C842" s="2" t="n"/>
      <c r="D842" s="2" t="n"/>
      <c r="E842" s="2" t="n"/>
      <c r="F842" s="2" t="n"/>
    </row>
    <row r="843" ht="15.75" customHeight="1" s="57">
      <c r="A843" s="2" t="n"/>
      <c r="B843" s="2" t="n"/>
      <c r="C843" s="2" t="n"/>
      <c r="D843" s="2" t="n"/>
      <c r="E843" s="2" t="n"/>
      <c r="F843" s="2" t="n"/>
    </row>
    <row r="844" ht="15.75" customHeight="1" s="57">
      <c r="A844" s="2" t="n"/>
      <c r="B844" s="2" t="n"/>
      <c r="C844" s="2" t="n"/>
      <c r="D844" s="2" t="n"/>
      <c r="E844" s="2" t="n"/>
      <c r="F844" s="2" t="n"/>
    </row>
    <row r="845" ht="15.75" customHeight="1" s="57">
      <c r="A845" s="2" t="n"/>
      <c r="B845" s="2" t="n"/>
      <c r="C845" s="2" t="n"/>
      <c r="D845" s="2" t="n"/>
      <c r="E845" s="2" t="n"/>
      <c r="F845" s="2" t="n"/>
    </row>
    <row r="846" ht="15.75" customHeight="1" s="57">
      <c r="A846" s="2" t="n"/>
      <c r="B846" s="2" t="n"/>
      <c r="C846" s="2" t="n"/>
      <c r="D846" s="2" t="n"/>
      <c r="E846" s="2" t="n"/>
      <c r="F846" s="2" t="n"/>
    </row>
    <row r="847" ht="15.75" customHeight="1" s="57">
      <c r="A847" s="2" t="n"/>
      <c r="B847" s="2" t="n"/>
      <c r="C847" s="2" t="n"/>
      <c r="D847" s="2" t="n"/>
      <c r="E847" s="2" t="n"/>
      <c r="F847" s="2" t="n"/>
    </row>
    <row r="848" ht="15.75" customHeight="1" s="57">
      <c r="A848" s="2" t="n"/>
      <c r="B848" s="2" t="n"/>
      <c r="C848" s="2" t="n"/>
      <c r="D848" s="2" t="n"/>
      <c r="E848" s="2" t="n"/>
      <c r="F848" s="2" t="n"/>
    </row>
    <row r="849" ht="15.75" customHeight="1" s="57">
      <c r="A849" s="2" t="n"/>
      <c r="B849" s="2" t="n"/>
      <c r="C849" s="2" t="n"/>
      <c r="D849" s="2" t="n"/>
      <c r="E849" s="2" t="n"/>
      <c r="F849" s="2" t="n"/>
    </row>
    <row r="850" ht="15.75" customHeight="1" s="57">
      <c r="A850" s="2" t="n"/>
      <c r="B850" s="2" t="n"/>
      <c r="C850" s="2" t="n"/>
      <c r="D850" s="2" t="n"/>
      <c r="E850" s="2" t="n"/>
      <c r="F850" s="2" t="n"/>
    </row>
    <row r="851" ht="15.75" customHeight="1" s="57">
      <c r="A851" s="2" t="n"/>
      <c r="B851" s="2" t="n"/>
      <c r="C851" s="2" t="n"/>
      <c r="D851" s="2" t="n"/>
      <c r="E851" s="2" t="n"/>
      <c r="F851" s="2" t="n"/>
    </row>
    <row r="852" ht="15.75" customHeight="1" s="57">
      <c r="A852" s="2" t="n"/>
      <c r="B852" s="2" t="n"/>
      <c r="C852" s="2" t="n"/>
      <c r="D852" s="2" t="n"/>
      <c r="E852" s="2" t="n"/>
      <c r="F852" s="2" t="n"/>
    </row>
    <row r="853" ht="15.75" customHeight="1" s="57">
      <c r="A853" s="2" t="n"/>
      <c r="B853" s="2" t="n"/>
      <c r="C853" s="2" t="n"/>
      <c r="D853" s="2" t="n"/>
      <c r="E853" s="2" t="n"/>
      <c r="F853" s="2" t="n"/>
    </row>
    <row r="854" ht="15.75" customHeight="1" s="57">
      <c r="A854" s="2" t="n"/>
      <c r="B854" s="2" t="n"/>
      <c r="C854" s="2" t="n"/>
      <c r="D854" s="2" t="n"/>
      <c r="E854" s="2" t="n"/>
      <c r="F854" s="2" t="n"/>
    </row>
    <row r="855" ht="15.75" customHeight="1" s="57">
      <c r="A855" s="2" t="n"/>
      <c r="B855" s="2" t="n"/>
      <c r="C855" s="2" t="n"/>
      <c r="D855" s="2" t="n"/>
      <c r="E855" s="2" t="n"/>
      <c r="F855" s="2" t="n"/>
    </row>
    <row r="856" ht="15.75" customHeight="1" s="57">
      <c r="A856" s="2" t="n"/>
      <c r="B856" s="2" t="n"/>
      <c r="C856" s="2" t="n"/>
      <c r="D856" s="2" t="n"/>
      <c r="E856" s="2" t="n"/>
      <c r="F856" s="2" t="n"/>
    </row>
    <row r="857" ht="15.75" customHeight="1" s="57">
      <c r="A857" s="2" t="n"/>
      <c r="B857" s="2" t="n"/>
      <c r="C857" s="2" t="n"/>
      <c r="D857" s="2" t="n"/>
      <c r="E857" s="2" t="n"/>
      <c r="F857" s="2" t="n"/>
    </row>
    <row r="858" ht="15.75" customHeight="1" s="57">
      <c r="A858" s="2" t="n"/>
      <c r="B858" s="2" t="n"/>
      <c r="C858" s="2" t="n"/>
      <c r="D858" s="2" t="n"/>
      <c r="E858" s="2" t="n"/>
      <c r="F858" s="2" t="n"/>
    </row>
    <row r="859" ht="15.75" customHeight="1" s="57">
      <c r="A859" s="2" t="n"/>
      <c r="B859" s="2" t="n"/>
      <c r="C859" s="2" t="n"/>
      <c r="D859" s="2" t="n"/>
      <c r="E859" s="2" t="n"/>
      <c r="F859" s="2" t="n"/>
    </row>
    <row r="860" ht="15.75" customHeight="1" s="57">
      <c r="A860" s="2" t="n"/>
      <c r="B860" s="2" t="n"/>
      <c r="C860" s="2" t="n"/>
      <c r="D860" s="2" t="n"/>
      <c r="E860" s="2" t="n"/>
      <c r="F860" s="2" t="n"/>
    </row>
    <row r="861" ht="15.75" customHeight="1" s="57">
      <c r="A861" s="2" t="n"/>
      <c r="B861" s="2" t="n"/>
      <c r="C861" s="2" t="n"/>
      <c r="D861" s="2" t="n"/>
      <c r="E861" s="2" t="n"/>
      <c r="F861" s="2" t="n"/>
    </row>
    <row r="862" ht="15.75" customHeight="1" s="57">
      <c r="A862" s="2" t="n"/>
      <c r="B862" s="2" t="n"/>
      <c r="C862" s="2" t="n"/>
      <c r="D862" s="2" t="n"/>
      <c r="E862" s="2" t="n"/>
      <c r="F862" s="2" t="n"/>
    </row>
    <row r="863" ht="15.75" customHeight="1" s="57">
      <c r="A863" s="2" t="n"/>
      <c r="B863" s="2" t="n"/>
      <c r="C863" s="2" t="n"/>
      <c r="D863" s="2" t="n"/>
      <c r="E863" s="2" t="n"/>
      <c r="F863" s="2" t="n"/>
    </row>
    <row r="864" ht="15.75" customHeight="1" s="57">
      <c r="A864" s="2" t="n"/>
      <c r="B864" s="2" t="n"/>
      <c r="C864" s="2" t="n"/>
      <c r="D864" s="2" t="n"/>
      <c r="E864" s="2" t="n"/>
      <c r="F864" s="2" t="n"/>
    </row>
    <row r="865" ht="15.75" customHeight="1" s="57">
      <c r="A865" s="2" t="n"/>
      <c r="B865" s="2" t="n"/>
      <c r="C865" s="2" t="n"/>
      <c r="D865" s="2" t="n"/>
      <c r="E865" s="2" t="n"/>
      <c r="F865" s="2" t="n"/>
    </row>
    <row r="866" ht="15.75" customHeight="1" s="57">
      <c r="A866" s="2" t="n"/>
      <c r="B866" s="2" t="n"/>
      <c r="C866" s="2" t="n"/>
      <c r="D866" s="2" t="n"/>
      <c r="E866" s="2" t="n"/>
      <c r="F866" s="2" t="n"/>
    </row>
    <row r="867" ht="15.75" customHeight="1" s="57">
      <c r="A867" s="2" t="n"/>
      <c r="B867" s="2" t="n"/>
      <c r="C867" s="2" t="n"/>
      <c r="D867" s="2" t="n"/>
      <c r="E867" s="2" t="n"/>
      <c r="F867" s="2" t="n"/>
    </row>
    <row r="868" ht="15.75" customHeight="1" s="57">
      <c r="A868" s="2" t="n"/>
      <c r="B868" s="2" t="n"/>
      <c r="C868" s="2" t="n"/>
      <c r="D868" s="2" t="n"/>
      <c r="E868" s="2" t="n"/>
      <c r="F868" s="2" t="n"/>
    </row>
    <row r="869" ht="15.75" customHeight="1" s="57">
      <c r="A869" s="2" t="n"/>
      <c r="B869" s="2" t="n"/>
      <c r="C869" s="2" t="n"/>
      <c r="D869" s="2" t="n"/>
      <c r="E869" s="2" t="n"/>
      <c r="F869" s="2" t="n"/>
    </row>
    <row r="870" ht="15.75" customHeight="1" s="57">
      <c r="A870" s="2" t="n"/>
      <c r="B870" s="2" t="n"/>
      <c r="C870" s="2" t="n"/>
      <c r="D870" s="2" t="n"/>
      <c r="E870" s="2" t="n"/>
      <c r="F870" s="2" t="n"/>
    </row>
    <row r="871" ht="15.75" customHeight="1" s="57">
      <c r="A871" s="2" t="n"/>
      <c r="B871" s="2" t="n"/>
      <c r="C871" s="2" t="n"/>
      <c r="D871" s="2" t="n"/>
      <c r="E871" s="2" t="n"/>
      <c r="F871" s="2" t="n"/>
    </row>
    <row r="872" ht="15.75" customHeight="1" s="57">
      <c r="A872" s="2" t="n"/>
      <c r="B872" s="2" t="n"/>
      <c r="C872" s="2" t="n"/>
      <c r="D872" s="2" t="n"/>
      <c r="E872" s="2" t="n"/>
      <c r="F872" s="2" t="n"/>
    </row>
    <row r="873" ht="15.75" customHeight="1" s="57">
      <c r="A873" s="2" t="n"/>
      <c r="B873" s="2" t="n"/>
      <c r="C873" s="2" t="n"/>
      <c r="D873" s="2" t="n"/>
      <c r="E873" s="2" t="n"/>
      <c r="F873" s="2" t="n"/>
    </row>
    <row r="874" ht="15.75" customHeight="1" s="57">
      <c r="A874" s="2" t="n"/>
      <c r="B874" s="2" t="n"/>
      <c r="C874" s="2" t="n"/>
      <c r="D874" s="2" t="n"/>
      <c r="E874" s="2" t="n"/>
      <c r="F874" s="2" t="n"/>
    </row>
    <row r="875" ht="15.75" customHeight="1" s="57">
      <c r="A875" s="2" t="n"/>
      <c r="B875" s="2" t="n"/>
      <c r="C875" s="2" t="n"/>
      <c r="D875" s="2" t="n"/>
      <c r="E875" s="2" t="n"/>
      <c r="F875" s="2" t="n"/>
    </row>
    <row r="876" ht="15.75" customHeight="1" s="57">
      <c r="A876" s="2" t="n"/>
      <c r="B876" s="2" t="n"/>
      <c r="C876" s="2" t="n"/>
      <c r="D876" s="2" t="n"/>
      <c r="E876" s="2" t="n"/>
      <c r="F876" s="2" t="n"/>
    </row>
    <row r="877" ht="15.75" customHeight="1" s="57">
      <c r="A877" s="2" t="n"/>
      <c r="B877" s="2" t="n"/>
      <c r="C877" s="2" t="n"/>
      <c r="D877" s="2" t="n"/>
      <c r="E877" s="2" t="n"/>
      <c r="F877" s="2" t="n"/>
    </row>
    <row r="878" ht="15.75" customHeight="1" s="57">
      <c r="A878" s="2" t="n"/>
      <c r="B878" s="2" t="n"/>
      <c r="C878" s="2" t="n"/>
      <c r="D878" s="2" t="n"/>
      <c r="E878" s="2" t="n"/>
      <c r="F878" s="2" t="n"/>
    </row>
    <row r="879" ht="15.75" customHeight="1" s="57">
      <c r="A879" s="2" t="n"/>
      <c r="B879" s="2" t="n"/>
      <c r="C879" s="2" t="n"/>
      <c r="D879" s="2" t="n"/>
      <c r="E879" s="2" t="n"/>
      <c r="F879" s="2" t="n"/>
    </row>
    <row r="880" ht="15.75" customHeight="1" s="57">
      <c r="A880" s="2" t="n"/>
      <c r="B880" s="2" t="n"/>
      <c r="C880" s="2" t="n"/>
      <c r="D880" s="2" t="n"/>
      <c r="E880" s="2" t="n"/>
      <c r="F880" s="2" t="n"/>
    </row>
    <row r="881" ht="15.75" customHeight="1" s="57">
      <c r="A881" s="2" t="n"/>
      <c r="B881" s="2" t="n"/>
      <c r="C881" s="2" t="n"/>
      <c r="D881" s="2" t="n"/>
      <c r="E881" s="2" t="n"/>
      <c r="F881" s="2" t="n"/>
    </row>
    <row r="882" ht="15.75" customHeight="1" s="57">
      <c r="A882" s="2" t="n"/>
      <c r="B882" s="2" t="n"/>
      <c r="C882" s="2" t="n"/>
      <c r="D882" s="2" t="n"/>
      <c r="E882" s="2" t="n"/>
      <c r="F882" s="2" t="n"/>
    </row>
    <row r="883" ht="15.75" customHeight="1" s="57">
      <c r="A883" s="2" t="n"/>
      <c r="B883" s="2" t="n"/>
      <c r="C883" s="2" t="n"/>
      <c r="D883" s="2" t="n"/>
      <c r="E883" s="2" t="n"/>
      <c r="F883" s="2" t="n"/>
    </row>
    <row r="884" ht="15.75" customHeight="1" s="57">
      <c r="A884" s="2" t="n"/>
      <c r="B884" s="2" t="n"/>
      <c r="C884" s="2" t="n"/>
      <c r="D884" s="2" t="n"/>
      <c r="E884" s="2" t="n"/>
      <c r="F884" s="2" t="n"/>
    </row>
    <row r="885" ht="15.75" customHeight="1" s="57">
      <c r="A885" s="2" t="n"/>
      <c r="B885" s="2" t="n"/>
      <c r="C885" s="2" t="n"/>
      <c r="D885" s="2" t="n"/>
      <c r="E885" s="2" t="n"/>
      <c r="F885" s="2" t="n"/>
    </row>
    <row r="886" ht="15.75" customHeight="1" s="57">
      <c r="A886" s="2" t="n"/>
      <c r="B886" s="2" t="n"/>
      <c r="C886" s="2" t="n"/>
      <c r="D886" s="2" t="n"/>
      <c r="E886" s="2" t="n"/>
      <c r="F886" s="2" t="n"/>
    </row>
    <row r="887" ht="15.75" customHeight="1" s="57">
      <c r="A887" s="2" t="n"/>
      <c r="B887" s="2" t="n"/>
      <c r="C887" s="2" t="n"/>
      <c r="D887" s="2" t="n"/>
      <c r="E887" s="2" t="n"/>
      <c r="F887" s="2" t="n"/>
    </row>
    <row r="888" ht="15.75" customHeight="1" s="57">
      <c r="A888" s="2" t="n"/>
      <c r="B888" s="2" t="n"/>
      <c r="C888" s="2" t="n"/>
      <c r="D888" s="2" t="n"/>
      <c r="E888" s="2" t="n"/>
      <c r="F888" s="2" t="n"/>
    </row>
    <row r="889" ht="15.75" customHeight="1" s="57">
      <c r="A889" s="2" t="n"/>
      <c r="B889" s="2" t="n"/>
      <c r="C889" s="2" t="n"/>
      <c r="D889" s="2" t="n"/>
      <c r="E889" s="2" t="n"/>
      <c r="F889" s="2" t="n"/>
    </row>
    <row r="890" ht="15.75" customHeight="1" s="57">
      <c r="A890" s="2" t="n"/>
      <c r="B890" s="2" t="n"/>
      <c r="C890" s="2" t="n"/>
      <c r="D890" s="2" t="n"/>
      <c r="E890" s="2" t="n"/>
      <c r="F890" s="2" t="n"/>
    </row>
    <row r="891" ht="15.75" customHeight="1" s="57">
      <c r="A891" s="2" t="n"/>
      <c r="B891" s="2" t="n"/>
      <c r="C891" s="2" t="n"/>
      <c r="D891" s="2" t="n"/>
      <c r="E891" s="2" t="n"/>
      <c r="F891" s="2" t="n"/>
    </row>
    <row r="892" ht="15.75" customHeight="1" s="57">
      <c r="A892" s="2" t="n"/>
      <c r="B892" s="2" t="n"/>
      <c r="C892" s="2" t="n"/>
      <c r="D892" s="2" t="n"/>
      <c r="E892" s="2" t="n"/>
      <c r="F892" s="2" t="n"/>
    </row>
    <row r="893" ht="15.75" customHeight="1" s="57">
      <c r="A893" s="2" t="n"/>
      <c r="B893" s="2" t="n"/>
      <c r="C893" s="2" t="n"/>
      <c r="D893" s="2" t="n"/>
      <c r="E893" s="2" t="n"/>
      <c r="F893" s="2" t="n"/>
    </row>
    <row r="894" ht="15.75" customHeight="1" s="57">
      <c r="A894" s="2" t="n"/>
      <c r="B894" s="2" t="n"/>
      <c r="C894" s="2" t="n"/>
      <c r="D894" s="2" t="n"/>
      <c r="E894" s="2" t="n"/>
      <c r="F894" s="2" t="n"/>
    </row>
    <row r="895" ht="15.75" customHeight="1" s="57">
      <c r="A895" s="2" t="n"/>
      <c r="B895" s="2" t="n"/>
      <c r="C895" s="2" t="n"/>
      <c r="D895" s="2" t="n"/>
      <c r="E895" s="2" t="n"/>
      <c r="F895" s="2" t="n"/>
    </row>
    <row r="896" ht="15.75" customHeight="1" s="57">
      <c r="A896" s="2" t="n"/>
      <c r="B896" s="2" t="n"/>
      <c r="C896" s="2" t="n"/>
      <c r="D896" s="2" t="n"/>
      <c r="E896" s="2" t="n"/>
      <c r="F896" s="2" t="n"/>
    </row>
    <row r="897" ht="15.75" customHeight="1" s="57">
      <c r="A897" s="2" t="n"/>
      <c r="B897" s="2" t="n"/>
      <c r="C897" s="2" t="n"/>
      <c r="D897" s="2" t="n"/>
      <c r="E897" s="2" t="n"/>
      <c r="F897" s="2" t="n"/>
    </row>
    <row r="898" ht="15.75" customHeight="1" s="57">
      <c r="A898" s="2" t="n"/>
      <c r="B898" s="2" t="n"/>
      <c r="C898" s="2" t="n"/>
      <c r="D898" s="2" t="n"/>
      <c r="E898" s="2" t="n"/>
      <c r="F898" s="2" t="n"/>
    </row>
    <row r="899" ht="15.75" customHeight="1" s="57">
      <c r="A899" s="2" t="n"/>
      <c r="B899" s="2" t="n"/>
      <c r="C899" s="2" t="n"/>
      <c r="D899" s="2" t="n"/>
      <c r="E899" s="2" t="n"/>
      <c r="F899" s="2" t="n"/>
    </row>
    <row r="900" ht="15.75" customHeight="1" s="57">
      <c r="A900" s="2" t="n"/>
      <c r="B900" s="2" t="n"/>
      <c r="C900" s="2" t="n"/>
      <c r="D900" s="2" t="n"/>
      <c r="E900" s="2" t="n"/>
      <c r="F900" s="2" t="n"/>
    </row>
    <row r="901" ht="15.75" customHeight="1" s="57">
      <c r="A901" s="2" t="n"/>
      <c r="B901" s="2" t="n"/>
      <c r="C901" s="2" t="n"/>
      <c r="D901" s="2" t="n"/>
      <c r="E901" s="2" t="n"/>
      <c r="F901" s="2" t="n"/>
    </row>
    <row r="902" ht="15.75" customHeight="1" s="57">
      <c r="A902" s="2" t="n"/>
      <c r="B902" s="2" t="n"/>
      <c r="C902" s="2" t="n"/>
      <c r="D902" s="2" t="n"/>
      <c r="E902" s="2" t="n"/>
      <c r="F902" s="2" t="n"/>
    </row>
    <row r="903" ht="15.75" customHeight="1" s="57">
      <c r="A903" s="2" t="n"/>
      <c r="B903" s="2" t="n"/>
      <c r="C903" s="2" t="n"/>
      <c r="D903" s="2" t="n"/>
      <c r="E903" s="2" t="n"/>
      <c r="F903" s="2" t="n"/>
    </row>
    <row r="904" ht="15.75" customHeight="1" s="57">
      <c r="A904" s="2" t="n"/>
      <c r="B904" s="2" t="n"/>
      <c r="C904" s="2" t="n"/>
      <c r="D904" s="2" t="n"/>
      <c r="E904" s="2" t="n"/>
      <c r="F904" s="2" t="n"/>
    </row>
    <row r="905" ht="15.75" customHeight="1" s="57">
      <c r="A905" s="2" t="n"/>
      <c r="B905" s="2" t="n"/>
      <c r="C905" s="2" t="n"/>
      <c r="D905" s="2" t="n"/>
      <c r="E905" s="2" t="n"/>
      <c r="F905" s="2" t="n"/>
    </row>
    <row r="906" ht="15.75" customHeight="1" s="57">
      <c r="A906" s="2" t="n"/>
      <c r="B906" s="2" t="n"/>
      <c r="C906" s="2" t="n"/>
      <c r="D906" s="2" t="n"/>
      <c r="E906" s="2" t="n"/>
      <c r="F906" s="2" t="n"/>
    </row>
    <row r="907" ht="15.75" customHeight="1" s="57">
      <c r="A907" s="2" t="n"/>
      <c r="B907" s="2" t="n"/>
      <c r="C907" s="2" t="n"/>
      <c r="D907" s="2" t="n"/>
      <c r="E907" s="2" t="n"/>
      <c r="F907" s="2" t="n"/>
    </row>
    <row r="908" ht="15.75" customHeight="1" s="57">
      <c r="A908" s="2" t="n"/>
      <c r="B908" s="2" t="n"/>
      <c r="C908" s="2" t="n"/>
      <c r="D908" s="2" t="n"/>
      <c r="E908" s="2" t="n"/>
      <c r="F908" s="2" t="n"/>
    </row>
    <row r="909" ht="15.75" customHeight="1" s="57">
      <c r="A909" s="2" t="n"/>
      <c r="B909" s="2" t="n"/>
      <c r="C909" s="2" t="n"/>
      <c r="D909" s="2" t="n"/>
      <c r="E909" s="2" t="n"/>
      <c r="F909" s="2" t="n"/>
    </row>
    <row r="910" ht="15.75" customHeight="1" s="57">
      <c r="A910" s="2" t="n"/>
      <c r="B910" s="2" t="n"/>
      <c r="C910" s="2" t="n"/>
      <c r="D910" s="2" t="n"/>
      <c r="E910" s="2" t="n"/>
      <c r="F910" s="2" t="n"/>
    </row>
    <row r="911" ht="15.75" customHeight="1" s="57">
      <c r="A911" s="2" t="n"/>
      <c r="B911" s="2" t="n"/>
      <c r="C911" s="2" t="n"/>
      <c r="D911" s="2" t="n"/>
      <c r="E911" s="2" t="n"/>
      <c r="F911" s="2" t="n"/>
    </row>
    <row r="912" ht="15.75" customHeight="1" s="57">
      <c r="A912" s="2" t="n"/>
      <c r="B912" s="2" t="n"/>
      <c r="C912" s="2" t="n"/>
      <c r="D912" s="2" t="n"/>
      <c r="E912" s="2" t="n"/>
      <c r="F912" s="2" t="n"/>
    </row>
    <row r="913" ht="15.75" customHeight="1" s="57">
      <c r="A913" s="2" t="n"/>
      <c r="B913" s="2" t="n"/>
      <c r="C913" s="2" t="n"/>
      <c r="D913" s="2" t="n"/>
      <c r="E913" s="2" t="n"/>
      <c r="F913" s="2" t="n"/>
    </row>
    <row r="914" ht="15.75" customHeight="1" s="57">
      <c r="A914" s="2" t="n"/>
      <c r="B914" s="2" t="n"/>
      <c r="C914" s="2" t="n"/>
      <c r="D914" s="2" t="n"/>
      <c r="E914" s="2" t="n"/>
      <c r="F914" s="2" t="n"/>
    </row>
    <row r="915" ht="15.75" customHeight="1" s="57">
      <c r="A915" s="2" t="n"/>
      <c r="B915" s="2" t="n"/>
      <c r="C915" s="2" t="n"/>
      <c r="D915" s="2" t="n"/>
      <c r="E915" s="2" t="n"/>
      <c r="F915" s="2" t="n"/>
    </row>
    <row r="916" ht="15.75" customHeight="1" s="57">
      <c r="A916" s="2" t="n"/>
      <c r="B916" s="2" t="n"/>
      <c r="C916" s="2" t="n"/>
      <c r="D916" s="2" t="n"/>
      <c r="E916" s="2" t="n"/>
      <c r="F916" s="2" t="n"/>
    </row>
    <row r="917" ht="15.75" customHeight="1" s="57">
      <c r="A917" s="2" t="n"/>
      <c r="B917" s="2" t="n"/>
      <c r="C917" s="2" t="n"/>
      <c r="D917" s="2" t="n"/>
      <c r="E917" s="2" t="n"/>
      <c r="F917" s="2" t="n"/>
    </row>
    <row r="918" ht="15.75" customHeight="1" s="57">
      <c r="A918" s="2" t="n"/>
      <c r="B918" s="2" t="n"/>
      <c r="C918" s="2" t="n"/>
      <c r="D918" s="2" t="n"/>
      <c r="E918" s="2" t="n"/>
      <c r="F918" s="2" t="n"/>
    </row>
    <row r="919" ht="15.75" customHeight="1" s="57">
      <c r="A919" s="2" t="n"/>
      <c r="B919" s="2" t="n"/>
      <c r="C919" s="2" t="n"/>
      <c r="D919" s="2" t="n"/>
      <c r="E919" s="2" t="n"/>
      <c r="F919" s="2" t="n"/>
    </row>
    <row r="920" ht="15.75" customHeight="1" s="57">
      <c r="A920" s="2" t="n"/>
      <c r="B920" s="2" t="n"/>
      <c r="C920" s="2" t="n"/>
      <c r="D920" s="2" t="n"/>
      <c r="E920" s="2" t="n"/>
      <c r="F920" s="2" t="n"/>
    </row>
    <row r="921" ht="15.75" customHeight="1" s="57">
      <c r="A921" s="2" t="n"/>
      <c r="B921" s="2" t="n"/>
      <c r="C921" s="2" t="n"/>
      <c r="D921" s="2" t="n"/>
      <c r="E921" s="2" t="n"/>
      <c r="F921" s="2" t="n"/>
    </row>
    <row r="922" ht="15.75" customHeight="1" s="57">
      <c r="A922" s="2" t="n"/>
      <c r="B922" s="2" t="n"/>
      <c r="C922" s="2" t="n"/>
      <c r="D922" s="2" t="n"/>
      <c r="E922" s="2" t="n"/>
      <c r="F922" s="2" t="n"/>
    </row>
    <row r="923" ht="15.75" customHeight="1" s="57">
      <c r="A923" s="2" t="n"/>
      <c r="B923" s="2" t="n"/>
      <c r="C923" s="2" t="n"/>
      <c r="D923" s="2" t="n"/>
      <c r="E923" s="2" t="n"/>
      <c r="F923" s="2" t="n"/>
    </row>
    <row r="924" ht="15.75" customHeight="1" s="57">
      <c r="A924" s="2" t="n"/>
      <c r="B924" s="2" t="n"/>
      <c r="C924" s="2" t="n"/>
      <c r="D924" s="2" t="n"/>
      <c r="E924" s="2" t="n"/>
      <c r="F924" s="2" t="n"/>
    </row>
    <row r="925" ht="15.75" customHeight="1" s="57">
      <c r="A925" s="2" t="n"/>
      <c r="B925" s="2" t="n"/>
      <c r="C925" s="2" t="n"/>
      <c r="D925" s="2" t="n"/>
      <c r="E925" s="2" t="n"/>
      <c r="F925" s="2" t="n"/>
    </row>
    <row r="926" ht="15.75" customHeight="1" s="57">
      <c r="A926" s="2" t="n"/>
      <c r="B926" s="2" t="n"/>
      <c r="C926" s="2" t="n"/>
      <c r="D926" s="2" t="n"/>
      <c r="E926" s="2" t="n"/>
      <c r="F926" s="2" t="n"/>
    </row>
    <row r="927" ht="15.75" customHeight="1" s="57">
      <c r="A927" s="2" t="n"/>
      <c r="B927" s="2" t="n"/>
      <c r="C927" s="2" t="n"/>
      <c r="D927" s="2" t="n"/>
      <c r="E927" s="2" t="n"/>
      <c r="F927" s="2" t="n"/>
    </row>
    <row r="928" ht="15.75" customHeight="1" s="57">
      <c r="A928" s="2" t="n"/>
      <c r="B928" s="2" t="n"/>
      <c r="C928" s="2" t="n"/>
      <c r="D928" s="2" t="n"/>
      <c r="E928" s="2" t="n"/>
      <c r="F928" s="2" t="n"/>
    </row>
    <row r="929" ht="15.75" customHeight="1" s="57">
      <c r="A929" s="2" t="n"/>
      <c r="B929" s="2" t="n"/>
      <c r="C929" s="2" t="n"/>
      <c r="D929" s="2" t="n"/>
      <c r="E929" s="2" t="n"/>
      <c r="F929" s="2" t="n"/>
    </row>
    <row r="930" ht="15.75" customHeight="1" s="57">
      <c r="A930" s="2" t="n"/>
      <c r="B930" s="2" t="n"/>
      <c r="C930" s="2" t="n"/>
      <c r="D930" s="2" t="n"/>
      <c r="E930" s="2" t="n"/>
      <c r="F930" s="2" t="n"/>
    </row>
    <row r="931" ht="15.75" customHeight="1" s="57">
      <c r="A931" s="2" t="n"/>
      <c r="B931" s="2" t="n"/>
      <c r="C931" s="2" t="n"/>
      <c r="D931" s="2" t="n"/>
      <c r="E931" s="2" t="n"/>
      <c r="F931" s="2" t="n"/>
    </row>
    <row r="932" ht="15.75" customHeight="1" s="57">
      <c r="A932" s="2" t="n"/>
      <c r="B932" s="2" t="n"/>
      <c r="C932" s="2" t="n"/>
      <c r="D932" s="2" t="n"/>
      <c r="E932" s="2" t="n"/>
      <c r="F932" s="2" t="n"/>
    </row>
    <row r="933" ht="15.75" customHeight="1" s="57">
      <c r="A933" s="2" t="n"/>
      <c r="B933" s="2" t="n"/>
      <c r="C933" s="2" t="n"/>
      <c r="D933" s="2" t="n"/>
      <c r="E933" s="2" t="n"/>
      <c r="F933" s="2" t="n"/>
    </row>
    <row r="934" ht="15.75" customHeight="1" s="57">
      <c r="A934" s="2" t="n"/>
      <c r="B934" s="2" t="n"/>
      <c r="C934" s="2" t="n"/>
      <c r="D934" s="2" t="n"/>
      <c r="E934" s="2" t="n"/>
      <c r="F934" s="2" t="n"/>
    </row>
    <row r="935" ht="15.75" customHeight="1" s="57">
      <c r="A935" s="2" t="n"/>
      <c r="B935" s="2" t="n"/>
      <c r="C935" s="2" t="n"/>
      <c r="D935" s="2" t="n"/>
      <c r="E935" s="2" t="n"/>
      <c r="F935" s="2" t="n"/>
    </row>
    <row r="936" ht="15.75" customHeight="1" s="57">
      <c r="A936" s="2" t="n"/>
      <c r="B936" s="2" t="n"/>
      <c r="C936" s="2" t="n"/>
      <c r="D936" s="2" t="n"/>
      <c r="E936" s="2" t="n"/>
      <c r="F936" s="2" t="n"/>
    </row>
    <row r="937" ht="15.75" customHeight="1" s="57">
      <c r="A937" s="2" t="n"/>
      <c r="B937" s="2" t="n"/>
      <c r="C937" s="2" t="n"/>
      <c r="D937" s="2" t="n"/>
      <c r="E937" s="2" t="n"/>
      <c r="F937" s="2" t="n"/>
    </row>
    <row r="938" ht="15.75" customHeight="1" s="57">
      <c r="A938" s="2" t="n"/>
      <c r="B938" s="2" t="n"/>
      <c r="C938" s="2" t="n"/>
      <c r="D938" s="2" t="n"/>
      <c r="E938" s="2" t="n"/>
      <c r="F938" s="2" t="n"/>
    </row>
    <row r="939" ht="15.75" customHeight="1" s="57">
      <c r="A939" s="2" t="n"/>
      <c r="B939" s="2" t="n"/>
      <c r="C939" s="2" t="n"/>
      <c r="D939" s="2" t="n"/>
      <c r="E939" s="2" t="n"/>
      <c r="F939" s="2" t="n"/>
    </row>
    <row r="940" ht="15.75" customHeight="1" s="57">
      <c r="A940" s="2" t="n"/>
      <c r="B940" s="2" t="n"/>
      <c r="C940" s="2" t="n"/>
      <c r="D940" s="2" t="n"/>
      <c r="E940" s="2" t="n"/>
      <c r="F940" s="2" t="n"/>
    </row>
    <row r="941" ht="15.75" customHeight="1" s="57">
      <c r="A941" s="2" t="n"/>
      <c r="B941" s="2" t="n"/>
      <c r="C941" s="2" t="n"/>
      <c r="D941" s="2" t="n"/>
      <c r="E941" s="2" t="n"/>
      <c r="F941" s="2" t="n"/>
    </row>
    <row r="942" ht="15.75" customHeight="1" s="57">
      <c r="A942" s="2" t="n"/>
      <c r="B942" s="2" t="n"/>
      <c r="C942" s="2" t="n"/>
      <c r="D942" s="2" t="n"/>
      <c r="E942" s="2" t="n"/>
      <c r="F942" s="2" t="n"/>
    </row>
    <row r="943" ht="15.75" customHeight="1" s="57">
      <c r="A943" s="2" t="n"/>
      <c r="B943" s="2" t="n"/>
      <c r="C943" s="2" t="n"/>
      <c r="D943" s="2" t="n"/>
      <c r="E943" s="2" t="n"/>
      <c r="F943" s="2" t="n"/>
    </row>
    <row r="944" ht="15.75" customHeight="1" s="57">
      <c r="A944" s="2" t="n"/>
      <c r="B944" s="2" t="n"/>
      <c r="C944" s="2" t="n"/>
      <c r="D944" s="2" t="n"/>
      <c r="E944" s="2" t="n"/>
      <c r="F944" s="2" t="n"/>
    </row>
    <row r="945" ht="15.75" customHeight="1" s="57">
      <c r="A945" s="2" t="n"/>
      <c r="B945" s="2" t="n"/>
      <c r="C945" s="2" t="n"/>
      <c r="D945" s="2" t="n"/>
      <c r="E945" s="2" t="n"/>
      <c r="F945" s="2" t="n"/>
    </row>
    <row r="946" ht="15.75" customHeight="1" s="57">
      <c r="A946" s="2" t="n"/>
      <c r="B946" s="2" t="n"/>
      <c r="C946" s="2" t="n"/>
      <c r="D946" s="2" t="n"/>
      <c r="E946" s="2" t="n"/>
      <c r="F946" s="2" t="n"/>
    </row>
    <row r="947" ht="15.75" customHeight="1" s="57">
      <c r="A947" s="2" t="n"/>
      <c r="B947" s="2" t="n"/>
      <c r="C947" s="2" t="n"/>
      <c r="D947" s="2" t="n"/>
      <c r="E947" s="2" t="n"/>
      <c r="F947" s="2" t="n"/>
    </row>
    <row r="948" ht="15.75" customHeight="1" s="57">
      <c r="A948" s="2" t="n"/>
      <c r="B948" s="2" t="n"/>
      <c r="C948" s="2" t="n"/>
      <c r="D948" s="2" t="n"/>
      <c r="E948" s="2" t="n"/>
      <c r="F948" s="2" t="n"/>
    </row>
    <row r="949" ht="15.75" customHeight="1" s="57">
      <c r="A949" s="2" t="n"/>
      <c r="B949" s="2" t="n"/>
      <c r="C949" s="2" t="n"/>
      <c r="D949" s="2" t="n"/>
      <c r="E949" s="2" t="n"/>
      <c r="F949" s="2" t="n"/>
    </row>
    <row r="950" ht="15.75" customHeight="1" s="57">
      <c r="A950" s="2" t="n"/>
      <c r="B950" s="2" t="n"/>
      <c r="C950" s="2" t="n"/>
      <c r="D950" s="2" t="n"/>
      <c r="E950" s="2" t="n"/>
      <c r="F950" s="2" t="n"/>
    </row>
    <row r="951" ht="15.75" customHeight="1" s="57">
      <c r="A951" s="2" t="n"/>
      <c r="B951" s="2" t="n"/>
      <c r="C951" s="2" t="n"/>
      <c r="D951" s="2" t="n"/>
      <c r="E951" s="2" t="n"/>
      <c r="F951" s="2" t="n"/>
    </row>
    <row r="952" ht="15.75" customHeight="1" s="57">
      <c r="A952" s="2" t="n"/>
      <c r="B952" s="2" t="n"/>
      <c r="C952" s="2" t="n"/>
      <c r="D952" s="2" t="n"/>
      <c r="E952" s="2" t="n"/>
      <c r="F952" s="2" t="n"/>
    </row>
    <row r="953" ht="15.75" customHeight="1" s="57">
      <c r="A953" s="2" t="n"/>
      <c r="B953" s="2" t="n"/>
      <c r="C953" s="2" t="n"/>
      <c r="D953" s="2" t="n"/>
      <c r="E953" s="2" t="n"/>
      <c r="F953" s="2" t="n"/>
    </row>
    <row r="954" ht="15.75" customHeight="1" s="57">
      <c r="A954" s="2" t="n"/>
      <c r="B954" s="2" t="n"/>
      <c r="C954" s="2" t="n"/>
      <c r="D954" s="2" t="n"/>
      <c r="E954" s="2" t="n"/>
      <c r="F954" s="2" t="n"/>
    </row>
    <row r="955" ht="15.75" customHeight="1" s="57">
      <c r="A955" s="2" t="n"/>
      <c r="B955" s="2" t="n"/>
      <c r="C955" s="2" t="n"/>
      <c r="D955" s="2" t="n"/>
      <c r="E955" s="2" t="n"/>
      <c r="F955" s="2" t="n"/>
    </row>
    <row r="956" ht="15.75" customHeight="1" s="57">
      <c r="A956" s="2" t="n"/>
      <c r="B956" s="2" t="n"/>
      <c r="C956" s="2" t="n"/>
      <c r="D956" s="2" t="n"/>
      <c r="E956" s="2" t="n"/>
      <c r="F956" s="2" t="n"/>
    </row>
    <row r="957" ht="15.75" customHeight="1" s="57">
      <c r="A957" s="2" t="n"/>
      <c r="B957" s="2" t="n"/>
      <c r="C957" s="2" t="n"/>
      <c r="D957" s="2" t="n"/>
      <c r="E957" s="2" t="n"/>
      <c r="F957" s="2" t="n"/>
    </row>
    <row r="958" ht="15.75" customHeight="1" s="57">
      <c r="A958" s="2" t="n"/>
      <c r="B958" s="2" t="n"/>
      <c r="C958" s="2" t="n"/>
      <c r="D958" s="2" t="n"/>
      <c r="E958" s="2" t="n"/>
      <c r="F958" s="2" t="n"/>
    </row>
    <row r="959" ht="15.75" customHeight="1" s="57">
      <c r="A959" s="2" t="n"/>
      <c r="B959" s="2" t="n"/>
      <c r="C959" s="2" t="n"/>
      <c r="D959" s="2" t="n"/>
      <c r="E959" s="2" t="n"/>
      <c r="F959" s="2" t="n"/>
    </row>
    <row r="960" ht="15.75" customHeight="1" s="57">
      <c r="A960" s="2" t="n"/>
      <c r="B960" s="2" t="n"/>
      <c r="C960" s="2" t="n"/>
      <c r="D960" s="2" t="n"/>
      <c r="E960" s="2" t="n"/>
      <c r="F960" s="2" t="n"/>
    </row>
    <row r="961" ht="15.75" customHeight="1" s="57">
      <c r="A961" s="2" t="n"/>
      <c r="B961" s="2" t="n"/>
      <c r="C961" s="2" t="n"/>
      <c r="D961" s="2" t="n"/>
      <c r="E961" s="2" t="n"/>
      <c r="F961" s="2" t="n"/>
    </row>
    <row r="962" ht="15.75" customHeight="1" s="57">
      <c r="A962" s="2" t="n"/>
      <c r="B962" s="2" t="n"/>
      <c r="C962" s="2" t="n"/>
      <c r="D962" s="2" t="n"/>
      <c r="E962" s="2" t="n"/>
      <c r="F962" s="2" t="n"/>
    </row>
    <row r="963" ht="15.75" customHeight="1" s="57">
      <c r="A963" s="2" t="n"/>
      <c r="B963" s="2" t="n"/>
      <c r="C963" s="2" t="n"/>
      <c r="D963" s="2" t="n"/>
      <c r="E963" s="2" t="n"/>
      <c r="F963" s="2" t="n"/>
    </row>
    <row r="964" ht="15.75" customHeight="1" s="57">
      <c r="A964" s="2" t="n"/>
      <c r="B964" s="2" t="n"/>
      <c r="C964" s="2" t="n"/>
      <c r="D964" s="2" t="n"/>
      <c r="E964" s="2" t="n"/>
      <c r="F964" s="2" t="n"/>
    </row>
    <row r="965" ht="15.75" customHeight="1" s="57">
      <c r="A965" s="2" t="n"/>
      <c r="B965" s="2" t="n"/>
      <c r="C965" s="2" t="n"/>
      <c r="D965" s="2" t="n"/>
      <c r="E965" s="2" t="n"/>
      <c r="F965" s="2" t="n"/>
    </row>
    <row r="966" ht="15.75" customHeight="1" s="57">
      <c r="A966" s="2" t="n"/>
      <c r="B966" s="2" t="n"/>
      <c r="C966" s="2" t="n"/>
      <c r="D966" s="2" t="n"/>
      <c r="E966" s="2" t="n"/>
      <c r="F966" s="2" t="n"/>
    </row>
    <row r="967" ht="15.75" customHeight="1" s="57">
      <c r="A967" s="2" t="n"/>
      <c r="B967" s="2" t="n"/>
      <c r="C967" s="2" t="n"/>
      <c r="D967" s="2" t="n"/>
      <c r="E967" s="2" t="n"/>
      <c r="F967" s="2" t="n"/>
    </row>
    <row r="968" ht="15.75" customHeight="1" s="57">
      <c r="A968" s="2" t="n"/>
      <c r="B968" s="2" t="n"/>
      <c r="C968" s="2" t="n"/>
      <c r="D968" s="2" t="n"/>
      <c r="E968" s="2" t="n"/>
      <c r="F968" s="2" t="n"/>
    </row>
    <row r="969" ht="15.75" customHeight="1" s="57">
      <c r="A969" s="2" t="n"/>
      <c r="B969" s="2" t="n"/>
      <c r="C969" s="2" t="n"/>
      <c r="D969" s="2" t="n"/>
      <c r="E969" s="2" t="n"/>
      <c r="F969" s="2" t="n"/>
    </row>
    <row r="970" ht="15.75" customHeight="1" s="57">
      <c r="A970" s="2" t="n"/>
      <c r="B970" s="2" t="n"/>
      <c r="C970" s="2" t="n"/>
      <c r="D970" s="2" t="n"/>
      <c r="E970" s="2" t="n"/>
      <c r="F970" s="2" t="n"/>
    </row>
    <row r="971" ht="15.75" customHeight="1" s="57">
      <c r="A971" s="2" t="n"/>
      <c r="B971" s="2" t="n"/>
      <c r="C971" s="2" t="n"/>
      <c r="D971" s="2" t="n"/>
      <c r="E971" s="2" t="n"/>
      <c r="F971" s="2" t="n"/>
    </row>
    <row r="972" ht="15.75" customHeight="1" s="57">
      <c r="A972" s="2" t="n"/>
      <c r="B972" s="2" t="n"/>
      <c r="C972" s="2" t="n"/>
      <c r="D972" s="2" t="n"/>
      <c r="E972" s="2" t="n"/>
      <c r="F972" s="2" t="n"/>
    </row>
    <row r="973" ht="15.75" customHeight="1" s="57">
      <c r="A973" s="2" t="n"/>
      <c r="B973" s="2" t="n"/>
      <c r="C973" s="2" t="n"/>
      <c r="D973" s="2" t="n"/>
      <c r="E973" s="2" t="n"/>
      <c r="F973" s="2" t="n"/>
    </row>
    <row r="974" ht="15.75" customHeight="1" s="57">
      <c r="A974" s="2" t="n"/>
      <c r="B974" s="2" t="n"/>
      <c r="C974" s="2" t="n"/>
      <c r="D974" s="2" t="n"/>
      <c r="E974" s="2" t="n"/>
      <c r="F974" s="2" t="n"/>
    </row>
    <row r="975" ht="15.75" customHeight="1" s="57">
      <c r="A975" s="2" t="n"/>
      <c r="B975" s="2" t="n"/>
      <c r="C975" s="2" t="n"/>
      <c r="D975" s="2" t="n"/>
      <c r="E975" s="2" t="n"/>
      <c r="F975" s="2" t="n"/>
    </row>
    <row r="976" ht="15.75" customHeight="1" s="57">
      <c r="A976" s="2" t="n"/>
      <c r="B976" s="2" t="n"/>
      <c r="C976" s="2" t="n"/>
      <c r="D976" s="2" t="n"/>
      <c r="E976" s="2" t="n"/>
      <c r="F976" s="2" t="n"/>
    </row>
    <row r="977" ht="15.75" customHeight="1" s="57">
      <c r="A977" s="2" t="n"/>
      <c r="B977" s="2" t="n"/>
      <c r="C977" s="2" t="n"/>
      <c r="D977" s="2" t="n"/>
      <c r="E977" s="2" t="n"/>
      <c r="F977" s="2" t="n"/>
    </row>
    <row r="978" ht="15.75" customHeight="1" s="57">
      <c r="A978" s="2" t="n"/>
      <c r="B978" s="2" t="n"/>
      <c r="C978" s="2" t="n"/>
      <c r="D978" s="2" t="n"/>
      <c r="E978" s="2" t="n"/>
      <c r="F978" s="2" t="n"/>
    </row>
    <row r="979" ht="15.75" customHeight="1" s="57">
      <c r="A979" s="2" t="n"/>
      <c r="B979" s="2" t="n"/>
      <c r="C979" s="2" t="n"/>
      <c r="D979" s="2" t="n"/>
      <c r="E979" s="2" t="n"/>
      <c r="F979" s="2" t="n"/>
    </row>
    <row r="980" ht="15.75" customHeight="1" s="57">
      <c r="A980" s="2" t="n"/>
      <c r="B980" s="2" t="n"/>
      <c r="C980" s="2" t="n"/>
      <c r="D980" s="2" t="n"/>
      <c r="E980" s="2" t="n"/>
      <c r="F980" s="2" t="n"/>
    </row>
    <row r="981" ht="15.75" customHeight="1" s="57">
      <c r="A981" s="2" t="n"/>
      <c r="B981" s="2" t="n"/>
      <c r="C981" s="2" t="n"/>
      <c r="D981" s="2" t="n"/>
      <c r="E981" s="2" t="n"/>
      <c r="F981" s="2" t="n"/>
    </row>
    <row r="982" ht="15.75" customHeight="1" s="57">
      <c r="A982" s="2" t="n"/>
      <c r="B982" s="2" t="n"/>
      <c r="C982" s="2" t="n"/>
      <c r="D982" s="2" t="n"/>
      <c r="E982" s="2" t="n"/>
      <c r="F982" s="2" t="n"/>
    </row>
    <row r="983" ht="15.75" customHeight="1" s="57">
      <c r="A983" s="2" t="n"/>
      <c r="B983" s="2" t="n"/>
      <c r="C983" s="2" t="n"/>
      <c r="D983" s="2" t="n"/>
      <c r="E983" s="2" t="n"/>
      <c r="F983" s="2" t="n"/>
    </row>
    <row r="984" ht="15.75" customHeight="1" s="57">
      <c r="A984" s="2" t="n"/>
      <c r="B984" s="2" t="n"/>
      <c r="C984" s="2" t="n"/>
      <c r="D984" s="2" t="n"/>
      <c r="E984" s="2" t="n"/>
      <c r="F984" s="2" t="n"/>
    </row>
    <row r="985" ht="15.75" customHeight="1" s="57">
      <c r="A985" s="2" t="n"/>
      <c r="B985" s="2" t="n"/>
      <c r="C985" s="2" t="n"/>
      <c r="D985" s="2" t="n"/>
      <c r="E985" s="2" t="n"/>
      <c r="F985" s="2" t="n"/>
    </row>
    <row r="986" ht="15.75" customHeight="1" s="57">
      <c r="A986" s="2" t="n"/>
      <c r="B986" s="2" t="n"/>
      <c r="C986" s="2" t="n"/>
      <c r="D986" s="2" t="n"/>
      <c r="E986" s="2" t="n"/>
      <c r="F986" s="2" t="n"/>
    </row>
    <row r="987" ht="15.75" customHeight="1" s="57">
      <c r="A987" s="2" t="n"/>
      <c r="B987" s="2" t="n"/>
      <c r="C987" s="2" t="n"/>
      <c r="D987" s="2" t="n"/>
      <c r="E987" s="2" t="n"/>
      <c r="F987" s="2" t="n"/>
    </row>
    <row r="988" ht="15.75" customHeight="1" s="57">
      <c r="A988" s="2" t="n"/>
      <c r="B988" s="2" t="n"/>
      <c r="C988" s="2" t="n"/>
      <c r="D988" s="2" t="n"/>
      <c r="E988" s="2" t="n"/>
      <c r="F988" s="2" t="n"/>
    </row>
    <row r="989" ht="15.75" customHeight="1" s="57">
      <c r="A989" s="2" t="n"/>
      <c r="B989" s="2" t="n"/>
      <c r="C989" s="2" t="n"/>
      <c r="D989" s="2" t="n"/>
      <c r="E989" s="2" t="n"/>
      <c r="F989" s="2" t="n"/>
    </row>
    <row r="990" ht="15.75" customHeight="1" s="57">
      <c r="A990" s="2" t="n"/>
      <c r="B990" s="2" t="n"/>
      <c r="C990" s="2" t="n"/>
      <c r="D990" s="2" t="n"/>
      <c r="E990" s="2" t="n"/>
      <c r="F990" s="2" t="n"/>
    </row>
    <row r="991" ht="15.75" customHeight="1" s="57">
      <c r="A991" s="2" t="n"/>
      <c r="B991" s="2" t="n"/>
      <c r="C991" s="2" t="n"/>
      <c r="D991" s="2" t="n"/>
      <c r="E991" s="2" t="n"/>
      <c r="F991" s="2" t="n"/>
    </row>
    <row r="992" ht="15.75" customHeight="1" s="57">
      <c r="A992" s="2" t="n"/>
      <c r="B992" s="2" t="n"/>
      <c r="C992" s="2" t="n"/>
      <c r="D992" s="2" t="n"/>
      <c r="E992" s="2" t="n"/>
      <c r="F992" s="2" t="n"/>
    </row>
    <row r="993" ht="15.75" customHeight="1" s="57">
      <c r="A993" s="2" t="n"/>
      <c r="B993" s="2" t="n"/>
      <c r="C993" s="2" t="n"/>
      <c r="D993" s="2" t="n"/>
      <c r="E993" s="2" t="n"/>
      <c r="F993" s="2" t="n"/>
    </row>
    <row r="994" ht="15.75" customHeight="1" s="57">
      <c r="A994" s="2" t="n"/>
      <c r="B994" s="2" t="n"/>
      <c r="C994" s="2" t="n"/>
      <c r="D994" s="2" t="n"/>
      <c r="E994" s="2" t="n"/>
      <c r="F994" s="2" t="n"/>
    </row>
    <row r="995" ht="15.75" customHeight="1" s="57">
      <c r="A995" s="2" t="n"/>
      <c r="B995" s="2" t="n"/>
      <c r="C995" s="2" t="n"/>
      <c r="D995" s="2" t="n"/>
      <c r="E995" s="2" t="n"/>
      <c r="F995" s="2" t="n"/>
    </row>
    <row r="996" ht="15.75" customHeight="1" s="57">
      <c r="A996" s="2" t="n"/>
      <c r="B996" s="2" t="n"/>
      <c r="C996" s="2" t="n"/>
      <c r="D996" s="2" t="n"/>
      <c r="E996" s="2" t="n"/>
      <c r="F996" s="2" t="n"/>
    </row>
    <row r="997" ht="15.75" customHeight="1" s="57">
      <c r="A997" s="2" t="n"/>
      <c r="B997" s="2" t="n"/>
      <c r="C997" s="2" t="n"/>
      <c r="D997" s="2" t="n"/>
      <c r="E997" s="2" t="n"/>
      <c r="F997" s="2" t="n"/>
    </row>
    <row r="998" ht="15.75" customHeight="1" s="57">
      <c r="A998" s="2" t="n"/>
      <c r="B998" s="2" t="n"/>
      <c r="C998" s="2" t="n"/>
      <c r="D998" s="2" t="n"/>
      <c r="E998" s="2" t="n"/>
      <c r="F998" s="2" t="n"/>
    </row>
    <row r="999" ht="15.75" customHeight="1" s="57">
      <c r="A999" s="2" t="n"/>
      <c r="B999" s="2" t="n"/>
      <c r="C999" s="2" t="n"/>
      <c r="D999" s="2" t="n"/>
      <c r="E999" s="2" t="n"/>
      <c r="F999" s="2" t="n"/>
    </row>
    <row r="1000" ht="15.75" customHeight="1" s="57">
      <c r="A1000" s="2" t="n"/>
      <c r="B1000" s="2" t="n"/>
      <c r="C1000" s="2" t="n"/>
      <c r="D1000" s="2" t="n"/>
      <c r="E1000" s="2" t="n"/>
      <c r="F1000" s="2" t="n"/>
    </row>
    <row r="1001" ht="15.75" customHeight="1" s="57">
      <c r="A1001" s="6" t="inlineStr">
        <is>
          <t>2026-08-12</t>
        </is>
      </c>
      <c r="B1001" s="6" t="inlineStr">
        <is>
          <t>DEPOSIT</t>
        </is>
      </c>
      <c r="C1001" s="6" t="n">
        <v>10000</v>
      </c>
      <c r="D1001" s="6" t="inlineStr">
        <is>
          <t>Zerodha funds addition</t>
        </is>
      </c>
      <c r="E1001" s="2" t="n"/>
      <c r="F1001" s="2" t="n"/>
    </row>
    <row r="1002" ht="15.75" customHeight="1" s="57">
      <c r="A1002" s="6" t="inlineStr">
        <is>
          <t>2026-08-12</t>
        </is>
      </c>
      <c r="B1002" s="6" t="inlineStr">
        <is>
          <t>WITHDRAWAL</t>
        </is>
      </c>
      <c r="C1002" s="7" t="n">
        <v>18.01</v>
      </c>
      <c r="D1002" s="6" t="inlineStr">
        <is>
          <t>Brokerage &amp; taxes on BEL SELL (5 qty @ 399.40)</t>
        </is>
      </c>
      <c r="E1002" s="2" t="n"/>
      <c r="F1002" s="2" t="n"/>
    </row>
    <row r="1003" ht="15.75" customHeight="1" s="57">
      <c r="A1003" s="6" t="inlineStr">
        <is>
          <t>2026-08-12</t>
        </is>
      </c>
      <c r="B1003" s="6" t="inlineStr">
        <is>
          <t>WITHDRAWAL</t>
        </is>
      </c>
      <c r="C1003" s="7" t="n">
        <v>17.1</v>
      </c>
      <c r="D1003" s="6" t="inlineStr">
        <is>
          <t>Brokerage &amp; taxes on BERGEPAINT SELL (2 qty @ 561.20)</t>
        </is>
      </c>
      <c r="E1003" s="2" t="n"/>
      <c r="F1003" s="2" t="n"/>
    </row>
    <row r="1004" ht="15.75" customHeight="1" s="57">
      <c r="A1004" s="6" t="inlineStr">
        <is>
          <t>2026-08-12</t>
        </is>
      </c>
      <c r="B1004" s="6" t="inlineStr">
        <is>
          <t>WITHDRAWAL</t>
        </is>
      </c>
      <c r="C1004" s="7" t="n">
        <v>16.42</v>
      </c>
      <c r="D1004" s="6" t="inlineStr">
        <is>
          <t>Brokerage &amp; taxes on ADVANCE SELL (4 qty @ 118.24)</t>
        </is>
      </c>
      <c r="E1004" s="2" t="n"/>
      <c r="F1004" s="2" t="n"/>
    </row>
    <row r="1005" ht="15.75" customHeight="1" s="57">
      <c r="A1005" s="6" t="inlineStr">
        <is>
          <t>2026-08-13</t>
        </is>
      </c>
      <c r="B1005" s="6" t="inlineStr">
        <is>
          <t>WITHDRAWAL</t>
        </is>
      </c>
      <c r="C1005" s="7" t="n">
        <v>17.25</v>
      </c>
      <c r="D1005" s="6" t="inlineStr">
        <is>
          <t>Brokerage &amp; taxes on JSWSTEEL SELL (1 qty @ 1269.10)</t>
        </is>
      </c>
      <c r="E1005" s="2" t="n"/>
      <c r="F1005" s="2" t="n"/>
    </row>
    <row r="1006" ht="15.75" customHeight="1" s="57">
      <c r="A1006" s="6" t="inlineStr">
        <is>
          <t>2026-08-13</t>
        </is>
      </c>
      <c r="B1006" s="6" t="inlineStr">
        <is>
          <t>WITHDRAWAL</t>
        </is>
      </c>
      <c r="C1006" s="7" t="n">
        <v>2.1</v>
      </c>
      <c r="D1006" s="6" t="inlineStr">
        <is>
          <t>Brokerage &amp; taxes on MRPL BUY (10 qty @ 174.70)</t>
        </is>
      </c>
      <c r="E1006" s="2" t="n"/>
      <c r="F1006" s="2" t="n"/>
    </row>
    <row r="1007" ht="15.75" customHeight="1" s="57">
      <c r="A1007" s="6" t="inlineStr">
        <is>
          <t>2026-08-13</t>
        </is>
      </c>
      <c r="B1007" s="6" t="inlineStr">
        <is>
          <t>WITHDRAWAL</t>
        </is>
      </c>
      <c r="C1007" s="7" t="n">
        <v>2.9</v>
      </c>
      <c r="D1007" s="6" t="inlineStr">
        <is>
          <t>Brokerage &amp; taxes on LENSKART BUY (4 qty @ 605.00)</t>
        </is>
      </c>
      <c r="E1007" s="2" t="n"/>
      <c r="F1007" s="2" t="n"/>
    </row>
    <row r="1008" ht="15.75" customHeight="1" s="57">
      <c r="A1008" s="6" t="inlineStr">
        <is>
          <t>2026-08-13</t>
        </is>
      </c>
      <c r="B1008" s="6" t="inlineStr">
        <is>
          <t>WITHDRAWAL</t>
        </is>
      </c>
      <c r="C1008" s="7" t="n">
        <v>2.57</v>
      </c>
      <c r="D1008" s="6" t="inlineStr">
        <is>
          <t>Brokerage &amp; taxes on AARTIIND BUY (4 qty @ 536.00)</t>
        </is>
      </c>
      <c r="E1008" s="2" t="n"/>
      <c r="F1008" s="2" t="n"/>
    </row>
    <row r="1009" ht="15.75" customHeight="1" s="57">
      <c r="A1009" s="6" t="inlineStr">
        <is>
          <t>2026-08-13</t>
        </is>
      </c>
      <c r="B1009" s="6" t="inlineStr">
        <is>
          <t>WITHDRAWAL</t>
        </is>
      </c>
      <c r="C1009" s="7" t="n">
        <v>2.27</v>
      </c>
      <c r="D1009" s="6" t="inlineStr">
        <is>
          <t>Brokerage &amp; taxes on OIL BUY (4 qty @ 473.00)</t>
        </is>
      </c>
      <c r="E1009" s="2" t="n"/>
      <c r="F1009" s="2" t="n"/>
    </row>
    <row r="1010" ht="15.75" customHeight="1" s="57">
      <c r="A1010" s="6" t="inlineStr">
        <is>
          <t>2026-08-13</t>
        </is>
      </c>
      <c r="B1010" s="6" t="inlineStr">
        <is>
          <t>WITHDRAWAL</t>
        </is>
      </c>
      <c r="C1010" s="7" t="n">
        <v>3.42</v>
      </c>
      <c r="D1010" s="6" t="inlineStr">
        <is>
          <t>Brokerage &amp; taxes on SCHNEIDER BUY (2 qty @ 1425.00)</t>
        </is>
      </c>
      <c r="E1010" s="2" t="n"/>
      <c r="F1010" s="2" t="n"/>
    </row>
    <row r="1011" ht="15.75" customHeight="1" s="57">
      <c r="A1011" s="6" t="inlineStr">
        <is>
          <t>2026-08-13</t>
        </is>
      </c>
      <c r="B1011" s="6" t="inlineStr">
        <is>
          <t>WITHDRAWAL</t>
        </is>
      </c>
      <c r="C1011" s="7" t="n">
        <v>17.63</v>
      </c>
      <c r="D1011" s="6" t="inlineStr">
        <is>
          <t>Brokerage &amp; taxes on TECHM SELL (1 qty @ 1634.70)</t>
        </is>
      </c>
      <c r="E1011" s="2" t="n"/>
      <c r="F1011" s="2" t="n"/>
    </row>
    <row r="1012" ht="15.75" customHeight="1" s="57">
      <c r="A1012" s="6" t="inlineStr">
        <is>
          <t>2026-08-14</t>
        </is>
      </c>
      <c r="B1012" s="6" t="inlineStr">
        <is>
          <t>WITHDRAWAL</t>
        </is>
      </c>
      <c r="C1012" s="7" t="n">
        <v>18.84</v>
      </c>
      <c r="D1012" s="6" t="inlineStr">
        <is>
          <t>Brokerage &amp; taxes on SCHNEIDER SELL (2 qty @ 1401.00)</t>
        </is>
      </c>
      <c r="E1012" s="2" t="n"/>
      <c r="F1012" s="2" t="n"/>
    </row>
    <row r="1013" ht="15.75" customHeight="1" s="57">
      <c r="A1013" s="6" t="inlineStr">
        <is>
          <t>2026-08-14</t>
        </is>
      </c>
      <c r="B1013" s="6" t="inlineStr">
        <is>
          <t>WITHDRAWAL</t>
        </is>
      </c>
      <c r="C1013" s="7" t="n">
        <v>16.49</v>
      </c>
      <c r="D1013" s="6" t="inlineStr">
        <is>
          <t>Brokerage &amp; taxes on AARTIIND SELL (1 qty @ 539.25)</t>
        </is>
      </c>
      <c r="E1013" s="2" t="n"/>
      <c r="F1013" s="2" t="n"/>
    </row>
    <row r="1014" ht="15.75" customHeight="1" s="57">
      <c r="A1014" s="6" t="inlineStr">
        <is>
          <t>2026-08-14</t>
        </is>
      </c>
      <c r="B1014" s="6" t="inlineStr">
        <is>
          <t>WITHDRAWAL</t>
        </is>
      </c>
      <c r="C1014" s="7" t="n">
        <v>17.61</v>
      </c>
      <c r="D1014" s="6" t="inlineStr">
        <is>
          <t>Brokerage &amp; taxes on AARTIIND SELL (3 qty @ 537.55)</t>
        </is>
      </c>
      <c r="E1014" s="2" t="n"/>
      <c r="F1014" s="2" t="n"/>
    </row>
    <row r="1015" ht="15.75" customHeight="1" s="57">
      <c r="A1015" s="6" t="inlineStr">
        <is>
          <t>2026-08-18</t>
        </is>
      </c>
      <c r="B1015" s="6" t="inlineStr">
        <is>
          <t>WITHDRAWAL</t>
        </is>
      </c>
      <c r="C1015" s="7" t="n">
        <v>2.62</v>
      </c>
      <c r="D1015" s="6" t="inlineStr">
        <is>
          <t>Brokerage &amp; taxes on GAYAPROJ-BE BUY (100 qty @ 21.80)</t>
        </is>
      </c>
      <c r="E1015" s="2" t="n"/>
      <c r="F1015" s="2" t="n"/>
    </row>
    <row r="1016" ht="15.75" customHeight="1" s="57">
      <c r="A1016" s="6" t="inlineStr">
        <is>
          <t>2026-08-20</t>
        </is>
      </c>
      <c r="B1016" s="6" t="inlineStr">
        <is>
          <t>WITHDRAWAL</t>
        </is>
      </c>
      <c r="C1016" s="7" t="n">
        <v>2.59</v>
      </c>
      <c r="D1016" s="6" t="inlineStr">
        <is>
          <t>Brokerage &amp; taxes on THELEELA BUY (4 qty @ 539.30)</t>
        </is>
      </c>
      <c r="E1016" s="2" t="n"/>
      <c r="F1016" s="2" t="n"/>
    </row>
    <row r="1017" ht="15.75" customHeight="1" s="57">
      <c r="A1017" s="6" t="inlineStr">
        <is>
          <t>2026-08-21</t>
        </is>
      </c>
      <c r="B1017" s="6" t="inlineStr">
        <is>
          <t>WITHDRAWAL</t>
        </is>
      </c>
      <c r="C1017" s="7" t="n">
        <v>2.31</v>
      </c>
      <c r="D1017" s="6" t="inlineStr">
        <is>
          <t>Brokerage &amp; taxes on KFINTECH BUY (2 qty @ 961.00)</t>
        </is>
      </c>
      <c r="E1017" s="2" t="n"/>
      <c r="F1017" s="2" t="n"/>
    </row>
    <row r="1018" ht="15.75" customHeight="1" s="57">
      <c r="A1018" s="6" t="inlineStr">
        <is>
          <t>2026-08-21</t>
        </is>
      </c>
      <c r="B1018" s="6" t="inlineStr">
        <is>
          <t>WITHDRAWAL</t>
        </is>
      </c>
      <c r="C1018" s="7" t="n">
        <v>2.31</v>
      </c>
      <c r="D1018" s="6" t="inlineStr">
        <is>
          <t>Brokerage &amp; taxes on KFINTECH BUY (2 qty @ 963.00)</t>
        </is>
      </c>
      <c r="E1018" s="2" t="n"/>
      <c r="F1018" s="2" t="n"/>
    </row>
    <row r="1019" ht="15.75" customHeight="1" s="57">
      <c r="A1019" s="6" t="inlineStr">
        <is>
          <t>2026-08-21</t>
        </is>
      </c>
      <c r="B1019" s="6" t="inlineStr">
        <is>
          <t>WITHDRAWAL</t>
        </is>
      </c>
      <c r="C1019" s="7" t="n">
        <v>3.1</v>
      </c>
      <c r="D1019" s="6" t="inlineStr">
        <is>
          <t>Brokerage &amp; taxes on BOROLTD BUY (10 qty @ 258.00)</t>
        </is>
      </c>
      <c r="E1019" s="2" t="n"/>
      <c r="F1019" s="2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57" min="1" max="1"/>
    <col width="12" customWidth="1" style="57" min="2" max="2"/>
    <col width="80" customWidth="1" style="57" min="3" max="3"/>
    <col width="8.710000000000001" customWidth="1" style="57" min="4" max="6"/>
  </cols>
  <sheetData>
    <row r="1">
      <c r="A1" s="50" t="inlineStr">
        <is>
          <t>Timestamp</t>
        </is>
      </c>
      <c r="B1" s="50" t="inlineStr">
        <is>
          <t>Level</t>
        </is>
      </c>
      <c r="C1" s="50" t="inlineStr">
        <is>
          <t>Message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2026-07-21 12:48:41</t>
        </is>
      </c>
      <c r="B2" s="6" t="inlineStr">
        <is>
          <t>INFO</t>
        </is>
      </c>
      <c r="C2" s="6" t="inlineStr">
        <is>
          <t>Recorded buy order: 1 shares of SUNPHARMA at 1951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6" t="inlineStr">
        <is>
          <t>2026-07-21 12:48:42</t>
        </is>
      </c>
      <c r="B3" s="6" t="inlineStr">
        <is>
          <t>INFO</t>
        </is>
      </c>
      <c r="C3" s="6" t="inlineStr">
        <is>
          <t>Recorded buy order: 1 shares of JSWSTEEL at 1266.4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2026-07-21 12:48:42</t>
        </is>
      </c>
      <c r="B4" s="6" t="inlineStr">
        <is>
          <t>INFO</t>
        </is>
      </c>
      <c r="C4" s="6" t="inlineStr">
        <is>
          <t>Recorded buy order: 1 shares of TECHM at 1589.1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" t="inlineStr">
        <is>
          <t>2026-07-21 15:33:36</t>
        </is>
      </c>
      <c r="B5" s="6" t="inlineStr">
        <is>
          <t>INFO</t>
        </is>
      </c>
      <c r="C5" s="6" t="inlineStr">
        <is>
          <t>Closed trade: SUNPHARMA exited at 1960 (WIN)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6" t="inlineStr">
        <is>
          <t>2026-07-21 15:33:37</t>
        </is>
      </c>
      <c r="B6" s="6" t="inlineStr">
        <is>
          <t>INFO</t>
        </is>
      </c>
      <c r="C6" s="6" t="inlineStr">
        <is>
          <t>Closed trade: TECHM exited at 1575 (WIN)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6" t="inlineStr">
        <is>
          <t>2026-07-21 15:33:38</t>
        </is>
      </c>
      <c r="B7" s="6" t="inlineStr">
        <is>
          <t>INFO</t>
        </is>
      </c>
      <c r="C7" s="6" t="inlineStr">
        <is>
          <t>Closed trade: JSWSTEEL exited at 1267.1 (WIN)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2026-07-22 11:27:23</t>
        </is>
      </c>
      <c r="B8" s="6" t="inlineStr">
        <is>
          <t>INFO</t>
        </is>
      </c>
      <c r="C8" s="6" t="inlineStr">
        <is>
          <t>Recorded buy order: 2 shares of SONACOMS at 734.7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6" t="inlineStr">
        <is>
          <t>2026-07-22 11:27:25</t>
        </is>
      </c>
      <c r="B9" s="6" t="inlineStr">
        <is>
          <t>INFO</t>
        </is>
      </c>
      <c r="C9" s="6" t="inlineStr">
        <is>
          <t>Recorded buy order: 1 shares of JSWSTEEL at 1265.1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" t="inlineStr">
        <is>
          <t>2026-07-22 11:28:22</t>
        </is>
      </c>
      <c r="B10" s="6" t="inlineStr">
        <is>
          <t>INFO</t>
        </is>
      </c>
      <c r="C10" s="6" t="inlineStr">
        <is>
          <t>Capital Transaction: WITHDRAWAL of INR 1.76 logged.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6" t="inlineStr">
        <is>
          <t>2026-07-22 11:28:24</t>
        </is>
      </c>
      <c r="B11" s="6" t="inlineStr">
        <is>
          <t>INFO</t>
        </is>
      </c>
      <c r="C11" s="6" t="inlineStr">
        <is>
          <t>Capital Transaction: WITHDRAWAL of INR 1.52 logged.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2026-07-27 10:14:17</t>
        </is>
      </c>
      <c r="B12" s="2" t="inlineStr">
        <is>
          <t>INFO</t>
        </is>
      </c>
      <c r="C12" s="2" t="inlineStr">
        <is>
          <t>Recorded buy order: 1 shares of TECHM at 1579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2026-07-27 10:14:26</t>
        </is>
      </c>
      <c r="B13" s="2" t="inlineStr">
        <is>
          <t>INFO</t>
        </is>
      </c>
      <c r="C13" s="2" t="inlineStr">
        <is>
          <t>Capital Transaction: WITHDRAWAL of INR 1.89 logged.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51" t="inlineStr">
        <is>
          <t>2026-07-28 09:08:00</t>
        </is>
      </c>
      <c r="B14" s="51" t="inlineStr">
        <is>
          <t>ADVISORY</t>
        </is>
      </c>
      <c r="C14" s="52" t="inlineStr">
        <is>
          <t>Market is in STATE 4: Cash Only. Hold active open positions (TECHM, SONACOMS, JSWSTEEL) with strict pre-set stop-losses. Do not allocate new capital or average down.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2026-08-03 09:29:22</t>
        </is>
      </c>
      <c r="B15" s="2" t="inlineStr">
        <is>
          <t>INFO</t>
        </is>
      </c>
      <c r="C15" s="2" t="inlineStr">
        <is>
          <t>Recorded buy order: 4 shares of ADVANCE at 125.01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2026-08-03 09:29:48</t>
        </is>
      </c>
      <c r="B16" s="2" t="inlineStr">
        <is>
          <t>INFO</t>
        </is>
      </c>
      <c r="C16" s="2" t="inlineStr">
        <is>
          <t>Capital Transaction: WITHDRAWAL of INR 0.60 logged.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2026-08-03 11:33:33</t>
        </is>
      </c>
      <c r="B17" s="2" t="inlineStr">
        <is>
          <t>INFO</t>
        </is>
      </c>
      <c r="C17" s="2" t="inlineStr">
        <is>
          <t>Corrected ADVANCE buy price from 125.01 to actual execution price 127.80 based on live Zerodha check.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2026-08-03 11:33:41</t>
        </is>
      </c>
      <c r="B18" s="2" t="inlineStr">
        <is>
          <t>INFO</t>
        </is>
      </c>
      <c r="C18" s="2" t="inlineStr">
        <is>
          <t>Corrected ADVANCE buy price from 125.01 to actual execution price 127.80 based on live Zerodha check.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2026-08-03 17:00:11</t>
        </is>
      </c>
      <c r="B19" s="2" t="inlineStr">
        <is>
          <t>INFO</t>
        </is>
      </c>
      <c r="C19" s="2" t="inlineStr">
        <is>
          <t>Capital Transaction: WITHDRAWAL of INR 0.12 logged.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2026-08-03 17:01:24</t>
        </is>
      </c>
      <c r="B20" s="2" t="inlineStr">
        <is>
          <t>INFO</t>
        </is>
      </c>
      <c r="C20" s="2" t="inlineStr">
        <is>
          <t>Closed trade: ADVANCE exited at 120.0 (LOSS)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57">
      <c r="A21" s="2" t="inlineStr">
        <is>
          <t>2026-08-04 05:50:00</t>
        </is>
      </c>
      <c r="B21" s="2" t="inlineStr">
        <is>
          <t>INFO</t>
        </is>
      </c>
      <c r="C21" s="2" t="inlineStr">
        <is>
          <t>Recorded buy order: 1 shares of NESTLEIND at 1530.0 (INTRADAY)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57">
      <c r="A22" s="2" t="inlineStr">
        <is>
          <t>2026-08-04 05:50:23</t>
        </is>
      </c>
      <c r="B22" s="2" t="inlineStr">
        <is>
          <t>INFO</t>
        </is>
      </c>
      <c r="C22" s="2" t="inlineStr">
        <is>
          <t>Capital Transaction: WITHDRAWAL of INR 1.84 logged.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57">
      <c r="A23" s="2" t="inlineStr">
        <is>
          <t>2026-08-04 05:52:22</t>
        </is>
      </c>
      <c r="B23" s="2" t="inlineStr">
        <is>
          <t>INFO</t>
        </is>
      </c>
      <c r="C23" s="2" t="inlineStr">
        <is>
          <t>Recorded buy order: 1 shares of PIDILITIND at 1642.5 (INTRADAY)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57">
      <c r="A24" s="2" t="inlineStr">
        <is>
          <t>2026-08-04 05:52:56</t>
        </is>
      </c>
      <c r="B24" s="2" t="inlineStr">
        <is>
          <t>INFO</t>
        </is>
      </c>
      <c r="C24" s="2" t="inlineStr">
        <is>
          <t>Capital Transaction: WITHDRAWAL of INR 1.97 logged.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57">
      <c r="A25" s="2" t="inlineStr">
        <is>
          <t>2026-08-04 19:17:55</t>
        </is>
      </c>
      <c r="B25" s="2" t="inlineStr">
        <is>
          <t>INFO</t>
        </is>
      </c>
      <c r="C25" s="2" t="inlineStr">
        <is>
          <t>Closed INTRADAY trade: NESTLEIND exited at 1520.1 (LOSS)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57">
      <c r="A26" s="2" t="inlineStr">
        <is>
          <t>2026-08-04 19:18:12</t>
        </is>
      </c>
      <c r="B26" s="2" t="inlineStr">
        <is>
          <t>INFO</t>
        </is>
      </c>
      <c r="C26" s="2" t="inlineStr">
        <is>
          <t>Capital Transaction: WITHDRAWAL of INR 1.83 logged.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57">
      <c r="A27" s="2" t="inlineStr">
        <is>
          <t>2026-08-04 19:18:42</t>
        </is>
      </c>
      <c r="B27" s="2" t="inlineStr">
        <is>
          <t>INFO</t>
        </is>
      </c>
      <c r="C27" s="2" t="inlineStr">
        <is>
          <t>Closed INTRADAY trade: PIDILITIND exited at 1634.5 (LOSS)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57">
      <c r="A28" s="2" t="inlineStr">
        <is>
          <t>2026-08-04 19:19:12</t>
        </is>
      </c>
      <c r="B28" s="2" t="inlineStr">
        <is>
          <t>INFO</t>
        </is>
      </c>
      <c r="C28" s="2" t="inlineStr">
        <is>
          <t>Capital Transaction: WITHDRAWAL of INR 1.96 logged.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57">
      <c r="A29" s="2" t="inlineStr">
        <is>
          <t>2026-08-04 19:19:34</t>
        </is>
      </c>
      <c r="B29" s="2" t="inlineStr">
        <is>
          <t>INFO</t>
        </is>
      </c>
      <c r="C29" s="2" t="inlineStr">
        <is>
          <t>Capital Transaction: WITHDRAWAL of INR 505.29 logged.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57">
      <c r="A30" s="2" t="inlineStr">
        <is>
          <t>2026-08-05 06:21:46</t>
        </is>
      </c>
      <c r="B30" s="2" t="inlineStr">
        <is>
          <t>INFO</t>
        </is>
      </c>
      <c r="C30" s="2" t="inlineStr">
        <is>
          <t>Recorded buy order: 8 shares of VISAKAIND at 86.99 (SWING)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57">
      <c r="A31" s="2" t="inlineStr">
        <is>
          <t>2026-08-05 06:21:56</t>
        </is>
      </c>
      <c r="B31" s="2" t="inlineStr">
        <is>
          <t>INFO</t>
        </is>
      </c>
      <c r="C31" s="2" t="inlineStr">
        <is>
          <t>Capital Transaction: WITHDRAWAL of INR 0.84 logged.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57">
      <c r="A32" s="2" t="inlineStr">
        <is>
          <t>2026-08-05 06:22:06</t>
        </is>
      </c>
      <c r="B32" s="2" t="inlineStr">
        <is>
          <t>INFO</t>
        </is>
      </c>
      <c r="C32" s="2" t="inlineStr">
        <is>
          <t>Recorded buy order: 8 shares of EXCELSOFT at 82.99 (SWING)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57">
      <c r="A33" s="2" t="inlineStr">
        <is>
          <t>2026-08-05 06:22:15</t>
        </is>
      </c>
      <c r="B33" s="2" t="inlineStr">
        <is>
          <t>INFO</t>
        </is>
      </c>
      <c r="C33" s="2" t="inlineStr">
        <is>
          <t>Capital Transaction: WITHDRAWAL of INR 0.80 logged.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57">
      <c r="A34" s="2" t="inlineStr">
        <is>
          <t>2026-08-05 06:22:26</t>
        </is>
      </c>
      <c r="B34" s="2" t="inlineStr">
        <is>
          <t>INFO</t>
        </is>
      </c>
      <c r="C34" s="2" t="inlineStr">
        <is>
          <t>Recorded buy order: 2 shares of EXIDEIND at 458.35 (INTRADAY)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57">
      <c r="A35" s="2" t="inlineStr">
        <is>
          <t>2026-08-05 06:22:35</t>
        </is>
      </c>
      <c r="B35" s="2" t="inlineStr">
        <is>
          <t>INFO</t>
        </is>
      </c>
      <c r="C35" s="2" t="inlineStr">
        <is>
          <t>Capital Transaction: WITHDRAWAL of INR 1.10 logged.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57">
      <c r="A36" s="2" t="inlineStr">
        <is>
          <t>2026-08-05 10:18:42</t>
        </is>
      </c>
      <c r="B36" s="2" t="inlineStr">
        <is>
          <t>INFO</t>
        </is>
      </c>
      <c r="C36" s="2" t="inlineStr">
        <is>
          <t>Capital Transaction: WITHDRAWAL of INR 0.79 logged.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57">
      <c r="A37" s="2" t="inlineStr">
        <is>
          <t>2026-08-05 10:19:11</t>
        </is>
      </c>
      <c r="B37" s="2" t="inlineStr">
        <is>
          <t>INFO</t>
        </is>
      </c>
      <c r="C37" s="2" t="inlineStr">
        <is>
          <t>Closed SWING trade: SONACOMS exited at 798.25 (WIN)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57">
      <c r="A38" s="2" t="inlineStr">
        <is>
          <t>2026-08-05 10:20:00</t>
        </is>
      </c>
      <c r="B38" s="2" t="inlineStr">
        <is>
          <t>INFO</t>
        </is>
      </c>
      <c r="C38" s="2" t="inlineStr">
        <is>
          <t>Capital Transaction: WITHDRAWAL of INR 17.59 logged.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57">
      <c r="A39" s="2" t="inlineStr">
        <is>
          <t>2026-08-05 10:22:05</t>
        </is>
      </c>
      <c r="B39" s="2" t="inlineStr">
        <is>
          <t>INFO</t>
        </is>
      </c>
      <c r="C39" s="2" t="inlineStr">
        <is>
          <t>Capital Transaction: DEPOSIT of INR 701.16 logged.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57">
      <c r="A40" s="2" t="inlineStr">
        <is>
          <t>2026-08-05 10:47:34</t>
        </is>
      </c>
      <c r="B40" s="2" t="inlineStr">
        <is>
          <t>INFO</t>
        </is>
      </c>
      <c r="C40" s="2" t="inlineStr">
        <is>
          <t>Capital Transaction: ADJUSTMENT_IN of INR 237.08 logged.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57">
      <c r="A41" s="2" t="inlineStr">
        <is>
          <t>2026-08-05 11:56:35</t>
        </is>
      </c>
      <c r="B41" s="2" t="inlineStr">
        <is>
          <t>INFO</t>
        </is>
      </c>
      <c r="C41" s="2" t="inlineStr">
        <is>
          <t>Recorded buy order: 3 shares of SONATSOFTW at 341.2 (SWING)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57">
      <c r="A42" s="2" t="inlineStr">
        <is>
          <t>2026-08-05 11:57:08</t>
        </is>
      </c>
      <c r="B42" s="2" t="inlineStr">
        <is>
          <t>INFO</t>
        </is>
      </c>
      <c r="C42" s="2" t="inlineStr">
        <is>
          <t>Capital Transaction: WITHDRAWAL of INR 1.23 logged.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57">
      <c r="A43" s="2" t="inlineStr">
        <is>
          <t>2026-08-05 11:58:00</t>
        </is>
      </c>
      <c r="B43" s="2" t="inlineStr">
        <is>
          <t>INFO</t>
        </is>
      </c>
      <c r="C43" s="2" t="inlineStr">
        <is>
          <t>Capital Transaction: ADJUSTMENT_IN of INR 1.38 logged.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57">
      <c r="A44" s="2" t="inlineStr">
        <is>
          <t>2026-08-05 14:00:44</t>
        </is>
      </c>
      <c r="B44" s="2" t="inlineStr">
        <is>
          <t>INFO</t>
        </is>
      </c>
      <c r="C44" s="2" t="inlineStr">
        <is>
          <t>Capital Transaction: ADJUSTMENT_IN of INR 515.21 logged.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57">
      <c r="A45" s="2" t="inlineStr">
        <is>
          <t>2026-08-05 18:26:57</t>
        </is>
      </c>
      <c r="B45" s="2" t="inlineStr">
        <is>
          <t>INFO</t>
        </is>
      </c>
      <c r="C45" s="2" t="inlineStr">
        <is>
          <t>Capital Transaction: WITHDRAWAL of INR 1.23 logged.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57">
      <c r="A46" s="2" t="inlineStr">
        <is>
          <t>2026-08-05 18:27:44</t>
        </is>
      </c>
      <c r="B46" s="2" t="inlineStr">
        <is>
          <t>INFO</t>
        </is>
      </c>
      <c r="C46" s="2" t="inlineStr">
        <is>
          <t>Capital Transaction: ADJUSTMENT_OUT of INR 915.62 logged.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57">
      <c r="A47" s="2" t="inlineStr">
        <is>
          <t>2026-08-05 18:58:42</t>
        </is>
      </c>
      <c r="B47" s="2" t="inlineStr">
        <is>
          <t>INFO</t>
        </is>
      </c>
      <c r="C47" s="2" t="inlineStr">
        <is>
          <t>Recorded buy order: 4 shares of IFGLEXPOR at 219.6 (SWING)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57">
      <c r="A48" s="2" t="inlineStr">
        <is>
          <t>2026-08-05 18:58:50</t>
        </is>
      </c>
      <c r="B48" s="2" t="inlineStr">
        <is>
          <t>INFO</t>
        </is>
      </c>
      <c r="C48" s="2" t="inlineStr">
        <is>
          <t>Capital Transaction: WITHDRAWAL of INR 1.05 logged.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57">
      <c r="A49" s="2" t="inlineStr">
        <is>
          <t>2026-08-05 18:58:59</t>
        </is>
      </c>
      <c r="B49" s="2" t="inlineStr">
        <is>
          <t>INFO</t>
        </is>
      </c>
      <c r="C49" s="2" t="inlineStr">
        <is>
          <t>Recorded buy order: 4 shares of SAPPHIRE at 202.5 (SWING)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57">
      <c r="A50" s="2" t="inlineStr">
        <is>
          <t>2026-08-05 18:59:06</t>
        </is>
      </c>
      <c r="B50" s="2" t="inlineStr">
        <is>
          <t>INFO</t>
        </is>
      </c>
      <c r="C50" s="2" t="inlineStr">
        <is>
          <t>Capital Transaction: WITHDRAWAL of INR 0.97 logged.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57">
      <c r="A51" s="2" t="inlineStr">
        <is>
          <t>2026-08-05 18:59:16</t>
        </is>
      </c>
      <c r="B51" s="2" t="inlineStr">
        <is>
          <t>INFO</t>
        </is>
      </c>
      <c r="C51" s="2" t="inlineStr">
        <is>
          <t>Recorded buy order: 8 shares of AEROENTER at 132.15 (SWING)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57">
      <c r="A52" s="2" t="inlineStr">
        <is>
          <t>2026-08-05 18:59:23</t>
        </is>
      </c>
      <c r="B52" s="2" t="inlineStr">
        <is>
          <t>INFO</t>
        </is>
      </c>
      <c r="C52" s="2" t="inlineStr">
        <is>
          <t>Capital Transaction: WITHDRAWAL of INR 1.27 logged.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57">
      <c r="A53" s="2" t="inlineStr">
        <is>
          <t>2026-08-05 18:59:32</t>
        </is>
      </c>
      <c r="B53" s="2" t="inlineStr">
        <is>
          <t>INFO</t>
        </is>
      </c>
      <c r="C53" s="2" t="inlineStr">
        <is>
          <t>Recorded buy order: 3 shares of TATASTEEL at 193.0 (INTRADAY)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57">
      <c r="A54" s="2" t="inlineStr">
        <is>
          <t>2026-08-05 18:59:40</t>
        </is>
      </c>
      <c r="B54" s="2" t="inlineStr">
        <is>
          <t>INFO</t>
        </is>
      </c>
      <c r="C54" s="2" t="inlineStr">
        <is>
          <t>Capital Transaction: WITHDRAWAL of INR 0.69 logged.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57">
      <c r="A55" s="2" t="inlineStr">
        <is>
          <t>2026-08-05 19:00:04</t>
        </is>
      </c>
      <c r="B55" s="2" t="inlineStr">
        <is>
          <t>INFO</t>
        </is>
      </c>
      <c r="C55" s="2" t="inlineStr">
        <is>
          <t>Capital Transaction: ADJUSTMENT_OUT of INR 96854.67 logged.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57">
      <c r="A56" s="2" t="inlineStr">
        <is>
          <t>2026-08-06 20:07:38</t>
        </is>
      </c>
      <c r="B56" s="2" t="inlineStr">
        <is>
          <t>INFO</t>
        </is>
      </c>
      <c r="C56" s="2" t="inlineStr">
        <is>
          <t>Recorded buy order: 8 shares of AEROENTER at 132.01 (SWING)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57">
      <c r="A57" s="2" t="inlineStr">
        <is>
          <t>2026-08-06 20:07:46</t>
        </is>
      </c>
      <c r="B57" s="2" t="inlineStr">
        <is>
          <t>INFO</t>
        </is>
      </c>
      <c r="C57" s="2" t="inlineStr">
        <is>
          <t>Capital Transaction: WITHDRAWAL of INR 1.27 logged.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57">
      <c r="A58" s="2" t="inlineStr">
        <is>
          <t>2026-08-06 20:07:56</t>
        </is>
      </c>
      <c r="B58" s="2" t="inlineStr">
        <is>
          <t>INFO</t>
        </is>
      </c>
      <c r="C58" s="2" t="inlineStr">
        <is>
          <t>Recorded buy order: 4 shares of SAPPHIRE at 202.5 (SWING)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57">
      <c r="A59" s="2" t="inlineStr">
        <is>
          <t>2026-08-06 20:08:08</t>
        </is>
      </c>
      <c r="B59" s="2" t="inlineStr">
        <is>
          <t>INFO</t>
        </is>
      </c>
      <c r="C59" s="2" t="inlineStr">
        <is>
          <t>Recorded buy order: 4 shares of IFGLEXPOR at 219.6 (SWING)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57">
      <c r="A60" s="2" t="inlineStr">
        <is>
          <t>2026-08-06 20:08:19</t>
        </is>
      </c>
      <c r="B60" s="2" t="inlineStr">
        <is>
          <t>INFO</t>
        </is>
      </c>
      <c r="C60" s="2" t="inlineStr">
        <is>
          <t>Recorded buy order: 1 shares of TATASTEEL at 192.6 (SWING)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57">
      <c r="A61" s="2" t="inlineStr">
        <is>
          <t>2026-08-06 20:08:27</t>
        </is>
      </c>
      <c r="B61" s="2" t="inlineStr">
        <is>
          <t>INFO</t>
        </is>
      </c>
      <c r="C61" s="2" t="inlineStr">
        <is>
          <t>Capital Transaction: WITHDRAWAL of INR 0.23 logged.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57">
      <c r="A62" s="2" t="inlineStr">
        <is>
          <t>2026-08-06 20:08:39</t>
        </is>
      </c>
      <c r="B62" s="2" t="inlineStr">
        <is>
          <t>INFO</t>
        </is>
      </c>
      <c r="C62" s="2" t="inlineStr">
        <is>
          <t>Closed SWING trade: TATASTEEL exited at 191.65 (LOSS)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57">
      <c r="A63" s="2" t="inlineStr">
        <is>
          <t>2026-08-06 20:08:47</t>
        </is>
      </c>
      <c r="B63" s="2" t="inlineStr">
        <is>
          <t>INFO</t>
        </is>
      </c>
      <c r="C63" s="2" t="inlineStr">
        <is>
          <t>Capital Transaction: WITHDRAWAL of INR 16.13 logged.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57">
      <c r="A64" s="2" t="inlineStr">
        <is>
          <t>2026-08-06 20:13:33</t>
        </is>
      </c>
      <c r="B64" s="2" t="inlineStr">
        <is>
          <t>INFO</t>
        </is>
      </c>
      <c r="C64" s="2" t="inlineStr">
        <is>
          <t>Capital Transaction: ADJUSTMENT_OUT of INR 90323.97 logged.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57">
      <c r="A65" s="2" t="inlineStr">
        <is>
          <t>2026-08-06 21:46:30</t>
        </is>
      </c>
      <c r="B65" s="2" t="inlineStr">
        <is>
          <t>INFO</t>
        </is>
      </c>
      <c r="C65" s="2" t="inlineStr">
        <is>
          <t>Capital Transaction: ADJUSTMENT_OUT of INR 90323.97 logged.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57">
      <c r="A66" s="2" t="inlineStr">
        <is>
          <t>2026-08-06 21:55:30</t>
        </is>
      </c>
      <c r="B66" s="2" t="inlineStr">
        <is>
          <t>INFO</t>
        </is>
      </c>
      <c r="C66" s="2" t="inlineStr">
        <is>
          <t>Capital Transaction: ADJUSTMENT_OUT of INR 90323.97 logged.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57">
      <c r="A67" s="2" t="inlineStr">
        <is>
          <t>2026-08-06 22:04:36</t>
        </is>
      </c>
      <c r="B67" s="2" t="inlineStr">
        <is>
          <t>INFO</t>
        </is>
      </c>
      <c r="C67" s="2" t="inlineStr">
        <is>
          <t>Capital Transaction: ADJUSTMENT_OUT of INR 90323.97 logged.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57">
      <c r="A68" s="2" t="inlineStr">
        <is>
          <t>2026-08-06 22:14:02</t>
        </is>
      </c>
      <c r="B68" s="2" t="inlineStr">
        <is>
          <t>INFO</t>
        </is>
      </c>
      <c r="C68" s="2" t="inlineStr">
        <is>
          <t>Capital Transaction: ADJUSTMENT_OUT of INR 90323.97 logged.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57">
      <c r="A69" s="2" t="inlineStr">
        <is>
          <t>2026-08-10 17:54:34</t>
        </is>
      </c>
      <c r="B69" s="2" t="inlineStr">
        <is>
          <t>INFO</t>
        </is>
      </c>
      <c r="C69" s="2" t="inlineStr">
        <is>
          <t>Closed SWING trade: VISAKAIND exited at 103.24 (WIN)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57">
      <c r="A70" s="2" t="inlineStr">
        <is>
          <t>2026-08-10 17:54:43</t>
        </is>
      </c>
      <c r="B70" s="2" t="inlineStr">
        <is>
          <t>INFO</t>
        </is>
      </c>
      <c r="C70" s="2" t="inlineStr">
        <is>
          <t>Capital Transaction: WITHDRAWAL of INR 16.79 logged.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57">
      <c r="A71" s="2" t="inlineStr">
        <is>
          <t>2026-08-10 17:54:53</t>
        </is>
      </c>
      <c r="B71" s="2" t="inlineStr">
        <is>
          <t>INFO</t>
        </is>
      </c>
      <c r="C71" s="2" t="inlineStr">
        <is>
          <t>Closed SWING trade: SONATSOFTW exited at 316.2 (LOSS)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57">
      <c r="A72" s="2" t="inlineStr">
        <is>
          <t>2026-08-10 17:55:00</t>
        </is>
      </c>
      <c r="B72" s="2" t="inlineStr">
        <is>
          <t>INFO</t>
        </is>
      </c>
      <c r="C72" s="2" t="inlineStr">
        <is>
          <t>Capital Transaction: WITHDRAWAL of INR 16.92 logged.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57">
      <c r="A73" s="2" t="inlineStr">
        <is>
          <t>2026-08-10 17:55:11</t>
        </is>
      </c>
      <c r="B73" s="2" t="inlineStr">
        <is>
          <t>INFO</t>
        </is>
      </c>
      <c r="C73" s="2" t="inlineStr">
        <is>
          <t>Closed SWING trade: EXCELSOFT exited at 77.58 (LOSS)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57">
      <c r="A74" s="2" t="inlineStr">
        <is>
          <t>2026-08-10 17:55:19</t>
        </is>
      </c>
      <c r="B74" s="2" t="inlineStr">
        <is>
          <t>INFO</t>
        </is>
      </c>
      <c r="C74" s="2" t="inlineStr">
        <is>
          <t>Capital Transaction: WITHDRAWAL of INR 16.58 logged.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57">
      <c r="A75" s="2" t="inlineStr">
        <is>
          <t>2026-08-10 17:56:15</t>
        </is>
      </c>
      <c r="B75" s="2" t="inlineStr">
        <is>
          <t>INFO</t>
        </is>
      </c>
      <c r="C75" s="2" t="inlineStr">
        <is>
          <t>Capital Transaction: ADJUSTMENT_OUT of INR 90327.24 logged.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57">
      <c r="A76" s="2" t="inlineStr">
        <is>
          <t>2026-08-12 08:32:37</t>
        </is>
      </c>
      <c r="B76" s="2" t="inlineStr">
        <is>
          <t>INFO</t>
        </is>
      </c>
      <c r="C76" s="2" t="inlineStr">
        <is>
          <t>Recorded buy order: 5 shares of BEL at 405.85 (INTRADAY)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57">
      <c r="A77" s="2" t="inlineStr">
        <is>
          <t>2026-08-12 08:32:47</t>
        </is>
      </c>
      <c r="B77" s="2" t="inlineStr">
        <is>
          <t>INFO</t>
        </is>
      </c>
      <c r="C77" s="2" t="inlineStr">
        <is>
          <t>Capital Transaction: WITHDRAWAL of INR 2.44 logged.</t>
        </is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57">
      <c r="A78" s="2" t="inlineStr">
        <is>
          <t>2026-08-12 10:08:21</t>
        </is>
      </c>
      <c r="B78" s="2" t="inlineStr">
        <is>
          <t>INFO</t>
        </is>
      </c>
      <c r="C78" s="2" t="inlineStr">
        <is>
          <t>Closed SWING trade: SAPPHIRE exited at 236.75 (WIN)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57">
      <c r="A79" s="2" t="inlineStr">
        <is>
          <t>2026-08-12 10:08:32</t>
        </is>
      </c>
      <c r="B79" s="2" t="inlineStr">
        <is>
          <t>INFO</t>
        </is>
      </c>
      <c r="C79" s="2" t="inlineStr">
        <is>
          <t>Capital Transaction: WITHDRAWAL of INR 16.67 logged.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57">
      <c r="A80" s="2" t="inlineStr">
        <is>
          <t>2026-08-12 10:08:45</t>
        </is>
      </c>
      <c r="B80" s="2" t="inlineStr">
        <is>
          <t>INFO</t>
        </is>
      </c>
      <c r="C80" s="2" t="inlineStr">
        <is>
          <t>Recorded buy order: 5 shares of BEL at 405.85 (SWING)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57">
      <c r="A81" s="2" t="inlineStr">
        <is>
          <t>2026-08-12 10:08:59</t>
        </is>
      </c>
      <c r="B81" s="2" t="inlineStr">
        <is>
          <t>INFO</t>
        </is>
      </c>
      <c r="C81" s="2" t="inlineStr">
        <is>
          <t>Recorded buy order: 4 shares of CLEAN at 806.25 (SWING)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57">
      <c r="A82" s="2" t="inlineStr">
        <is>
          <t>2026-08-12 10:09:08</t>
        </is>
      </c>
      <c r="B82" s="2" t="inlineStr">
        <is>
          <t>INFO</t>
        </is>
      </c>
      <c r="C82" s="2" t="inlineStr">
        <is>
          <t>Capital Transaction: WITHDRAWAL of INR 3.87 logged.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57">
      <c r="A83" s="2" t="inlineStr">
        <is>
          <t>2026-08-12 10:09:22</t>
        </is>
      </c>
      <c r="B83" s="2" t="inlineStr">
        <is>
          <t>INFO</t>
        </is>
      </c>
      <c r="C83" s="2" t="inlineStr">
        <is>
          <t>Closed SWING trade: CONFIPET exited at 74.45 (LOSS)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57">
      <c r="A84" s="2" t="inlineStr">
        <is>
          <t>2026-08-12 10:09:30</t>
        </is>
      </c>
      <c r="B84" s="2" t="inlineStr">
        <is>
          <t>INFO</t>
        </is>
      </c>
      <c r="C84" s="2" t="inlineStr">
        <is>
          <t>Capital Transaction: WITHDRAWAL of INR 16.70 logged.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57">
      <c r="A85" s="2" t="inlineStr">
        <is>
          <t>2026-08-12 16:05:31</t>
        </is>
      </c>
      <c r="B85" s="2" t="inlineStr">
        <is>
          <t>INFO</t>
        </is>
      </c>
      <c r="C85" s="2" t="inlineStr">
        <is>
          <t>Closed SWING trade: BEL exited at 399.4 (LOSS)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57">
      <c r="A86" s="2" t="inlineStr">
        <is>
          <t>2026-08-12 16:05:39</t>
        </is>
      </c>
      <c r="B86" s="2" t="inlineStr">
        <is>
          <t>INFO</t>
        </is>
      </c>
      <c r="C86" s="2" t="inlineStr">
        <is>
          <t>Capital Transaction: WITHDRAWAL of INR 18.01 logged.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57">
      <c r="A87" s="2" t="inlineStr">
        <is>
          <t>2026-08-12 16:05:52</t>
        </is>
      </c>
      <c r="B87" s="2" t="inlineStr">
        <is>
          <t>INFO</t>
        </is>
      </c>
      <c r="C87" s="2" t="inlineStr">
        <is>
          <t>Closed SWING trade: BERGEPAINT exited at 561.2 (WIN)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57">
      <c r="A88" s="2" t="inlineStr">
        <is>
          <t>2026-08-12 16:06:01</t>
        </is>
      </c>
      <c r="B88" s="2" t="inlineStr">
        <is>
          <t>INFO</t>
        </is>
      </c>
      <c r="C88" s="2" t="inlineStr">
        <is>
          <t>Capital Transaction: WITHDRAWAL of INR 17.10 logged.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57">
      <c r="A89" s="2" t="inlineStr">
        <is>
          <t>2026-08-12 16:06:14</t>
        </is>
      </c>
      <c r="B89" s="2" t="inlineStr">
        <is>
          <t>INFO</t>
        </is>
      </c>
      <c r="C89" s="2" t="inlineStr">
        <is>
          <t>Closed SWING trade: ADVANCE exited at 118.2425 (LOSS)</t>
        </is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57">
      <c r="A90" s="2" t="inlineStr">
        <is>
          <t>2026-08-12 16:06:23</t>
        </is>
      </c>
      <c r="B90" s="2" t="inlineStr">
        <is>
          <t>INFO</t>
        </is>
      </c>
      <c r="C90" s="2" t="inlineStr">
        <is>
          <t>Capital Transaction: WITHDRAWAL of INR 16.42 logged.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57">
      <c r="A91" s="2" t="inlineStr">
        <is>
          <t>2026-08-13 02:11:46</t>
        </is>
      </c>
      <c r="B91" s="2" t="inlineStr">
        <is>
          <t>INFO</t>
        </is>
      </c>
      <c r="C91" s="2" t="inlineStr">
        <is>
          <t>Recorded buy order: 10 shares of MRPL at 181.14 (SWING)</t>
        </is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57">
      <c r="A92" s="2" t="inlineStr">
        <is>
          <t>2026-08-13 02:11:55</t>
        </is>
      </c>
      <c r="B92" s="2" t="inlineStr">
        <is>
          <t>INFO</t>
        </is>
      </c>
      <c r="C92" s="2" t="inlineStr">
        <is>
          <t>Recorded buy order: 4 shares of LENSKART at 589.2 (SWING)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57">
      <c r="A93" s="2" t="inlineStr">
        <is>
          <t>2026-08-13 02:12:06</t>
        </is>
      </c>
      <c r="B93" s="2" t="inlineStr">
        <is>
          <t>INFO</t>
        </is>
      </c>
      <c r="C93" s="2" t="inlineStr">
        <is>
          <t>Recorded buy order: 4 shares of OIL at 470.35 (SWING)</t>
        </is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57">
      <c r="A94" s="2" t="inlineStr">
        <is>
          <t>2026-08-13 02:12:17</t>
        </is>
      </c>
      <c r="B94" s="2" t="inlineStr">
        <is>
          <t>INFO</t>
        </is>
      </c>
      <c r="C94" s="2" t="inlineStr">
        <is>
          <t>Recorded buy order: 4 shares of AARTIIND at 532.3 (INTRADAY)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57">
      <c r="A95" s="2" t="inlineStr">
        <is>
          <t>2026-08-13 10:32:15</t>
        </is>
      </c>
      <c r="B95" s="2" t="inlineStr">
        <is>
          <t>INFO</t>
        </is>
      </c>
      <c r="C95" s="2" t="inlineStr">
        <is>
          <t>Closed SWING trade: JSWSTEEL exited at 1269.1 (WIN)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57">
      <c r="A96" s="2" t="inlineStr">
        <is>
          <t>2026-08-13 10:32:23</t>
        </is>
      </c>
      <c r="B96" s="2" t="inlineStr">
        <is>
          <t>INFO</t>
        </is>
      </c>
      <c r="C96" s="2" t="inlineStr">
        <is>
          <t>Capital Transaction: WITHDRAWAL of INR 17.25 logged.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57">
      <c r="A97" s="2" t="inlineStr">
        <is>
          <t>2026-08-13 10:32:36</t>
        </is>
      </c>
      <c r="B97" s="2" t="inlineStr">
        <is>
          <t>INFO</t>
        </is>
      </c>
      <c r="C97" s="2" t="inlineStr">
        <is>
          <t>Capital Transaction: WITHDRAWAL of INR 2.10 logged.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57">
      <c r="A98" s="2" t="inlineStr">
        <is>
          <t>2026-08-13 10:32:48</t>
        </is>
      </c>
      <c r="B98" s="2" t="inlineStr">
        <is>
          <t>INFO</t>
        </is>
      </c>
      <c r="C98" s="2" t="inlineStr">
        <is>
          <t>Capital Transaction: WITHDRAWAL of INR 2.90 logged.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57">
      <c r="A99" s="2" t="inlineStr">
        <is>
          <t>2026-08-13 10:33:02</t>
        </is>
      </c>
      <c r="B99" s="2" t="inlineStr">
        <is>
          <t>INFO</t>
        </is>
      </c>
      <c r="C99" s="2" t="inlineStr">
        <is>
          <t>Recorded buy order: 4 shares of AARTIIND at 536 (SWING)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57">
      <c r="A100" s="2" t="inlineStr">
        <is>
          <t>2026-08-13 10:33:11</t>
        </is>
      </c>
      <c r="B100" s="2" t="inlineStr">
        <is>
          <t>INFO</t>
        </is>
      </c>
      <c r="C100" s="2" t="inlineStr">
        <is>
          <t>Capital Transaction: WITHDRAWAL of INR 2.57 logged.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57">
      <c r="A101" s="2" t="inlineStr">
        <is>
          <t>2026-08-13 10:33:22</t>
        </is>
      </c>
      <c r="B101" s="2" t="inlineStr">
        <is>
          <t>INFO</t>
        </is>
      </c>
      <c r="C101" s="2" t="inlineStr">
        <is>
          <t>Capital Transaction: WITHDRAWAL of INR 2.27 logged.</t>
        </is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57">
      <c r="A102" s="2" t="inlineStr">
        <is>
          <t>2026-08-13 10:33:33</t>
        </is>
      </c>
      <c r="B102" s="2" t="inlineStr">
        <is>
          <t>INFO</t>
        </is>
      </c>
      <c r="C102" s="2" t="inlineStr">
        <is>
          <t>Recorded buy order: 2 shares of SCHNEIDER at 1425 (SWING)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57">
      <c r="A103" s="2" t="inlineStr">
        <is>
          <t>2026-08-13 10:33:41</t>
        </is>
      </c>
      <c r="B103" s="2" t="inlineStr">
        <is>
          <t>INFO</t>
        </is>
      </c>
      <c r="C103" s="2" t="inlineStr">
        <is>
          <t>Capital Transaction: WITHDRAWAL of INR 3.42 logged.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57">
      <c r="A104" s="2" t="inlineStr">
        <is>
          <t>2026-08-13 10:33:54</t>
        </is>
      </c>
      <c r="B104" s="2" t="inlineStr">
        <is>
          <t>INFO</t>
        </is>
      </c>
      <c r="C104" s="2" t="inlineStr">
        <is>
          <t>Closed SWING trade: TECHM exited at 1634.7 (WIN)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57">
      <c r="A105" s="2" t="inlineStr">
        <is>
          <t>2026-08-13 10:34:03</t>
        </is>
      </c>
      <c r="B105" s="2" t="inlineStr">
        <is>
          <t>INFO</t>
        </is>
      </c>
      <c r="C105" s="2" t="inlineStr">
        <is>
          <t>Capital Transaction: WITHDRAWAL of INR 17.63 logged.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57">
      <c r="A106" s="2" t="inlineStr">
        <is>
          <t>2026-08-14 03:23:59</t>
        </is>
      </c>
      <c r="B106" s="2" t="inlineStr">
        <is>
          <t>INFO</t>
        </is>
      </c>
      <c r="C106" s="2" t="inlineStr">
        <is>
          <t>Recorded buy order: 10 shares of MRPL at 174.7 (SWING)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57">
      <c r="A107" s="2" t="inlineStr">
        <is>
          <t>2026-08-14 03:24:13</t>
        </is>
      </c>
      <c r="B107" s="2" t="inlineStr">
        <is>
          <t>INFO</t>
        </is>
      </c>
      <c r="C107" s="2" t="inlineStr">
        <is>
          <t>Recorded buy order: 4 shares of LENSKART at 605 (SWING)</t>
        </is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57">
      <c r="A108" s="2" t="inlineStr">
        <is>
          <t>2026-08-14 03:24:27</t>
        </is>
      </c>
      <c r="B108" s="2" t="inlineStr">
        <is>
          <t>INFO</t>
        </is>
      </c>
      <c r="C108" s="2" t="inlineStr">
        <is>
          <t>Recorded buy order: 4 shares of AARTIIND at 536 (SWING)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57">
      <c r="A109" s="2" t="inlineStr">
        <is>
          <t>2026-08-14 03:24:51</t>
        </is>
      </c>
      <c r="B109" s="2" t="inlineStr">
        <is>
          <t>INFO</t>
        </is>
      </c>
      <c r="C109" s="2" t="inlineStr">
        <is>
          <t>Recorded buy order: 4 shares of OIL at 473 (SWING)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57">
      <c r="A110" s="2" t="inlineStr">
        <is>
          <t>2026-08-14 03:25:06</t>
        </is>
      </c>
      <c r="B110" s="2" t="inlineStr">
        <is>
          <t>INFO</t>
        </is>
      </c>
      <c r="C110" s="2" t="inlineStr">
        <is>
          <t>Recorded buy order: 2 shares of SCHNEIDER at 1425 (SWING)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57">
      <c r="A111" s="2" t="inlineStr">
        <is>
          <t>2026-08-14 03:25:28</t>
        </is>
      </c>
      <c r="B111" s="2" t="inlineStr">
        <is>
          <t>INFO</t>
        </is>
      </c>
      <c r="C111" s="2" t="inlineStr">
        <is>
          <t>Closed SWING trade: SCHNEIDER exited at 1401 (LOSS)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57">
      <c r="A112" s="2" t="inlineStr">
        <is>
          <t>2026-08-14 03:25:38</t>
        </is>
      </c>
      <c r="B112" s="2" t="inlineStr">
        <is>
          <t>INFO</t>
        </is>
      </c>
      <c r="C112" s="2" t="inlineStr">
        <is>
          <t>Capital Transaction: WITHDRAWAL of INR 18.84 logged.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57">
      <c r="A113" s="2" t="inlineStr">
        <is>
          <t>2026-08-14 03:25:52</t>
        </is>
      </c>
      <c r="B113" s="2" t="inlineStr">
        <is>
          <t>INFO</t>
        </is>
      </c>
      <c r="C113" s="2" t="inlineStr">
        <is>
          <t>Closed SWING trade: AARTIIND exited at 539.25 (WIN)</t>
        </is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57">
      <c r="A114" s="2" t="inlineStr">
        <is>
          <t>2026-08-14 03:26:02</t>
        </is>
      </c>
      <c r="B114" s="2" t="inlineStr">
        <is>
          <t>INFO</t>
        </is>
      </c>
      <c r="C114" s="2" t="inlineStr">
        <is>
          <t>Capital Transaction: WITHDRAWAL of INR 16.49 logged.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57">
      <c r="A115" s="2" t="inlineStr">
        <is>
          <t>2026-08-14 03:26:16</t>
        </is>
      </c>
      <c r="B115" s="2" t="inlineStr">
        <is>
          <t>INFO</t>
        </is>
      </c>
      <c r="C115" s="2" t="inlineStr">
        <is>
          <t>Capital Transaction: WITHDRAWAL of INR 17.61 logged.</t>
        </is>
      </c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57">
      <c r="A116" s="2" t="inlineStr">
        <is>
          <t>2026-08-14 03:40:34</t>
        </is>
      </c>
      <c r="B116" s="2" t="inlineStr">
        <is>
          <t>INFO</t>
        </is>
      </c>
      <c r="C116" s="2" t="inlineStr">
        <is>
          <t>Updated OPEN trade: MRPL execution price to 174.7 and date to 2026-08-13</t>
        </is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57">
      <c r="A117" s="2" t="inlineStr">
        <is>
          <t>2026-08-14 03:40:43</t>
        </is>
      </c>
      <c r="B117" s="2" t="inlineStr">
        <is>
          <t>INFO</t>
        </is>
      </c>
      <c r="C117" s="2" t="inlineStr">
        <is>
          <t>Updated OPEN trade: LENSKART execution price to 605 and date to 2026-08-13</t>
        </is>
      </c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57">
      <c r="A118" s="2" t="inlineStr">
        <is>
          <t>2026-08-14 03:40:59</t>
        </is>
      </c>
      <c r="B118" s="2" t="inlineStr">
        <is>
          <t>INFO</t>
        </is>
      </c>
      <c r="C118" s="2" t="inlineStr">
        <is>
          <t>Recorded buy order: 4 shares of AARTIIND at 536 (SWING)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57">
      <c r="A119" s="2" t="inlineStr">
        <is>
          <t>2026-08-14 03:41:08</t>
        </is>
      </c>
      <c r="B119" s="2" t="inlineStr">
        <is>
          <t>INFO</t>
        </is>
      </c>
      <c r="C119" s="2" t="inlineStr">
        <is>
          <t>Updated OPEN trade: OIL execution price to 473 and date to 2026-08-13</t>
        </is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57">
      <c r="A120" s="2" t="inlineStr">
        <is>
          <t>2026-08-14 03:41:25</t>
        </is>
      </c>
      <c r="B120" s="2" t="inlineStr">
        <is>
          <t>INFO</t>
        </is>
      </c>
      <c r="C120" s="2" t="inlineStr">
        <is>
          <t>Recorded buy order: 2 shares of SCHNEIDER at 1425 (SWING)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57">
      <c r="A121" s="2" t="inlineStr">
        <is>
          <t>2026-08-14 03:41:45</t>
        </is>
      </c>
      <c r="B121" s="2" t="inlineStr">
        <is>
          <t>INFO</t>
        </is>
      </c>
      <c r="C121" s="2" t="inlineStr">
        <is>
          <t>Closed trade: SCHNEIDER exited at 1401 (LOSS)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57">
      <c r="A122" s="2" t="inlineStr">
        <is>
          <t>2026-08-14 03:42:00</t>
        </is>
      </c>
      <c r="B122" s="2" t="inlineStr">
        <is>
          <t>INFO</t>
        </is>
      </c>
      <c r="C122" s="2" t="inlineStr">
        <is>
          <t>Closed trade: AARTIIND exited at 539.25 (WIN)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57">
      <c r="A123" s="2" t="inlineStr">
        <is>
          <t>2026-08-14 08:10:33</t>
        </is>
      </c>
      <c r="B123" s="2" t="inlineStr">
        <is>
          <t>INFO</t>
        </is>
      </c>
      <c r="C123" s="2" t="inlineStr">
        <is>
          <t>Recorded buy order: 8 shares of JAIBALAJI at 68.87 (SWING)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57">
      <c r="A124" s="2" t="inlineStr">
        <is>
          <t>2026-08-14 08:10:44</t>
        </is>
      </c>
      <c r="B124" s="2" t="inlineStr">
        <is>
          <t>INFO</t>
        </is>
      </c>
      <c r="C124" s="2" t="inlineStr">
        <is>
          <t>Recorded buy order: 10 shares of IOLCP at 166.02 (SWING)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57">
      <c r="A125" s="2" t="inlineStr">
        <is>
          <t>2026-08-14 08:10:55</t>
        </is>
      </c>
      <c r="B125" s="2" t="inlineStr">
        <is>
          <t>INFO</t>
        </is>
      </c>
      <c r="C125" s="2" t="inlineStr">
        <is>
          <t>Recorded buy order: 6 shares of BHARATSE at 245.25 (SWING)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57">
      <c r="A126" s="2" t="inlineStr">
        <is>
          <t>2026-08-18 09:10:44</t>
        </is>
      </c>
      <c r="B126" s="2" t="inlineStr">
        <is>
          <t>INFO</t>
        </is>
      </c>
      <c r="C126" s="2" t="inlineStr">
        <is>
          <t>Updated OPEN trade: GAYAPROJ-BE execution price to 21.8 and date to 2026-08-18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57">
      <c r="A127" s="2" t="inlineStr">
        <is>
          <t>2026-08-18 09:10:54</t>
        </is>
      </c>
      <c r="B127" s="2" t="inlineStr">
        <is>
          <t>INFO</t>
        </is>
      </c>
      <c r="C127" s="2" t="inlineStr">
        <is>
          <t>Capital Transaction: WITHDRAWAL of INR 2.62 logged.</t>
        </is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57">
      <c r="A128" s="2" t="inlineStr">
        <is>
          <t>2026-08-20 12:52:56</t>
        </is>
      </c>
      <c r="B128" s="2" t="inlineStr">
        <is>
          <t>INFO</t>
        </is>
      </c>
      <c r="C128" s="2" t="inlineStr">
        <is>
          <t>Recorded buy order: 4 shares of THELEELA at 539.3 (SWING)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57">
      <c r="A129" s="2" t="inlineStr">
        <is>
          <t>2026-08-20 12:53:08</t>
        </is>
      </c>
      <c r="B129" s="2" t="inlineStr">
        <is>
          <t>INFO</t>
        </is>
      </c>
      <c r="C129" s="2" t="inlineStr">
        <is>
          <t>Capital Transaction: WITHDRAWAL of INR 2.59 logged.</t>
        </is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57">
      <c r="A130" s="2" t="inlineStr">
        <is>
          <t>2026-08-21 08:34:35</t>
        </is>
      </c>
      <c r="B130" s="2" t="inlineStr">
        <is>
          <t>INFO</t>
        </is>
      </c>
      <c r="C130" s="2" t="inlineStr">
        <is>
          <t>Closed trade: BHARATSE exited at 230.26 (loss)</t>
        </is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57">
      <c r="A131" s="2" t="inlineStr">
        <is>
          <t>2026-08-21 08:46:54</t>
        </is>
      </c>
      <c r="B131" s="2" t="inlineStr">
        <is>
          <t>INFO</t>
        </is>
      </c>
      <c r="C131" s="2" t="inlineStr">
        <is>
          <t>Recorded buy order: 2 shares of KFINTECH at 961.0 (SWING)</t>
        </is>
      </c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57">
      <c r="A132" s="2" t="inlineStr">
        <is>
          <t>2026-08-21 08:47:02</t>
        </is>
      </c>
      <c r="B132" s="2" t="inlineStr">
        <is>
          <t>INFO</t>
        </is>
      </c>
      <c r="C132" s="2" t="inlineStr">
        <is>
          <t>Capital Transaction: WITHDRAWAL of INR 2.31 logged.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57">
      <c r="A133" s="2" t="inlineStr">
        <is>
          <t>2026-08-21 08:47:18</t>
        </is>
      </c>
      <c r="B133" s="2" t="inlineStr">
        <is>
          <t>INFO</t>
        </is>
      </c>
      <c r="C133" s="2" t="inlineStr">
        <is>
          <t>Recorded buy order: 10 shares of BOROLTD at 248.11 (SWING)</t>
        </is>
      </c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57">
      <c r="A134" s="2" t="inlineStr">
        <is>
          <t>2026-08-21 15:48:27</t>
        </is>
      </c>
      <c r="B134" s="2" t="inlineStr">
        <is>
          <t>INFO</t>
        </is>
      </c>
      <c r="C134" s="2" t="inlineStr">
        <is>
          <t>Updated OPEN trade: KFINTECH execution price to 963 and date to 2026-08-21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57">
      <c r="A135" s="2" t="inlineStr">
        <is>
          <t>2026-08-21 15:48:38</t>
        </is>
      </c>
      <c r="B135" s="2" t="inlineStr">
        <is>
          <t>INFO</t>
        </is>
      </c>
      <c r="C135" s="2" t="inlineStr">
        <is>
          <t>Capital Transaction: WITHDRAWAL of INR 2.31 logged.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57">
      <c r="A136" s="2" t="inlineStr">
        <is>
          <t>2026-08-21 15:48:45</t>
        </is>
      </c>
      <c r="B136" s="2" t="inlineStr">
        <is>
          <t>INFO</t>
        </is>
      </c>
      <c r="C136" s="2" t="inlineStr">
        <is>
          <t>Updated OPEN trade: BOROLTD execution price to 258 and date to 2026-08-21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57">
      <c r="A137" s="2" t="inlineStr">
        <is>
          <t>2026-08-21 15:48:54</t>
        </is>
      </c>
      <c r="B137" s="2" t="inlineStr">
        <is>
          <t>INFO</t>
        </is>
      </c>
      <c r="C137" s="2" t="inlineStr">
        <is>
          <t>Capital Transaction: WITHDRAWAL of INR 3.10 logged.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57">
      <c r="A138" s="2" t="inlineStr">
        <is>
          <t>2026-08-21 16:03:28</t>
        </is>
      </c>
      <c r="B138" s="2" t="inlineStr">
        <is>
          <t>INFO</t>
        </is>
      </c>
      <c r="C138" s="2" t="inlineStr">
        <is>
          <t>Updated MTM prices for 9 open trades.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5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5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5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5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5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5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5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5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5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5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5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5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5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5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5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5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5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5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5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5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5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5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5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5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5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5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5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5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5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5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5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5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5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5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5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5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5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5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5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5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5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5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5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5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5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5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5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5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5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5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5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5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5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5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5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5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5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5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5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5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5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5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5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5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5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5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5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5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5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5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5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5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5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5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5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5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5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7">
      <c r="A221" s="2" t="n"/>
      <c r="B221" s="2" t="n"/>
      <c r="C221" s="2" t="n"/>
      <c r="D221" s="2" t="n"/>
      <c r="E221" s="2" t="n"/>
      <c r="F221" s="2" t="n"/>
    </row>
    <row r="222" ht="15.75" customHeight="1" s="57">
      <c r="A222" s="2" t="n"/>
      <c r="B222" s="2" t="n"/>
      <c r="C222" s="2" t="n"/>
      <c r="D222" s="2" t="n"/>
      <c r="E222" s="2" t="n"/>
      <c r="F222" s="2" t="n"/>
    </row>
    <row r="223" ht="15.75" customHeight="1" s="57">
      <c r="A223" s="2" t="n"/>
      <c r="B223" s="2" t="n"/>
      <c r="C223" s="2" t="n"/>
      <c r="D223" s="2" t="n"/>
      <c r="E223" s="2" t="n"/>
      <c r="F223" s="2" t="n"/>
    </row>
    <row r="224" ht="15.75" customHeight="1" s="57">
      <c r="A224" s="2" t="n"/>
      <c r="B224" s="2" t="n"/>
      <c r="C224" s="2" t="n"/>
      <c r="D224" s="2" t="n"/>
      <c r="E224" s="2" t="n"/>
      <c r="F224" s="2" t="n"/>
    </row>
    <row r="225" ht="15.75" customHeight="1" s="57">
      <c r="A225" s="2" t="n"/>
      <c r="B225" s="2" t="n"/>
      <c r="C225" s="2" t="n"/>
      <c r="D225" s="2" t="n"/>
      <c r="E225" s="2" t="n"/>
      <c r="F225" s="2" t="n"/>
    </row>
    <row r="226" ht="15.75" customHeight="1" s="57">
      <c r="A226" s="2" t="n"/>
      <c r="B226" s="2" t="n"/>
      <c r="C226" s="2" t="n"/>
      <c r="D226" s="2" t="n"/>
      <c r="E226" s="2" t="n"/>
      <c r="F226" s="2" t="n"/>
    </row>
    <row r="227" ht="15.75" customHeight="1" s="57">
      <c r="A227" s="2" t="n"/>
      <c r="B227" s="2" t="n"/>
      <c r="C227" s="2" t="n"/>
      <c r="D227" s="2" t="n"/>
      <c r="E227" s="2" t="n"/>
      <c r="F227" s="2" t="n"/>
    </row>
    <row r="228" ht="15.75" customHeight="1" s="57">
      <c r="A228" s="2" t="n"/>
      <c r="B228" s="2" t="n"/>
      <c r="C228" s="2" t="n"/>
      <c r="D228" s="2" t="n"/>
      <c r="E228" s="2" t="n"/>
      <c r="F228" s="2" t="n"/>
    </row>
    <row r="229" ht="15.75" customHeight="1" s="57">
      <c r="A229" s="2" t="n"/>
      <c r="B229" s="2" t="n"/>
      <c r="C229" s="2" t="n"/>
      <c r="D229" s="2" t="n"/>
      <c r="E229" s="2" t="n"/>
      <c r="F229" s="2" t="n"/>
    </row>
    <row r="230" ht="15.75" customHeight="1" s="57">
      <c r="A230" s="2" t="n"/>
      <c r="B230" s="2" t="n"/>
      <c r="C230" s="2" t="n"/>
      <c r="D230" s="2" t="n"/>
      <c r="E230" s="2" t="n"/>
      <c r="F230" s="2" t="n"/>
    </row>
    <row r="231" ht="15.75" customHeight="1" s="57">
      <c r="A231" s="2" t="n"/>
      <c r="B231" s="2" t="n"/>
      <c r="C231" s="2" t="n"/>
      <c r="D231" s="2" t="n"/>
      <c r="E231" s="2" t="n"/>
      <c r="F231" s="2" t="n"/>
    </row>
    <row r="232" ht="15.75" customHeight="1" s="57">
      <c r="A232" s="2" t="n"/>
      <c r="B232" s="2" t="n"/>
      <c r="C232" s="2" t="n"/>
      <c r="D232" s="2" t="n"/>
      <c r="E232" s="2" t="n"/>
      <c r="F232" s="2" t="n"/>
    </row>
    <row r="233" ht="15.75" customHeight="1" s="57">
      <c r="A233" s="2" t="n"/>
      <c r="B233" s="2" t="n"/>
      <c r="C233" s="2" t="n"/>
      <c r="D233" s="2" t="n"/>
      <c r="E233" s="2" t="n"/>
      <c r="F233" s="2" t="n"/>
    </row>
    <row r="234" ht="15.75" customHeight="1" s="57">
      <c r="A234" s="2" t="n"/>
      <c r="B234" s="2" t="n"/>
      <c r="C234" s="2" t="n"/>
      <c r="D234" s="2" t="n"/>
      <c r="E234" s="2" t="n"/>
      <c r="F234" s="2" t="n"/>
    </row>
    <row r="235" ht="15.75" customHeight="1" s="57">
      <c r="A235" s="2" t="n"/>
      <c r="B235" s="2" t="n"/>
      <c r="C235" s="2" t="n"/>
      <c r="D235" s="2" t="n"/>
      <c r="E235" s="2" t="n"/>
      <c r="F235" s="2" t="n"/>
    </row>
    <row r="236" ht="15.75" customHeight="1" s="57">
      <c r="A236" s="2" t="n"/>
      <c r="B236" s="2" t="n"/>
      <c r="C236" s="2" t="n"/>
      <c r="D236" s="2" t="n"/>
      <c r="E236" s="2" t="n"/>
      <c r="F236" s="2" t="n"/>
    </row>
    <row r="237" ht="15.75" customHeight="1" s="57">
      <c r="A237" s="2" t="n"/>
      <c r="B237" s="2" t="n"/>
      <c r="C237" s="2" t="n"/>
      <c r="D237" s="2" t="n"/>
      <c r="E237" s="2" t="n"/>
      <c r="F237" s="2" t="n"/>
    </row>
    <row r="238" ht="15.75" customHeight="1" s="57">
      <c r="A238" s="2" t="n"/>
      <c r="B238" s="2" t="n"/>
      <c r="C238" s="2" t="n"/>
      <c r="D238" s="2" t="n"/>
      <c r="E238" s="2" t="n"/>
      <c r="F238" s="2" t="n"/>
    </row>
    <row r="239" ht="15.75" customHeight="1" s="57">
      <c r="A239" s="2" t="n"/>
      <c r="B239" s="2" t="n"/>
      <c r="C239" s="2" t="n"/>
      <c r="D239" s="2" t="n"/>
      <c r="E239" s="2" t="n"/>
      <c r="F239" s="2" t="n"/>
    </row>
    <row r="240" ht="15.75" customHeight="1" s="57">
      <c r="A240" s="2" t="n"/>
      <c r="B240" s="2" t="n"/>
      <c r="C240" s="2" t="n"/>
      <c r="D240" s="2" t="n"/>
      <c r="E240" s="2" t="n"/>
      <c r="F240" s="2" t="n"/>
    </row>
    <row r="241" ht="15.75" customHeight="1" s="57">
      <c r="A241" s="2" t="n"/>
      <c r="B241" s="2" t="n"/>
      <c r="C241" s="2" t="n"/>
      <c r="D241" s="2" t="n"/>
      <c r="E241" s="2" t="n"/>
      <c r="F241" s="2" t="n"/>
    </row>
    <row r="242" ht="15.75" customHeight="1" s="57">
      <c r="A242" s="2" t="n"/>
      <c r="B242" s="2" t="n"/>
      <c r="C242" s="2" t="n"/>
      <c r="D242" s="2" t="n"/>
      <c r="E242" s="2" t="n"/>
      <c r="F242" s="2" t="n"/>
    </row>
    <row r="243" ht="15.75" customHeight="1" s="57">
      <c r="A243" s="2" t="n"/>
      <c r="B243" s="2" t="n"/>
      <c r="C243" s="2" t="n"/>
      <c r="D243" s="2" t="n"/>
      <c r="E243" s="2" t="n"/>
      <c r="F243" s="2" t="n"/>
    </row>
    <row r="244" ht="15.75" customHeight="1" s="57">
      <c r="A244" s="2" t="n"/>
      <c r="B244" s="2" t="n"/>
      <c r="C244" s="2" t="n"/>
      <c r="D244" s="2" t="n"/>
      <c r="E244" s="2" t="n"/>
      <c r="F244" s="2" t="n"/>
    </row>
    <row r="245" ht="15.75" customHeight="1" s="57">
      <c r="A245" s="2" t="n"/>
      <c r="B245" s="2" t="n"/>
      <c r="C245" s="2" t="n"/>
      <c r="D245" s="2" t="n"/>
      <c r="E245" s="2" t="n"/>
      <c r="F245" s="2" t="n"/>
    </row>
    <row r="246" ht="15.75" customHeight="1" s="57">
      <c r="A246" s="2" t="n"/>
      <c r="B246" s="2" t="n"/>
      <c r="C246" s="2" t="n"/>
      <c r="D246" s="2" t="n"/>
      <c r="E246" s="2" t="n"/>
      <c r="F246" s="2" t="n"/>
    </row>
    <row r="247" ht="15.75" customHeight="1" s="57">
      <c r="A247" s="2" t="n"/>
      <c r="B247" s="2" t="n"/>
      <c r="C247" s="2" t="n"/>
      <c r="D247" s="2" t="n"/>
      <c r="E247" s="2" t="n"/>
      <c r="F247" s="2" t="n"/>
    </row>
    <row r="248" ht="15.75" customHeight="1" s="57">
      <c r="A248" s="2" t="n"/>
      <c r="B248" s="2" t="n"/>
      <c r="C248" s="2" t="n"/>
      <c r="D248" s="2" t="n"/>
      <c r="E248" s="2" t="n"/>
      <c r="F248" s="2" t="n"/>
    </row>
    <row r="249" ht="15.75" customHeight="1" s="57">
      <c r="A249" s="2" t="n"/>
      <c r="B249" s="2" t="n"/>
      <c r="C249" s="2" t="n"/>
      <c r="D249" s="2" t="n"/>
      <c r="E249" s="2" t="n"/>
      <c r="F249" s="2" t="n"/>
    </row>
    <row r="250" ht="15.75" customHeight="1" s="57">
      <c r="A250" s="2" t="n"/>
      <c r="B250" s="2" t="n"/>
      <c r="C250" s="2" t="n"/>
      <c r="D250" s="2" t="n"/>
      <c r="E250" s="2" t="n"/>
      <c r="F250" s="2" t="n"/>
    </row>
    <row r="251" ht="15.75" customHeight="1" s="57">
      <c r="A251" s="2" t="n"/>
      <c r="B251" s="2" t="n"/>
      <c r="C251" s="2" t="n"/>
      <c r="D251" s="2" t="n"/>
      <c r="E251" s="2" t="n"/>
      <c r="F251" s="2" t="n"/>
    </row>
    <row r="252" ht="15.75" customHeight="1" s="57">
      <c r="A252" s="2" t="n"/>
      <c r="B252" s="2" t="n"/>
      <c r="C252" s="2" t="n"/>
      <c r="D252" s="2" t="n"/>
      <c r="E252" s="2" t="n"/>
      <c r="F252" s="2" t="n"/>
    </row>
    <row r="253" ht="15.75" customHeight="1" s="57">
      <c r="A253" s="2" t="n"/>
      <c r="B253" s="2" t="n"/>
      <c r="C253" s="2" t="n"/>
      <c r="D253" s="2" t="n"/>
      <c r="E253" s="2" t="n"/>
      <c r="F253" s="2" t="n"/>
    </row>
    <row r="254" ht="15.75" customHeight="1" s="57">
      <c r="A254" s="2" t="n"/>
      <c r="B254" s="2" t="n"/>
      <c r="C254" s="2" t="n"/>
      <c r="D254" s="2" t="n"/>
      <c r="E254" s="2" t="n"/>
      <c r="F254" s="2" t="n"/>
    </row>
    <row r="255" ht="15.75" customHeight="1" s="57">
      <c r="A255" s="2" t="n"/>
      <c r="B255" s="2" t="n"/>
      <c r="C255" s="2" t="n"/>
      <c r="D255" s="2" t="n"/>
      <c r="E255" s="2" t="n"/>
      <c r="F255" s="2" t="n"/>
    </row>
    <row r="256" ht="15.75" customHeight="1" s="57">
      <c r="A256" s="2" t="n"/>
      <c r="B256" s="2" t="n"/>
      <c r="C256" s="2" t="n"/>
      <c r="D256" s="2" t="n"/>
      <c r="E256" s="2" t="n"/>
      <c r="F256" s="2" t="n"/>
    </row>
    <row r="257" ht="15.75" customHeight="1" s="57">
      <c r="A257" s="2" t="n"/>
      <c r="B257" s="2" t="n"/>
      <c r="C257" s="2" t="n"/>
      <c r="D257" s="2" t="n"/>
      <c r="E257" s="2" t="n"/>
      <c r="F257" s="2" t="n"/>
    </row>
    <row r="258" ht="15.75" customHeight="1" s="57">
      <c r="A258" s="2" t="n"/>
      <c r="B258" s="2" t="n"/>
      <c r="C258" s="2" t="n"/>
      <c r="D258" s="2" t="n"/>
      <c r="E258" s="2" t="n"/>
      <c r="F258" s="2" t="n"/>
    </row>
    <row r="259" ht="15.75" customHeight="1" s="57">
      <c r="A259" s="2" t="n"/>
      <c r="B259" s="2" t="n"/>
      <c r="C259" s="2" t="n"/>
      <c r="D259" s="2" t="n"/>
      <c r="E259" s="2" t="n"/>
      <c r="F259" s="2" t="n"/>
    </row>
    <row r="260" ht="15.75" customHeight="1" s="57">
      <c r="A260" s="2" t="n"/>
      <c r="B260" s="2" t="n"/>
      <c r="C260" s="2" t="n"/>
      <c r="D260" s="2" t="n"/>
      <c r="E260" s="2" t="n"/>
      <c r="F260" s="2" t="n"/>
    </row>
    <row r="261" ht="15.75" customHeight="1" s="57">
      <c r="A261" s="2" t="n"/>
      <c r="B261" s="2" t="n"/>
      <c r="C261" s="2" t="n"/>
      <c r="D261" s="2" t="n"/>
      <c r="E261" s="2" t="n"/>
      <c r="F261" s="2" t="n"/>
    </row>
    <row r="262" ht="15.75" customHeight="1" s="57">
      <c r="A262" s="2" t="n"/>
      <c r="B262" s="2" t="n"/>
      <c r="C262" s="2" t="n"/>
      <c r="D262" s="2" t="n"/>
      <c r="E262" s="2" t="n"/>
      <c r="F262" s="2" t="n"/>
    </row>
    <row r="263" ht="15.75" customHeight="1" s="57">
      <c r="A263" s="2" t="n"/>
      <c r="B263" s="2" t="n"/>
      <c r="C263" s="2" t="n"/>
      <c r="D263" s="2" t="n"/>
      <c r="E263" s="2" t="n"/>
      <c r="F263" s="2" t="n"/>
    </row>
    <row r="264" ht="15.75" customHeight="1" s="57">
      <c r="A264" s="2" t="n"/>
      <c r="B264" s="2" t="n"/>
      <c r="C264" s="2" t="n"/>
      <c r="D264" s="2" t="n"/>
      <c r="E264" s="2" t="n"/>
      <c r="F264" s="2" t="n"/>
    </row>
    <row r="265" ht="15.75" customHeight="1" s="57">
      <c r="A265" s="2" t="n"/>
      <c r="B265" s="2" t="n"/>
      <c r="C265" s="2" t="n"/>
      <c r="D265" s="2" t="n"/>
      <c r="E265" s="2" t="n"/>
      <c r="F265" s="2" t="n"/>
    </row>
    <row r="266" ht="15.75" customHeight="1" s="57">
      <c r="A266" s="2" t="n"/>
      <c r="B266" s="2" t="n"/>
      <c r="C266" s="2" t="n"/>
      <c r="D266" s="2" t="n"/>
      <c r="E266" s="2" t="n"/>
      <c r="F266" s="2" t="n"/>
    </row>
    <row r="267" ht="15.75" customHeight="1" s="57">
      <c r="A267" s="2" t="n"/>
      <c r="B267" s="2" t="n"/>
      <c r="C267" s="2" t="n"/>
      <c r="D267" s="2" t="n"/>
      <c r="E267" s="2" t="n"/>
      <c r="F267" s="2" t="n"/>
    </row>
    <row r="268" ht="15.75" customHeight="1" s="57">
      <c r="A268" s="2" t="n"/>
      <c r="B268" s="2" t="n"/>
      <c r="C268" s="2" t="n"/>
      <c r="D268" s="2" t="n"/>
      <c r="E268" s="2" t="n"/>
      <c r="F268" s="2" t="n"/>
    </row>
    <row r="269" ht="15.75" customHeight="1" s="57">
      <c r="A269" s="2" t="n"/>
      <c r="B269" s="2" t="n"/>
      <c r="C269" s="2" t="n"/>
      <c r="D269" s="2" t="n"/>
      <c r="E269" s="2" t="n"/>
      <c r="F269" s="2" t="n"/>
    </row>
    <row r="270" ht="15.75" customHeight="1" s="57">
      <c r="A270" s="2" t="n"/>
      <c r="B270" s="2" t="n"/>
      <c r="C270" s="2" t="n"/>
      <c r="D270" s="2" t="n"/>
      <c r="E270" s="2" t="n"/>
      <c r="F270" s="2" t="n"/>
    </row>
    <row r="271" ht="15.75" customHeight="1" s="57">
      <c r="A271" s="2" t="n"/>
      <c r="B271" s="2" t="n"/>
      <c r="C271" s="2" t="n"/>
      <c r="D271" s="2" t="n"/>
      <c r="E271" s="2" t="n"/>
      <c r="F271" s="2" t="n"/>
    </row>
    <row r="272" ht="15.75" customHeight="1" s="57">
      <c r="A272" s="2" t="n"/>
      <c r="B272" s="2" t="n"/>
      <c r="C272" s="2" t="n"/>
      <c r="D272" s="2" t="n"/>
      <c r="E272" s="2" t="n"/>
      <c r="F272" s="2" t="n"/>
    </row>
    <row r="273" ht="15.75" customHeight="1" s="57">
      <c r="A273" s="2" t="n"/>
      <c r="B273" s="2" t="n"/>
      <c r="C273" s="2" t="n"/>
      <c r="D273" s="2" t="n"/>
      <c r="E273" s="2" t="n"/>
      <c r="F273" s="2" t="n"/>
    </row>
    <row r="274" ht="15.75" customHeight="1" s="57">
      <c r="A274" s="2" t="n"/>
      <c r="B274" s="2" t="n"/>
      <c r="C274" s="2" t="n"/>
      <c r="D274" s="2" t="n"/>
      <c r="E274" s="2" t="n"/>
      <c r="F274" s="2" t="n"/>
    </row>
    <row r="275" ht="15.75" customHeight="1" s="57">
      <c r="A275" s="2" t="n"/>
      <c r="B275" s="2" t="n"/>
      <c r="C275" s="2" t="n"/>
      <c r="D275" s="2" t="n"/>
      <c r="E275" s="2" t="n"/>
      <c r="F275" s="2" t="n"/>
    </row>
    <row r="276" ht="15.75" customHeight="1" s="57">
      <c r="A276" s="2" t="n"/>
      <c r="B276" s="2" t="n"/>
      <c r="C276" s="2" t="n"/>
      <c r="D276" s="2" t="n"/>
      <c r="E276" s="2" t="n"/>
      <c r="F276" s="2" t="n"/>
    </row>
    <row r="277" ht="15.75" customHeight="1" s="57">
      <c r="A277" s="2" t="n"/>
      <c r="B277" s="2" t="n"/>
      <c r="C277" s="2" t="n"/>
      <c r="D277" s="2" t="n"/>
      <c r="E277" s="2" t="n"/>
      <c r="F277" s="2" t="n"/>
    </row>
    <row r="278" ht="15.75" customHeight="1" s="57">
      <c r="A278" s="2" t="n"/>
      <c r="B278" s="2" t="n"/>
      <c r="C278" s="2" t="n"/>
      <c r="D278" s="2" t="n"/>
      <c r="E278" s="2" t="n"/>
      <c r="F278" s="2" t="n"/>
    </row>
    <row r="279" ht="15.75" customHeight="1" s="57">
      <c r="A279" s="2" t="n"/>
      <c r="B279" s="2" t="n"/>
      <c r="C279" s="2" t="n"/>
      <c r="D279" s="2" t="n"/>
      <c r="E279" s="2" t="n"/>
      <c r="F279" s="2" t="n"/>
    </row>
    <row r="280" ht="15.75" customHeight="1" s="57">
      <c r="A280" s="2" t="n"/>
      <c r="B280" s="2" t="n"/>
      <c r="C280" s="2" t="n"/>
      <c r="D280" s="2" t="n"/>
      <c r="E280" s="2" t="n"/>
      <c r="F280" s="2" t="n"/>
    </row>
    <row r="281" ht="15.75" customHeight="1" s="57">
      <c r="A281" s="2" t="n"/>
      <c r="B281" s="2" t="n"/>
      <c r="C281" s="2" t="n"/>
      <c r="D281" s="2" t="n"/>
      <c r="E281" s="2" t="n"/>
      <c r="F281" s="2" t="n"/>
    </row>
    <row r="282" ht="15.75" customHeight="1" s="57">
      <c r="A282" s="2" t="n"/>
      <c r="B282" s="2" t="n"/>
      <c r="C282" s="2" t="n"/>
      <c r="D282" s="2" t="n"/>
      <c r="E282" s="2" t="n"/>
      <c r="F282" s="2" t="n"/>
    </row>
    <row r="283" ht="15.75" customHeight="1" s="57">
      <c r="A283" s="2" t="n"/>
      <c r="B283" s="2" t="n"/>
      <c r="C283" s="2" t="n"/>
      <c r="D283" s="2" t="n"/>
      <c r="E283" s="2" t="n"/>
      <c r="F283" s="2" t="n"/>
    </row>
    <row r="284" ht="15.75" customHeight="1" s="57">
      <c r="A284" s="2" t="n"/>
      <c r="B284" s="2" t="n"/>
      <c r="C284" s="2" t="n"/>
      <c r="D284" s="2" t="n"/>
      <c r="E284" s="2" t="n"/>
      <c r="F284" s="2" t="n"/>
    </row>
    <row r="285" ht="15.75" customHeight="1" s="57">
      <c r="A285" s="2" t="n"/>
      <c r="B285" s="2" t="n"/>
      <c r="C285" s="2" t="n"/>
      <c r="D285" s="2" t="n"/>
      <c r="E285" s="2" t="n"/>
      <c r="F285" s="2" t="n"/>
    </row>
    <row r="286" ht="15.75" customHeight="1" s="57">
      <c r="A286" s="2" t="n"/>
      <c r="B286" s="2" t="n"/>
      <c r="C286" s="2" t="n"/>
      <c r="D286" s="2" t="n"/>
      <c r="E286" s="2" t="n"/>
      <c r="F286" s="2" t="n"/>
    </row>
    <row r="287" ht="15.75" customHeight="1" s="57">
      <c r="A287" s="2" t="n"/>
      <c r="B287" s="2" t="n"/>
      <c r="C287" s="2" t="n"/>
      <c r="D287" s="2" t="n"/>
      <c r="E287" s="2" t="n"/>
      <c r="F287" s="2" t="n"/>
    </row>
    <row r="288" ht="15.75" customHeight="1" s="57">
      <c r="A288" s="2" t="n"/>
      <c r="B288" s="2" t="n"/>
      <c r="C288" s="2" t="n"/>
      <c r="D288" s="2" t="n"/>
      <c r="E288" s="2" t="n"/>
      <c r="F288" s="2" t="n"/>
    </row>
    <row r="289" ht="15.75" customHeight="1" s="57">
      <c r="A289" s="2" t="n"/>
      <c r="B289" s="2" t="n"/>
      <c r="C289" s="2" t="n"/>
      <c r="D289" s="2" t="n"/>
      <c r="E289" s="2" t="n"/>
      <c r="F289" s="2" t="n"/>
    </row>
    <row r="290" ht="15.75" customHeight="1" s="57">
      <c r="A290" s="2" t="n"/>
      <c r="B290" s="2" t="n"/>
      <c r="C290" s="2" t="n"/>
      <c r="D290" s="2" t="n"/>
      <c r="E290" s="2" t="n"/>
      <c r="F290" s="2" t="n"/>
    </row>
    <row r="291" ht="15.75" customHeight="1" s="57">
      <c r="A291" s="2" t="n"/>
      <c r="B291" s="2" t="n"/>
      <c r="C291" s="2" t="n"/>
      <c r="D291" s="2" t="n"/>
      <c r="E291" s="2" t="n"/>
      <c r="F291" s="2" t="n"/>
    </row>
    <row r="292" ht="15.75" customHeight="1" s="57">
      <c r="A292" s="2" t="n"/>
      <c r="B292" s="2" t="n"/>
      <c r="C292" s="2" t="n"/>
      <c r="D292" s="2" t="n"/>
      <c r="E292" s="2" t="n"/>
      <c r="F292" s="2" t="n"/>
    </row>
    <row r="293" ht="15.75" customHeight="1" s="57">
      <c r="A293" s="2" t="n"/>
      <c r="B293" s="2" t="n"/>
      <c r="C293" s="2" t="n"/>
      <c r="D293" s="2" t="n"/>
      <c r="E293" s="2" t="n"/>
      <c r="F293" s="2" t="n"/>
    </row>
    <row r="294" ht="15.75" customHeight="1" s="57">
      <c r="A294" s="2" t="n"/>
      <c r="B294" s="2" t="n"/>
      <c r="C294" s="2" t="n"/>
      <c r="D294" s="2" t="n"/>
      <c r="E294" s="2" t="n"/>
      <c r="F294" s="2" t="n"/>
    </row>
    <row r="295" ht="15.75" customHeight="1" s="57">
      <c r="A295" s="2" t="n"/>
      <c r="B295" s="2" t="n"/>
      <c r="C295" s="2" t="n"/>
      <c r="D295" s="2" t="n"/>
      <c r="E295" s="2" t="n"/>
      <c r="F295" s="2" t="n"/>
    </row>
    <row r="296" ht="15.75" customHeight="1" s="57">
      <c r="A296" s="2" t="n"/>
      <c r="B296" s="2" t="n"/>
      <c r="C296" s="2" t="n"/>
      <c r="D296" s="2" t="n"/>
      <c r="E296" s="2" t="n"/>
      <c r="F296" s="2" t="n"/>
    </row>
    <row r="297" ht="15.75" customHeight="1" s="57">
      <c r="A297" s="2" t="n"/>
      <c r="B297" s="2" t="n"/>
      <c r="C297" s="2" t="n"/>
      <c r="D297" s="2" t="n"/>
      <c r="E297" s="2" t="n"/>
      <c r="F297" s="2" t="n"/>
    </row>
    <row r="298" ht="15.75" customHeight="1" s="57">
      <c r="A298" s="2" t="n"/>
      <c r="B298" s="2" t="n"/>
      <c r="C298" s="2" t="n"/>
      <c r="D298" s="2" t="n"/>
      <c r="E298" s="2" t="n"/>
      <c r="F298" s="2" t="n"/>
    </row>
    <row r="299" ht="15.75" customHeight="1" s="57">
      <c r="A299" s="2" t="n"/>
      <c r="B299" s="2" t="n"/>
      <c r="C299" s="2" t="n"/>
      <c r="D299" s="2" t="n"/>
      <c r="E299" s="2" t="n"/>
      <c r="F299" s="2" t="n"/>
    </row>
    <row r="300" ht="15.75" customHeight="1" s="57">
      <c r="A300" s="2" t="n"/>
      <c r="B300" s="2" t="n"/>
      <c r="C300" s="2" t="n"/>
      <c r="D300" s="2" t="n"/>
      <c r="E300" s="2" t="n"/>
      <c r="F300" s="2" t="n"/>
    </row>
    <row r="301" ht="15.75" customHeight="1" s="57">
      <c r="A301" s="2" t="n"/>
      <c r="B301" s="2" t="n"/>
      <c r="C301" s="2" t="n"/>
      <c r="D301" s="2" t="n"/>
      <c r="E301" s="2" t="n"/>
      <c r="F301" s="2" t="n"/>
    </row>
    <row r="302" ht="15.75" customHeight="1" s="57">
      <c r="A302" s="2" t="n"/>
      <c r="B302" s="2" t="n"/>
      <c r="C302" s="2" t="n"/>
      <c r="D302" s="2" t="n"/>
      <c r="E302" s="2" t="n"/>
      <c r="F302" s="2" t="n"/>
    </row>
    <row r="303" ht="15.75" customHeight="1" s="57">
      <c r="A303" s="2" t="n"/>
      <c r="B303" s="2" t="n"/>
      <c r="C303" s="2" t="n"/>
      <c r="D303" s="2" t="n"/>
      <c r="E303" s="2" t="n"/>
      <c r="F303" s="2" t="n"/>
    </row>
    <row r="304" ht="15.75" customHeight="1" s="57">
      <c r="A304" s="2" t="n"/>
      <c r="B304" s="2" t="n"/>
      <c r="C304" s="2" t="n"/>
      <c r="D304" s="2" t="n"/>
      <c r="E304" s="2" t="n"/>
      <c r="F304" s="2" t="n"/>
    </row>
    <row r="305" ht="15.75" customHeight="1" s="57">
      <c r="A305" s="2" t="n"/>
      <c r="B305" s="2" t="n"/>
      <c r="C305" s="2" t="n"/>
      <c r="D305" s="2" t="n"/>
      <c r="E305" s="2" t="n"/>
      <c r="F305" s="2" t="n"/>
    </row>
    <row r="306" ht="15.75" customHeight="1" s="57">
      <c r="A306" s="2" t="n"/>
      <c r="B306" s="2" t="n"/>
      <c r="C306" s="2" t="n"/>
      <c r="D306" s="2" t="n"/>
      <c r="E306" s="2" t="n"/>
      <c r="F306" s="2" t="n"/>
    </row>
    <row r="307" ht="15.75" customHeight="1" s="57">
      <c r="A307" s="2" t="n"/>
      <c r="B307" s="2" t="n"/>
      <c r="C307" s="2" t="n"/>
      <c r="D307" s="2" t="n"/>
      <c r="E307" s="2" t="n"/>
      <c r="F307" s="2" t="n"/>
    </row>
    <row r="308" ht="15.75" customHeight="1" s="57">
      <c r="A308" s="2" t="n"/>
      <c r="B308" s="2" t="n"/>
      <c r="C308" s="2" t="n"/>
      <c r="D308" s="2" t="n"/>
      <c r="E308" s="2" t="n"/>
      <c r="F308" s="2" t="n"/>
    </row>
    <row r="309" ht="15.75" customHeight="1" s="57">
      <c r="A309" s="2" t="n"/>
      <c r="B309" s="2" t="n"/>
      <c r="C309" s="2" t="n"/>
      <c r="D309" s="2" t="n"/>
      <c r="E309" s="2" t="n"/>
      <c r="F309" s="2" t="n"/>
    </row>
    <row r="310" ht="15.75" customHeight="1" s="57">
      <c r="A310" s="2" t="n"/>
      <c r="B310" s="2" t="n"/>
      <c r="C310" s="2" t="n"/>
      <c r="D310" s="2" t="n"/>
      <c r="E310" s="2" t="n"/>
      <c r="F310" s="2" t="n"/>
    </row>
    <row r="311" ht="15.75" customHeight="1" s="57">
      <c r="A311" s="2" t="n"/>
      <c r="B311" s="2" t="n"/>
      <c r="C311" s="2" t="n"/>
      <c r="D311" s="2" t="n"/>
      <c r="E311" s="2" t="n"/>
      <c r="F311" s="2" t="n"/>
    </row>
    <row r="312" ht="15.75" customHeight="1" s="57">
      <c r="A312" s="2" t="n"/>
      <c r="B312" s="2" t="n"/>
      <c r="C312" s="2" t="n"/>
      <c r="D312" s="2" t="n"/>
      <c r="E312" s="2" t="n"/>
      <c r="F312" s="2" t="n"/>
    </row>
    <row r="313" ht="15.75" customHeight="1" s="57">
      <c r="A313" s="2" t="n"/>
      <c r="B313" s="2" t="n"/>
      <c r="C313" s="2" t="n"/>
      <c r="D313" s="2" t="n"/>
      <c r="E313" s="2" t="n"/>
      <c r="F313" s="2" t="n"/>
    </row>
    <row r="314" ht="15.75" customHeight="1" s="57">
      <c r="A314" s="2" t="n"/>
      <c r="B314" s="2" t="n"/>
      <c r="C314" s="2" t="n"/>
      <c r="D314" s="2" t="n"/>
      <c r="E314" s="2" t="n"/>
      <c r="F314" s="2" t="n"/>
    </row>
    <row r="315" ht="15.75" customHeight="1" s="57">
      <c r="A315" s="2" t="n"/>
      <c r="B315" s="2" t="n"/>
      <c r="C315" s="2" t="n"/>
      <c r="D315" s="2" t="n"/>
      <c r="E315" s="2" t="n"/>
      <c r="F315" s="2" t="n"/>
    </row>
    <row r="316" ht="15.75" customHeight="1" s="57">
      <c r="A316" s="2" t="n"/>
      <c r="B316" s="2" t="n"/>
      <c r="C316" s="2" t="n"/>
      <c r="D316" s="2" t="n"/>
      <c r="E316" s="2" t="n"/>
      <c r="F316" s="2" t="n"/>
    </row>
    <row r="317" ht="15.75" customHeight="1" s="57">
      <c r="A317" s="2" t="n"/>
      <c r="B317" s="2" t="n"/>
      <c r="C317" s="2" t="n"/>
      <c r="D317" s="2" t="n"/>
      <c r="E317" s="2" t="n"/>
      <c r="F317" s="2" t="n"/>
    </row>
    <row r="318" ht="15.75" customHeight="1" s="57">
      <c r="A318" s="2" t="n"/>
      <c r="B318" s="2" t="n"/>
      <c r="C318" s="2" t="n"/>
      <c r="D318" s="2" t="n"/>
      <c r="E318" s="2" t="n"/>
      <c r="F318" s="2" t="n"/>
    </row>
    <row r="319" ht="15.75" customHeight="1" s="57">
      <c r="A319" s="2" t="n"/>
      <c r="B319" s="2" t="n"/>
      <c r="C319" s="2" t="n"/>
      <c r="D319" s="2" t="n"/>
      <c r="E319" s="2" t="n"/>
      <c r="F319" s="2" t="n"/>
    </row>
    <row r="320" ht="15.75" customHeight="1" s="57">
      <c r="A320" s="2" t="n"/>
      <c r="B320" s="2" t="n"/>
      <c r="C320" s="2" t="n"/>
      <c r="D320" s="2" t="n"/>
      <c r="E320" s="2" t="n"/>
      <c r="F320" s="2" t="n"/>
    </row>
    <row r="321" ht="15.75" customHeight="1" s="57">
      <c r="A321" s="2" t="n"/>
      <c r="B321" s="2" t="n"/>
      <c r="C321" s="2" t="n"/>
      <c r="D321" s="2" t="n"/>
      <c r="E321" s="2" t="n"/>
      <c r="F321" s="2" t="n"/>
    </row>
    <row r="322" ht="15.75" customHeight="1" s="57">
      <c r="A322" s="2" t="n"/>
      <c r="B322" s="2" t="n"/>
      <c r="C322" s="2" t="n"/>
      <c r="D322" s="2" t="n"/>
      <c r="E322" s="2" t="n"/>
      <c r="F322" s="2" t="n"/>
    </row>
    <row r="323" ht="15.75" customHeight="1" s="57">
      <c r="A323" s="2" t="n"/>
      <c r="B323" s="2" t="n"/>
      <c r="C323" s="2" t="n"/>
      <c r="D323" s="2" t="n"/>
      <c r="E323" s="2" t="n"/>
      <c r="F323" s="2" t="n"/>
    </row>
    <row r="324" ht="15.75" customHeight="1" s="57">
      <c r="A324" s="2" t="n"/>
      <c r="B324" s="2" t="n"/>
      <c r="C324" s="2" t="n"/>
      <c r="D324" s="2" t="n"/>
      <c r="E324" s="2" t="n"/>
      <c r="F324" s="2" t="n"/>
    </row>
    <row r="325" ht="15.75" customHeight="1" s="57">
      <c r="A325" s="2" t="n"/>
      <c r="B325" s="2" t="n"/>
      <c r="C325" s="2" t="n"/>
      <c r="D325" s="2" t="n"/>
      <c r="E325" s="2" t="n"/>
      <c r="F325" s="2" t="n"/>
    </row>
    <row r="326" ht="15.75" customHeight="1" s="57">
      <c r="A326" s="2" t="n"/>
      <c r="B326" s="2" t="n"/>
      <c r="C326" s="2" t="n"/>
      <c r="D326" s="2" t="n"/>
      <c r="E326" s="2" t="n"/>
      <c r="F326" s="2" t="n"/>
    </row>
    <row r="327" ht="15.75" customHeight="1" s="57">
      <c r="A327" s="2" t="n"/>
      <c r="B327" s="2" t="n"/>
      <c r="C327" s="2" t="n"/>
      <c r="D327" s="2" t="n"/>
      <c r="E327" s="2" t="n"/>
      <c r="F327" s="2" t="n"/>
    </row>
    <row r="328" ht="15.75" customHeight="1" s="57">
      <c r="A328" s="2" t="n"/>
      <c r="B328" s="2" t="n"/>
      <c r="C328" s="2" t="n"/>
      <c r="D328" s="2" t="n"/>
      <c r="E328" s="2" t="n"/>
      <c r="F328" s="2" t="n"/>
    </row>
    <row r="329" ht="15.75" customHeight="1" s="57">
      <c r="A329" s="2" t="n"/>
      <c r="B329" s="2" t="n"/>
      <c r="C329" s="2" t="n"/>
      <c r="D329" s="2" t="n"/>
      <c r="E329" s="2" t="n"/>
      <c r="F329" s="2" t="n"/>
    </row>
    <row r="330" ht="15.75" customHeight="1" s="57">
      <c r="A330" s="2" t="n"/>
      <c r="B330" s="2" t="n"/>
      <c r="C330" s="2" t="n"/>
      <c r="D330" s="2" t="n"/>
      <c r="E330" s="2" t="n"/>
      <c r="F330" s="2" t="n"/>
    </row>
    <row r="331" ht="15.75" customHeight="1" s="57">
      <c r="A331" s="2" t="n"/>
      <c r="B331" s="2" t="n"/>
      <c r="C331" s="2" t="n"/>
      <c r="D331" s="2" t="n"/>
      <c r="E331" s="2" t="n"/>
      <c r="F331" s="2" t="n"/>
    </row>
    <row r="332" ht="15.75" customHeight="1" s="57">
      <c r="A332" s="2" t="n"/>
      <c r="B332" s="2" t="n"/>
      <c r="C332" s="2" t="n"/>
      <c r="D332" s="2" t="n"/>
      <c r="E332" s="2" t="n"/>
      <c r="F332" s="2" t="n"/>
    </row>
    <row r="333" ht="15.75" customHeight="1" s="57">
      <c r="A333" s="2" t="n"/>
      <c r="B333" s="2" t="n"/>
      <c r="C333" s="2" t="n"/>
      <c r="D333" s="2" t="n"/>
      <c r="E333" s="2" t="n"/>
      <c r="F333" s="2" t="n"/>
    </row>
    <row r="334" ht="15.75" customHeight="1" s="57">
      <c r="A334" s="2" t="n"/>
      <c r="B334" s="2" t="n"/>
      <c r="C334" s="2" t="n"/>
      <c r="D334" s="2" t="n"/>
      <c r="E334" s="2" t="n"/>
      <c r="F334" s="2" t="n"/>
    </row>
    <row r="335" ht="15.75" customHeight="1" s="57">
      <c r="A335" s="2" t="n"/>
      <c r="B335" s="2" t="n"/>
      <c r="C335" s="2" t="n"/>
      <c r="D335" s="2" t="n"/>
      <c r="E335" s="2" t="n"/>
      <c r="F335" s="2" t="n"/>
    </row>
    <row r="336" ht="15.75" customHeight="1" s="57">
      <c r="A336" s="2" t="n"/>
      <c r="B336" s="2" t="n"/>
      <c r="C336" s="2" t="n"/>
      <c r="D336" s="2" t="n"/>
      <c r="E336" s="2" t="n"/>
      <c r="F336" s="2" t="n"/>
    </row>
    <row r="337" ht="15.75" customHeight="1" s="57">
      <c r="A337" s="2" t="n"/>
      <c r="B337" s="2" t="n"/>
      <c r="C337" s="2" t="n"/>
      <c r="D337" s="2" t="n"/>
      <c r="E337" s="2" t="n"/>
      <c r="F337" s="2" t="n"/>
    </row>
    <row r="338" ht="15.75" customHeight="1" s="57">
      <c r="A338" s="2" t="n"/>
      <c r="B338" s="2" t="n"/>
      <c r="C338" s="2" t="n"/>
      <c r="D338" s="2" t="n"/>
      <c r="E338" s="2" t="n"/>
      <c r="F338" s="2" t="n"/>
    </row>
    <row r="339" ht="15.75" customHeight="1" s="57">
      <c r="A339" s="2" t="n"/>
      <c r="B339" s="2" t="n"/>
      <c r="C339" s="2" t="n"/>
      <c r="D339" s="2" t="n"/>
      <c r="E339" s="2" t="n"/>
      <c r="F339" s="2" t="n"/>
    </row>
    <row r="340" ht="15.75" customHeight="1" s="57">
      <c r="A340" s="2" t="n"/>
      <c r="B340" s="2" t="n"/>
      <c r="C340" s="2" t="n"/>
      <c r="D340" s="2" t="n"/>
      <c r="E340" s="2" t="n"/>
      <c r="F340" s="2" t="n"/>
    </row>
    <row r="341" ht="15.75" customHeight="1" s="57">
      <c r="A341" s="2" t="n"/>
      <c r="B341" s="2" t="n"/>
      <c r="C341" s="2" t="n"/>
      <c r="D341" s="2" t="n"/>
      <c r="E341" s="2" t="n"/>
      <c r="F341" s="2" t="n"/>
    </row>
    <row r="342" ht="15.75" customHeight="1" s="57">
      <c r="A342" s="2" t="n"/>
      <c r="B342" s="2" t="n"/>
      <c r="C342" s="2" t="n"/>
      <c r="D342" s="2" t="n"/>
      <c r="E342" s="2" t="n"/>
      <c r="F342" s="2" t="n"/>
    </row>
    <row r="343" ht="15.75" customHeight="1" s="57">
      <c r="A343" s="2" t="n"/>
      <c r="B343" s="2" t="n"/>
      <c r="C343" s="2" t="n"/>
      <c r="D343" s="2" t="n"/>
      <c r="E343" s="2" t="n"/>
      <c r="F343" s="2" t="n"/>
    </row>
    <row r="344" ht="15.75" customHeight="1" s="57">
      <c r="A344" s="2" t="n"/>
      <c r="B344" s="2" t="n"/>
      <c r="C344" s="2" t="n"/>
      <c r="D344" s="2" t="n"/>
      <c r="E344" s="2" t="n"/>
      <c r="F344" s="2" t="n"/>
    </row>
    <row r="345" ht="15.75" customHeight="1" s="57">
      <c r="A345" s="2" t="n"/>
      <c r="B345" s="2" t="n"/>
      <c r="C345" s="2" t="n"/>
      <c r="D345" s="2" t="n"/>
      <c r="E345" s="2" t="n"/>
      <c r="F345" s="2" t="n"/>
    </row>
    <row r="346" ht="15.75" customHeight="1" s="57">
      <c r="A346" s="2" t="n"/>
      <c r="B346" s="2" t="n"/>
      <c r="C346" s="2" t="n"/>
      <c r="D346" s="2" t="n"/>
      <c r="E346" s="2" t="n"/>
      <c r="F346" s="2" t="n"/>
    </row>
    <row r="347" ht="15.75" customHeight="1" s="57">
      <c r="A347" s="2" t="n"/>
      <c r="B347" s="2" t="n"/>
      <c r="C347" s="2" t="n"/>
      <c r="D347" s="2" t="n"/>
      <c r="E347" s="2" t="n"/>
      <c r="F347" s="2" t="n"/>
    </row>
    <row r="348" ht="15.75" customHeight="1" s="57">
      <c r="A348" s="2" t="n"/>
      <c r="B348" s="2" t="n"/>
      <c r="C348" s="2" t="n"/>
      <c r="D348" s="2" t="n"/>
      <c r="E348" s="2" t="n"/>
      <c r="F348" s="2" t="n"/>
    </row>
    <row r="349" ht="15.75" customHeight="1" s="57">
      <c r="A349" s="2" t="n"/>
      <c r="B349" s="2" t="n"/>
      <c r="C349" s="2" t="n"/>
      <c r="D349" s="2" t="n"/>
      <c r="E349" s="2" t="n"/>
      <c r="F349" s="2" t="n"/>
    </row>
    <row r="350" ht="15.75" customHeight="1" s="57">
      <c r="A350" s="2" t="n"/>
      <c r="B350" s="2" t="n"/>
      <c r="C350" s="2" t="n"/>
      <c r="D350" s="2" t="n"/>
      <c r="E350" s="2" t="n"/>
      <c r="F350" s="2" t="n"/>
    </row>
    <row r="351" ht="15.75" customHeight="1" s="57">
      <c r="A351" s="2" t="n"/>
      <c r="B351" s="2" t="n"/>
      <c r="C351" s="2" t="n"/>
      <c r="D351" s="2" t="n"/>
      <c r="E351" s="2" t="n"/>
      <c r="F351" s="2" t="n"/>
    </row>
    <row r="352" ht="15.75" customHeight="1" s="57">
      <c r="A352" s="2" t="n"/>
      <c r="B352" s="2" t="n"/>
      <c r="C352" s="2" t="n"/>
      <c r="D352" s="2" t="n"/>
      <c r="E352" s="2" t="n"/>
      <c r="F352" s="2" t="n"/>
    </row>
    <row r="353" ht="15.75" customHeight="1" s="57">
      <c r="A353" s="2" t="n"/>
      <c r="B353" s="2" t="n"/>
      <c r="C353" s="2" t="n"/>
      <c r="D353" s="2" t="n"/>
      <c r="E353" s="2" t="n"/>
      <c r="F353" s="2" t="n"/>
    </row>
    <row r="354" ht="15.75" customHeight="1" s="57">
      <c r="A354" s="2" t="n"/>
      <c r="B354" s="2" t="n"/>
      <c r="C354" s="2" t="n"/>
      <c r="D354" s="2" t="n"/>
      <c r="E354" s="2" t="n"/>
      <c r="F354" s="2" t="n"/>
    </row>
    <row r="355" ht="15.75" customHeight="1" s="57">
      <c r="A355" s="2" t="n"/>
      <c r="B355" s="2" t="n"/>
      <c r="C355" s="2" t="n"/>
      <c r="D355" s="2" t="n"/>
      <c r="E355" s="2" t="n"/>
      <c r="F355" s="2" t="n"/>
    </row>
    <row r="356" ht="15.75" customHeight="1" s="57">
      <c r="A356" s="2" t="n"/>
      <c r="B356" s="2" t="n"/>
      <c r="C356" s="2" t="n"/>
      <c r="D356" s="2" t="n"/>
      <c r="E356" s="2" t="n"/>
      <c r="F356" s="2" t="n"/>
    </row>
    <row r="357" ht="15.75" customHeight="1" s="57">
      <c r="A357" s="2" t="n"/>
      <c r="B357" s="2" t="n"/>
      <c r="C357" s="2" t="n"/>
      <c r="D357" s="2" t="n"/>
      <c r="E357" s="2" t="n"/>
      <c r="F357" s="2" t="n"/>
    </row>
    <row r="358" ht="15.75" customHeight="1" s="57">
      <c r="A358" s="2" t="n"/>
      <c r="B358" s="2" t="n"/>
      <c r="C358" s="2" t="n"/>
      <c r="D358" s="2" t="n"/>
      <c r="E358" s="2" t="n"/>
      <c r="F358" s="2" t="n"/>
    </row>
    <row r="359" ht="15.75" customHeight="1" s="57">
      <c r="A359" s="2" t="n"/>
      <c r="B359" s="2" t="n"/>
      <c r="C359" s="2" t="n"/>
      <c r="D359" s="2" t="n"/>
      <c r="E359" s="2" t="n"/>
      <c r="F359" s="2" t="n"/>
    </row>
    <row r="360" ht="15.75" customHeight="1" s="57">
      <c r="A360" s="2" t="n"/>
      <c r="B360" s="2" t="n"/>
      <c r="C360" s="2" t="n"/>
      <c r="D360" s="2" t="n"/>
      <c r="E360" s="2" t="n"/>
      <c r="F360" s="2" t="n"/>
    </row>
    <row r="361" ht="15.75" customHeight="1" s="57">
      <c r="A361" s="2" t="n"/>
      <c r="B361" s="2" t="n"/>
      <c r="C361" s="2" t="n"/>
      <c r="D361" s="2" t="n"/>
      <c r="E361" s="2" t="n"/>
      <c r="F361" s="2" t="n"/>
    </row>
    <row r="362" ht="15.75" customHeight="1" s="57">
      <c r="A362" s="2" t="n"/>
      <c r="B362" s="2" t="n"/>
      <c r="C362" s="2" t="n"/>
      <c r="D362" s="2" t="n"/>
      <c r="E362" s="2" t="n"/>
      <c r="F362" s="2" t="n"/>
    </row>
    <row r="363" ht="15.75" customHeight="1" s="57">
      <c r="A363" s="2" t="n"/>
      <c r="B363" s="2" t="n"/>
      <c r="C363" s="2" t="n"/>
      <c r="D363" s="2" t="n"/>
      <c r="E363" s="2" t="n"/>
      <c r="F363" s="2" t="n"/>
    </row>
    <row r="364" ht="15.75" customHeight="1" s="57">
      <c r="A364" s="2" t="n"/>
      <c r="B364" s="2" t="n"/>
      <c r="C364" s="2" t="n"/>
      <c r="D364" s="2" t="n"/>
      <c r="E364" s="2" t="n"/>
      <c r="F364" s="2" t="n"/>
    </row>
    <row r="365" ht="15.75" customHeight="1" s="57">
      <c r="A365" s="2" t="n"/>
      <c r="B365" s="2" t="n"/>
      <c r="C365" s="2" t="n"/>
      <c r="D365" s="2" t="n"/>
      <c r="E365" s="2" t="n"/>
      <c r="F365" s="2" t="n"/>
    </row>
    <row r="366" ht="15.75" customHeight="1" s="57">
      <c r="A366" s="2" t="n"/>
      <c r="B366" s="2" t="n"/>
      <c r="C366" s="2" t="n"/>
      <c r="D366" s="2" t="n"/>
      <c r="E366" s="2" t="n"/>
      <c r="F366" s="2" t="n"/>
    </row>
    <row r="367" ht="15.75" customHeight="1" s="57">
      <c r="A367" s="2" t="n"/>
      <c r="B367" s="2" t="n"/>
      <c r="C367" s="2" t="n"/>
      <c r="D367" s="2" t="n"/>
      <c r="E367" s="2" t="n"/>
      <c r="F367" s="2" t="n"/>
    </row>
    <row r="368" ht="15.75" customHeight="1" s="57">
      <c r="A368" s="2" t="n"/>
      <c r="B368" s="2" t="n"/>
      <c r="C368" s="2" t="n"/>
      <c r="D368" s="2" t="n"/>
      <c r="E368" s="2" t="n"/>
      <c r="F368" s="2" t="n"/>
    </row>
    <row r="369" ht="15.75" customHeight="1" s="57">
      <c r="A369" s="2" t="n"/>
      <c r="B369" s="2" t="n"/>
      <c r="C369" s="2" t="n"/>
      <c r="D369" s="2" t="n"/>
      <c r="E369" s="2" t="n"/>
      <c r="F369" s="2" t="n"/>
    </row>
    <row r="370" ht="15.75" customHeight="1" s="57">
      <c r="A370" s="2" t="n"/>
      <c r="B370" s="2" t="n"/>
      <c r="C370" s="2" t="n"/>
      <c r="D370" s="2" t="n"/>
      <c r="E370" s="2" t="n"/>
      <c r="F370" s="2" t="n"/>
    </row>
    <row r="371" ht="15.75" customHeight="1" s="57">
      <c r="A371" s="2" t="n"/>
      <c r="B371" s="2" t="n"/>
      <c r="C371" s="2" t="n"/>
      <c r="D371" s="2" t="n"/>
      <c r="E371" s="2" t="n"/>
      <c r="F371" s="2" t="n"/>
    </row>
    <row r="372" ht="15.75" customHeight="1" s="57">
      <c r="A372" s="2" t="n"/>
      <c r="B372" s="2" t="n"/>
      <c r="C372" s="2" t="n"/>
      <c r="D372" s="2" t="n"/>
      <c r="E372" s="2" t="n"/>
      <c r="F372" s="2" t="n"/>
    </row>
    <row r="373" ht="15.75" customHeight="1" s="57">
      <c r="A373" s="2" t="n"/>
      <c r="B373" s="2" t="n"/>
      <c r="C373" s="2" t="n"/>
      <c r="D373" s="2" t="n"/>
      <c r="E373" s="2" t="n"/>
      <c r="F373" s="2" t="n"/>
    </row>
    <row r="374" ht="15.75" customHeight="1" s="57">
      <c r="A374" s="2" t="n"/>
      <c r="B374" s="2" t="n"/>
      <c r="C374" s="2" t="n"/>
      <c r="D374" s="2" t="n"/>
      <c r="E374" s="2" t="n"/>
      <c r="F374" s="2" t="n"/>
    </row>
    <row r="375" ht="15.75" customHeight="1" s="57">
      <c r="A375" s="2" t="n"/>
      <c r="B375" s="2" t="n"/>
      <c r="C375" s="2" t="n"/>
      <c r="D375" s="2" t="n"/>
      <c r="E375" s="2" t="n"/>
      <c r="F375" s="2" t="n"/>
    </row>
    <row r="376" ht="15.75" customHeight="1" s="57">
      <c r="A376" s="2" t="n"/>
      <c r="B376" s="2" t="n"/>
      <c r="C376" s="2" t="n"/>
      <c r="D376" s="2" t="n"/>
      <c r="E376" s="2" t="n"/>
      <c r="F376" s="2" t="n"/>
    </row>
    <row r="377" ht="15.75" customHeight="1" s="57">
      <c r="A377" s="2" t="n"/>
      <c r="B377" s="2" t="n"/>
      <c r="C377" s="2" t="n"/>
      <c r="D377" s="2" t="n"/>
      <c r="E377" s="2" t="n"/>
      <c r="F377" s="2" t="n"/>
    </row>
    <row r="378" ht="15.75" customHeight="1" s="57">
      <c r="A378" s="2" t="n"/>
      <c r="B378" s="2" t="n"/>
      <c r="C378" s="2" t="n"/>
      <c r="D378" s="2" t="n"/>
      <c r="E378" s="2" t="n"/>
      <c r="F378" s="2" t="n"/>
    </row>
    <row r="379" ht="15.75" customHeight="1" s="57">
      <c r="A379" s="2" t="n"/>
      <c r="B379" s="2" t="n"/>
      <c r="C379" s="2" t="n"/>
      <c r="D379" s="2" t="n"/>
      <c r="E379" s="2" t="n"/>
      <c r="F379" s="2" t="n"/>
    </row>
    <row r="380" ht="15.75" customHeight="1" s="57">
      <c r="A380" s="2" t="n"/>
      <c r="B380" s="2" t="n"/>
      <c r="C380" s="2" t="n"/>
      <c r="D380" s="2" t="n"/>
      <c r="E380" s="2" t="n"/>
      <c r="F380" s="2" t="n"/>
    </row>
    <row r="381" ht="15.75" customHeight="1" s="57">
      <c r="A381" s="2" t="n"/>
      <c r="B381" s="2" t="n"/>
      <c r="C381" s="2" t="n"/>
      <c r="D381" s="2" t="n"/>
      <c r="E381" s="2" t="n"/>
      <c r="F381" s="2" t="n"/>
    </row>
    <row r="382" ht="15.75" customHeight="1" s="57">
      <c r="A382" s="2" t="n"/>
      <c r="B382" s="2" t="n"/>
      <c r="C382" s="2" t="n"/>
      <c r="D382" s="2" t="n"/>
      <c r="E382" s="2" t="n"/>
      <c r="F382" s="2" t="n"/>
    </row>
    <row r="383" ht="15.75" customHeight="1" s="57">
      <c r="A383" s="2" t="n"/>
      <c r="B383" s="2" t="n"/>
      <c r="C383" s="2" t="n"/>
      <c r="D383" s="2" t="n"/>
      <c r="E383" s="2" t="n"/>
      <c r="F383" s="2" t="n"/>
    </row>
    <row r="384" ht="15.75" customHeight="1" s="57">
      <c r="A384" s="2" t="n"/>
      <c r="B384" s="2" t="n"/>
      <c r="C384" s="2" t="n"/>
      <c r="D384" s="2" t="n"/>
      <c r="E384" s="2" t="n"/>
      <c r="F384" s="2" t="n"/>
    </row>
    <row r="385" ht="15.75" customHeight="1" s="57">
      <c r="A385" s="2" t="n"/>
      <c r="B385" s="2" t="n"/>
      <c r="C385" s="2" t="n"/>
      <c r="D385" s="2" t="n"/>
      <c r="E385" s="2" t="n"/>
      <c r="F385" s="2" t="n"/>
    </row>
    <row r="386" ht="15.75" customHeight="1" s="57">
      <c r="A386" s="2" t="n"/>
      <c r="B386" s="2" t="n"/>
      <c r="C386" s="2" t="n"/>
      <c r="D386" s="2" t="n"/>
      <c r="E386" s="2" t="n"/>
      <c r="F386" s="2" t="n"/>
    </row>
    <row r="387" ht="15.75" customHeight="1" s="57">
      <c r="A387" s="2" t="n"/>
      <c r="B387" s="2" t="n"/>
      <c r="C387" s="2" t="n"/>
      <c r="D387" s="2" t="n"/>
      <c r="E387" s="2" t="n"/>
      <c r="F387" s="2" t="n"/>
    </row>
    <row r="388" ht="15.75" customHeight="1" s="57">
      <c r="A388" s="2" t="n"/>
      <c r="B388" s="2" t="n"/>
      <c r="C388" s="2" t="n"/>
      <c r="D388" s="2" t="n"/>
      <c r="E388" s="2" t="n"/>
      <c r="F388" s="2" t="n"/>
    </row>
    <row r="389" ht="15.75" customHeight="1" s="57">
      <c r="A389" s="2" t="n"/>
      <c r="B389" s="2" t="n"/>
      <c r="C389" s="2" t="n"/>
      <c r="D389" s="2" t="n"/>
      <c r="E389" s="2" t="n"/>
      <c r="F389" s="2" t="n"/>
    </row>
    <row r="390" ht="15.75" customHeight="1" s="57">
      <c r="A390" s="2" t="n"/>
      <c r="B390" s="2" t="n"/>
      <c r="C390" s="2" t="n"/>
      <c r="D390" s="2" t="n"/>
      <c r="E390" s="2" t="n"/>
      <c r="F390" s="2" t="n"/>
    </row>
    <row r="391" ht="15.75" customHeight="1" s="57">
      <c r="A391" s="2" t="n"/>
      <c r="B391" s="2" t="n"/>
      <c r="C391" s="2" t="n"/>
      <c r="D391" s="2" t="n"/>
      <c r="E391" s="2" t="n"/>
      <c r="F391" s="2" t="n"/>
    </row>
    <row r="392" ht="15.75" customHeight="1" s="57">
      <c r="A392" s="2" t="n"/>
      <c r="B392" s="2" t="n"/>
      <c r="C392" s="2" t="n"/>
      <c r="D392" s="2" t="n"/>
      <c r="E392" s="2" t="n"/>
      <c r="F392" s="2" t="n"/>
    </row>
    <row r="393" ht="15.75" customHeight="1" s="57">
      <c r="A393" s="2" t="n"/>
      <c r="B393" s="2" t="n"/>
      <c r="C393" s="2" t="n"/>
      <c r="D393" s="2" t="n"/>
      <c r="E393" s="2" t="n"/>
      <c r="F393" s="2" t="n"/>
    </row>
    <row r="394" ht="15.75" customHeight="1" s="57">
      <c r="A394" s="2" t="n"/>
      <c r="B394" s="2" t="n"/>
      <c r="C394" s="2" t="n"/>
      <c r="D394" s="2" t="n"/>
      <c r="E394" s="2" t="n"/>
      <c r="F394" s="2" t="n"/>
    </row>
    <row r="395" ht="15.75" customHeight="1" s="57">
      <c r="A395" s="2" t="n"/>
      <c r="B395" s="2" t="n"/>
      <c r="C395" s="2" t="n"/>
      <c r="D395" s="2" t="n"/>
      <c r="E395" s="2" t="n"/>
      <c r="F395" s="2" t="n"/>
    </row>
    <row r="396" ht="15.75" customHeight="1" s="57">
      <c r="A396" s="2" t="n"/>
      <c r="B396" s="2" t="n"/>
      <c r="C396" s="2" t="n"/>
      <c r="D396" s="2" t="n"/>
      <c r="E396" s="2" t="n"/>
      <c r="F396" s="2" t="n"/>
    </row>
    <row r="397" ht="15.75" customHeight="1" s="57">
      <c r="A397" s="2" t="n"/>
      <c r="B397" s="2" t="n"/>
      <c r="C397" s="2" t="n"/>
      <c r="D397" s="2" t="n"/>
      <c r="E397" s="2" t="n"/>
      <c r="F397" s="2" t="n"/>
    </row>
    <row r="398" ht="15.75" customHeight="1" s="57">
      <c r="A398" s="2" t="n"/>
      <c r="B398" s="2" t="n"/>
      <c r="C398" s="2" t="n"/>
      <c r="D398" s="2" t="n"/>
      <c r="E398" s="2" t="n"/>
      <c r="F398" s="2" t="n"/>
    </row>
    <row r="399" ht="15.75" customHeight="1" s="57">
      <c r="A399" s="2" t="n"/>
      <c r="B399" s="2" t="n"/>
      <c r="C399" s="2" t="n"/>
      <c r="D399" s="2" t="n"/>
      <c r="E399" s="2" t="n"/>
      <c r="F399" s="2" t="n"/>
    </row>
    <row r="400" ht="15.75" customHeight="1" s="57">
      <c r="A400" s="2" t="n"/>
      <c r="B400" s="2" t="n"/>
      <c r="C400" s="2" t="n"/>
      <c r="D400" s="2" t="n"/>
      <c r="E400" s="2" t="n"/>
      <c r="F400" s="2" t="n"/>
    </row>
    <row r="401" ht="15.75" customHeight="1" s="57">
      <c r="A401" s="2" t="n"/>
      <c r="B401" s="2" t="n"/>
      <c r="C401" s="2" t="n"/>
      <c r="D401" s="2" t="n"/>
      <c r="E401" s="2" t="n"/>
      <c r="F401" s="2" t="n"/>
    </row>
    <row r="402" ht="15.75" customHeight="1" s="57">
      <c r="A402" s="2" t="n"/>
      <c r="B402" s="2" t="n"/>
      <c r="C402" s="2" t="n"/>
      <c r="D402" s="2" t="n"/>
      <c r="E402" s="2" t="n"/>
      <c r="F402" s="2" t="n"/>
    </row>
    <row r="403" ht="15.75" customHeight="1" s="57">
      <c r="A403" s="2" t="n"/>
      <c r="B403" s="2" t="n"/>
      <c r="C403" s="2" t="n"/>
      <c r="D403" s="2" t="n"/>
      <c r="E403" s="2" t="n"/>
      <c r="F403" s="2" t="n"/>
    </row>
    <row r="404" ht="15.75" customHeight="1" s="57">
      <c r="A404" s="2" t="n"/>
      <c r="B404" s="2" t="n"/>
      <c r="C404" s="2" t="n"/>
      <c r="D404" s="2" t="n"/>
      <c r="E404" s="2" t="n"/>
      <c r="F404" s="2" t="n"/>
    </row>
    <row r="405" ht="15.75" customHeight="1" s="57">
      <c r="A405" s="2" t="n"/>
      <c r="B405" s="2" t="n"/>
      <c r="C405" s="2" t="n"/>
      <c r="D405" s="2" t="n"/>
      <c r="E405" s="2" t="n"/>
      <c r="F405" s="2" t="n"/>
    </row>
    <row r="406" ht="15.75" customHeight="1" s="57">
      <c r="A406" s="2" t="n"/>
      <c r="B406" s="2" t="n"/>
      <c r="C406" s="2" t="n"/>
      <c r="D406" s="2" t="n"/>
      <c r="E406" s="2" t="n"/>
      <c r="F406" s="2" t="n"/>
    </row>
    <row r="407" ht="15.75" customHeight="1" s="57">
      <c r="A407" s="2" t="n"/>
      <c r="B407" s="2" t="n"/>
      <c r="C407" s="2" t="n"/>
      <c r="D407" s="2" t="n"/>
      <c r="E407" s="2" t="n"/>
      <c r="F407" s="2" t="n"/>
    </row>
    <row r="408" ht="15.75" customHeight="1" s="57">
      <c r="A408" s="2" t="n"/>
      <c r="B408" s="2" t="n"/>
      <c r="C408" s="2" t="n"/>
      <c r="D408" s="2" t="n"/>
      <c r="E408" s="2" t="n"/>
      <c r="F408" s="2" t="n"/>
    </row>
    <row r="409" ht="15.75" customHeight="1" s="57">
      <c r="A409" s="2" t="n"/>
      <c r="B409" s="2" t="n"/>
      <c r="C409" s="2" t="n"/>
      <c r="D409" s="2" t="n"/>
      <c r="E409" s="2" t="n"/>
      <c r="F409" s="2" t="n"/>
    </row>
    <row r="410" ht="15.75" customHeight="1" s="57">
      <c r="A410" s="2" t="n"/>
      <c r="B410" s="2" t="n"/>
      <c r="C410" s="2" t="n"/>
      <c r="D410" s="2" t="n"/>
      <c r="E410" s="2" t="n"/>
      <c r="F410" s="2" t="n"/>
    </row>
    <row r="411" ht="15.75" customHeight="1" s="57">
      <c r="A411" s="2" t="n"/>
      <c r="B411" s="2" t="n"/>
      <c r="C411" s="2" t="n"/>
      <c r="D411" s="2" t="n"/>
      <c r="E411" s="2" t="n"/>
      <c r="F411" s="2" t="n"/>
    </row>
    <row r="412" ht="15.75" customHeight="1" s="57">
      <c r="A412" s="2" t="n"/>
      <c r="B412" s="2" t="n"/>
      <c r="C412" s="2" t="n"/>
      <c r="D412" s="2" t="n"/>
      <c r="E412" s="2" t="n"/>
      <c r="F412" s="2" t="n"/>
    </row>
    <row r="413" ht="15.75" customHeight="1" s="57">
      <c r="A413" s="2" t="n"/>
      <c r="B413" s="2" t="n"/>
      <c r="C413" s="2" t="n"/>
      <c r="D413" s="2" t="n"/>
      <c r="E413" s="2" t="n"/>
      <c r="F413" s="2" t="n"/>
    </row>
    <row r="414" ht="15.75" customHeight="1" s="57">
      <c r="A414" s="2" t="n"/>
      <c r="B414" s="2" t="n"/>
      <c r="C414" s="2" t="n"/>
      <c r="D414" s="2" t="n"/>
      <c r="E414" s="2" t="n"/>
      <c r="F414" s="2" t="n"/>
    </row>
    <row r="415" ht="15.75" customHeight="1" s="57">
      <c r="A415" s="2" t="n"/>
      <c r="B415" s="2" t="n"/>
      <c r="C415" s="2" t="n"/>
      <c r="D415" s="2" t="n"/>
      <c r="E415" s="2" t="n"/>
      <c r="F415" s="2" t="n"/>
    </row>
    <row r="416" ht="15.75" customHeight="1" s="57">
      <c r="A416" s="2" t="n"/>
      <c r="B416" s="2" t="n"/>
      <c r="C416" s="2" t="n"/>
      <c r="D416" s="2" t="n"/>
      <c r="E416" s="2" t="n"/>
      <c r="F416" s="2" t="n"/>
    </row>
    <row r="417" ht="15.75" customHeight="1" s="57">
      <c r="A417" s="2" t="n"/>
      <c r="B417" s="2" t="n"/>
      <c r="C417" s="2" t="n"/>
      <c r="D417" s="2" t="n"/>
      <c r="E417" s="2" t="n"/>
      <c r="F417" s="2" t="n"/>
    </row>
    <row r="418" ht="15.75" customHeight="1" s="57">
      <c r="A418" s="2" t="n"/>
      <c r="B418" s="2" t="n"/>
      <c r="C418" s="2" t="n"/>
      <c r="D418" s="2" t="n"/>
      <c r="E418" s="2" t="n"/>
      <c r="F418" s="2" t="n"/>
    </row>
    <row r="419" ht="15.75" customHeight="1" s="57">
      <c r="A419" s="2" t="n"/>
      <c r="B419" s="2" t="n"/>
      <c r="C419" s="2" t="n"/>
      <c r="D419" s="2" t="n"/>
      <c r="E419" s="2" t="n"/>
      <c r="F419" s="2" t="n"/>
    </row>
    <row r="420" ht="15.75" customHeight="1" s="57">
      <c r="A420" s="2" t="n"/>
      <c r="B420" s="2" t="n"/>
      <c r="C420" s="2" t="n"/>
      <c r="D420" s="2" t="n"/>
      <c r="E420" s="2" t="n"/>
      <c r="F420" s="2" t="n"/>
    </row>
    <row r="421" ht="15.75" customHeight="1" s="57">
      <c r="A421" s="2" t="n"/>
      <c r="B421" s="2" t="n"/>
      <c r="C421" s="2" t="n"/>
      <c r="D421" s="2" t="n"/>
      <c r="E421" s="2" t="n"/>
      <c r="F421" s="2" t="n"/>
    </row>
    <row r="422" ht="15.75" customHeight="1" s="57">
      <c r="A422" s="2" t="n"/>
      <c r="B422" s="2" t="n"/>
      <c r="C422" s="2" t="n"/>
      <c r="D422" s="2" t="n"/>
      <c r="E422" s="2" t="n"/>
      <c r="F422" s="2" t="n"/>
    </row>
    <row r="423" ht="15.75" customHeight="1" s="57">
      <c r="A423" s="2" t="n"/>
      <c r="B423" s="2" t="n"/>
      <c r="C423" s="2" t="n"/>
      <c r="D423" s="2" t="n"/>
      <c r="E423" s="2" t="n"/>
      <c r="F423" s="2" t="n"/>
    </row>
    <row r="424" ht="15.75" customHeight="1" s="57">
      <c r="A424" s="2" t="n"/>
      <c r="B424" s="2" t="n"/>
      <c r="C424" s="2" t="n"/>
      <c r="D424" s="2" t="n"/>
      <c r="E424" s="2" t="n"/>
      <c r="F424" s="2" t="n"/>
    </row>
    <row r="425" ht="15.75" customHeight="1" s="57">
      <c r="A425" s="2" t="n"/>
      <c r="B425" s="2" t="n"/>
      <c r="C425" s="2" t="n"/>
      <c r="D425" s="2" t="n"/>
      <c r="E425" s="2" t="n"/>
      <c r="F425" s="2" t="n"/>
    </row>
    <row r="426" ht="15.75" customHeight="1" s="57">
      <c r="A426" s="2" t="n"/>
      <c r="B426" s="2" t="n"/>
      <c r="C426" s="2" t="n"/>
      <c r="D426" s="2" t="n"/>
      <c r="E426" s="2" t="n"/>
      <c r="F426" s="2" t="n"/>
    </row>
    <row r="427" ht="15.75" customHeight="1" s="57">
      <c r="A427" s="2" t="n"/>
      <c r="B427" s="2" t="n"/>
      <c r="C427" s="2" t="n"/>
      <c r="D427" s="2" t="n"/>
      <c r="E427" s="2" t="n"/>
      <c r="F427" s="2" t="n"/>
    </row>
    <row r="428" ht="15.75" customHeight="1" s="57">
      <c r="A428" s="2" t="n"/>
      <c r="B428" s="2" t="n"/>
      <c r="C428" s="2" t="n"/>
      <c r="D428" s="2" t="n"/>
      <c r="E428" s="2" t="n"/>
      <c r="F428" s="2" t="n"/>
    </row>
    <row r="429" ht="15.75" customHeight="1" s="57">
      <c r="A429" s="2" t="n"/>
      <c r="B429" s="2" t="n"/>
      <c r="C429" s="2" t="n"/>
      <c r="D429" s="2" t="n"/>
      <c r="E429" s="2" t="n"/>
      <c r="F429" s="2" t="n"/>
    </row>
    <row r="430" ht="15.75" customHeight="1" s="57">
      <c r="A430" s="2" t="n"/>
      <c r="B430" s="2" t="n"/>
      <c r="C430" s="2" t="n"/>
      <c r="D430" s="2" t="n"/>
      <c r="E430" s="2" t="n"/>
      <c r="F430" s="2" t="n"/>
    </row>
    <row r="431" ht="15.75" customHeight="1" s="57">
      <c r="A431" s="2" t="n"/>
      <c r="B431" s="2" t="n"/>
      <c r="C431" s="2" t="n"/>
      <c r="D431" s="2" t="n"/>
      <c r="E431" s="2" t="n"/>
      <c r="F431" s="2" t="n"/>
    </row>
    <row r="432" ht="15.75" customHeight="1" s="57">
      <c r="A432" s="2" t="n"/>
      <c r="B432" s="2" t="n"/>
      <c r="C432" s="2" t="n"/>
      <c r="D432" s="2" t="n"/>
      <c r="E432" s="2" t="n"/>
      <c r="F432" s="2" t="n"/>
    </row>
    <row r="433" ht="15.75" customHeight="1" s="57">
      <c r="A433" s="2" t="n"/>
      <c r="B433" s="2" t="n"/>
      <c r="C433" s="2" t="n"/>
      <c r="D433" s="2" t="n"/>
      <c r="E433" s="2" t="n"/>
      <c r="F433" s="2" t="n"/>
    </row>
    <row r="434" ht="15.75" customHeight="1" s="57">
      <c r="A434" s="2" t="n"/>
      <c r="B434" s="2" t="n"/>
      <c r="C434" s="2" t="n"/>
      <c r="D434" s="2" t="n"/>
      <c r="E434" s="2" t="n"/>
      <c r="F434" s="2" t="n"/>
    </row>
    <row r="435" ht="15.75" customHeight="1" s="57">
      <c r="A435" s="2" t="n"/>
      <c r="B435" s="2" t="n"/>
      <c r="C435" s="2" t="n"/>
      <c r="D435" s="2" t="n"/>
      <c r="E435" s="2" t="n"/>
      <c r="F435" s="2" t="n"/>
    </row>
    <row r="436" ht="15.75" customHeight="1" s="57">
      <c r="A436" s="2" t="n"/>
      <c r="B436" s="2" t="n"/>
      <c r="C436" s="2" t="n"/>
      <c r="D436" s="2" t="n"/>
      <c r="E436" s="2" t="n"/>
      <c r="F436" s="2" t="n"/>
    </row>
    <row r="437" ht="15.75" customHeight="1" s="57">
      <c r="A437" s="2" t="n"/>
      <c r="B437" s="2" t="n"/>
      <c r="C437" s="2" t="n"/>
      <c r="D437" s="2" t="n"/>
      <c r="E437" s="2" t="n"/>
      <c r="F437" s="2" t="n"/>
    </row>
    <row r="438" ht="15.75" customHeight="1" s="57">
      <c r="A438" s="2" t="n"/>
      <c r="B438" s="2" t="n"/>
      <c r="C438" s="2" t="n"/>
      <c r="D438" s="2" t="n"/>
      <c r="E438" s="2" t="n"/>
      <c r="F438" s="2" t="n"/>
    </row>
    <row r="439" ht="15.75" customHeight="1" s="57">
      <c r="A439" s="2" t="n"/>
      <c r="B439" s="2" t="n"/>
      <c r="C439" s="2" t="n"/>
      <c r="D439" s="2" t="n"/>
      <c r="E439" s="2" t="n"/>
      <c r="F439" s="2" t="n"/>
    </row>
    <row r="440" ht="15.75" customHeight="1" s="57">
      <c r="A440" s="2" t="n"/>
      <c r="B440" s="2" t="n"/>
      <c r="C440" s="2" t="n"/>
      <c r="D440" s="2" t="n"/>
      <c r="E440" s="2" t="n"/>
      <c r="F440" s="2" t="n"/>
    </row>
    <row r="441" ht="15.75" customHeight="1" s="57">
      <c r="A441" s="2" t="n"/>
      <c r="B441" s="2" t="n"/>
      <c r="C441" s="2" t="n"/>
      <c r="D441" s="2" t="n"/>
      <c r="E441" s="2" t="n"/>
      <c r="F441" s="2" t="n"/>
    </row>
    <row r="442" ht="15.75" customHeight="1" s="57">
      <c r="A442" s="2" t="n"/>
      <c r="B442" s="2" t="n"/>
      <c r="C442" s="2" t="n"/>
      <c r="D442" s="2" t="n"/>
      <c r="E442" s="2" t="n"/>
      <c r="F442" s="2" t="n"/>
    </row>
    <row r="443" ht="15.75" customHeight="1" s="57">
      <c r="A443" s="2" t="n"/>
      <c r="B443" s="2" t="n"/>
      <c r="C443" s="2" t="n"/>
      <c r="D443" s="2" t="n"/>
      <c r="E443" s="2" t="n"/>
      <c r="F443" s="2" t="n"/>
    </row>
    <row r="444" ht="15.75" customHeight="1" s="57">
      <c r="A444" s="2" t="n"/>
      <c r="B444" s="2" t="n"/>
      <c r="C444" s="2" t="n"/>
      <c r="D444" s="2" t="n"/>
      <c r="E444" s="2" t="n"/>
      <c r="F444" s="2" t="n"/>
    </row>
    <row r="445" ht="15.75" customHeight="1" s="57">
      <c r="A445" s="2" t="n"/>
      <c r="B445" s="2" t="n"/>
      <c r="C445" s="2" t="n"/>
      <c r="D445" s="2" t="n"/>
      <c r="E445" s="2" t="n"/>
      <c r="F445" s="2" t="n"/>
    </row>
    <row r="446" ht="15.75" customHeight="1" s="57">
      <c r="A446" s="2" t="n"/>
      <c r="B446" s="2" t="n"/>
      <c r="C446" s="2" t="n"/>
      <c r="D446" s="2" t="n"/>
      <c r="E446" s="2" t="n"/>
      <c r="F446" s="2" t="n"/>
    </row>
    <row r="447" ht="15.75" customHeight="1" s="57">
      <c r="A447" s="2" t="n"/>
      <c r="B447" s="2" t="n"/>
      <c r="C447" s="2" t="n"/>
      <c r="D447" s="2" t="n"/>
      <c r="E447" s="2" t="n"/>
      <c r="F447" s="2" t="n"/>
    </row>
    <row r="448" ht="15.75" customHeight="1" s="57">
      <c r="A448" s="2" t="n"/>
      <c r="B448" s="2" t="n"/>
      <c r="C448" s="2" t="n"/>
      <c r="D448" s="2" t="n"/>
      <c r="E448" s="2" t="n"/>
      <c r="F448" s="2" t="n"/>
    </row>
    <row r="449" ht="15.75" customHeight="1" s="57">
      <c r="A449" s="2" t="n"/>
      <c r="B449" s="2" t="n"/>
      <c r="C449" s="2" t="n"/>
      <c r="D449" s="2" t="n"/>
      <c r="E449" s="2" t="n"/>
      <c r="F449" s="2" t="n"/>
    </row>
    <row r="450" ht="15.75" customHeight="1" s="57">
      <c r="A450" s="2" t="n"/>
      <c r="B450" s="2" t="n"/>
      <c r="C450" s="2" t="n"/>
      <c r="D450" s="2" t="n"/>
      <c r="E450" s="2" t="n"/>
      <c r="F450" s="2" t="n"/>
    </row>
    <row r="451" ht="15.75" customHeight="1" s="57">
      <c r="A451" s="2" t="n"/>
      <c r="B451" s="2" t="n"/>
      <c r="C451" s="2" t="n"/>
      <c r="D451" s="2" t="n"/>
      <c r="E451" s="2" t="n"/>
      <c r="F451" s="2" t="n"/>
    </row>
    <row r="452" ht="15.75" customHeight="1" s="57">
      <c r="A452" s="2" t="n"/>
      <c r="B452" s="2" t="n"/>
      <c r="C452" s="2" t="n"/>
      <c r="D452" s="2" t="n"/>
      <c r="E452" s="2" t="n"/>
      <c r="F452" s="2" t="n"/>
    </row>
    <row r="453" ht="15.75" customHeight="1" s="57">
      <c r="A453" s="2" t="n"/>
      <c r="B453" s="2" t="n"/>
      <c r="C453" s="2" t="n"/>
      <c r="D453" s="2" t="n"/>
      <c r="E453" s="2" t="n"/>
      <c r="F453" s="2" t="n"/>
    </row>
    <row r="454" ht="15.75" customHeight="1" s="57">
      <c r="A454" s="2" t="n"/>
      <c r="B454" s="2" t="n"/>
      <c r="C454" s="2" t="n"/>
      <c r="D454" s="2" t="n"/>
      <c r="E454" s="2" t="n"/>
      <c r="F454" s="2" t="n"/>
    </row>
    <row r="455" ht="15.75" customHeight="1" s="57">
      <c r="A455" s="2" t="n"/>
      <c r="B455" s="2" t="n"/>
      <c r="C455" s="2" t="n"/>
      <c r="D455" s="2" t="n"/>
      <c r="E455" s="2" t="n"/>
      <c r="F455" s="2" t="n"/>
    </row>
    <row r="456" ht="15.75" customHeight="1" s="57">
      <c r="A456" s="2" t="n"/>
      <c r="B456" s="2" t="n"/>
      <c r="C456" s="2" t="n"/>
      <c r="D456" s="2" t="n"/>
      <c r="E456" s="2" t="n"/>
      <c r="F456" s="2" t="n"/>
    </row>
    <row r="457" ht="15.75" customHeight="1" s="57">
      <c r="A457" s="2" t="n"/>
      <c r="B457" s="2" t="n"/>
      <c r="C457" s="2" t="n"/>
      <c r="D457" s="2" t="n"/>
      <c r="E457" s="2" t="n"/>
      <c r="F457" s="2" t="n"/>
    </row>
    <row r="458" ht="15.75" customHeight="1" s="57">
      <c r="A458" s="2" t="n"/>
      <c r="B458" s="2" t="n"/>
      <c r="C458" s="2" t="n"/>
      <c r="D458" s="2" t="n"/>
      <c r="E458" s="2" t="n"/>
      <c r="F458" s="2" t="n"/>
    </row>
    <row r="459" ht="15.75" customHeight="1" s="57">
      <c r="A459" s="2" t="n"/>
      <c r="B459" s="2" t="n"/>
      <c r="C459" s="2" t="n"/>
      <c r="D459" s="2" t="n"/>
      <c r="E459" s="2" t="n"/>
      <c r="F459" s="2" t="n"/>
    </row>
    <row r="460" ht="15.75" customHeight="1" s="57">
      <c r="A460" s="2" t="n"/>
      <c r="B460" s="2" t="n"/>
      <c r="C460" s="2" t="n"/>
      <c r="D460" s="2" t="n"/>
      <c r="E460" s="2" t="n"/>
      <c r="F460" s="2" t="n"/>
    </row>
    <row r="461" ht="15.75" customHeight="1" s="57">
      <c r="A461" s="2" t="n"/>
      <c r="B461" s="2" t="n"/>
      <c r="C461" s="2" t="n"/>
      <c r="D461" s="2" t="n"/>
      <c r="E461" s="2" t="n"/>
      <c r="F461" s="2" t="n"/>
    </row>
    <row r="462" ht="15.75" customHeight="1" s="57">
      <c r="A462" s="2" t="n"/>
      <c r="B462" s="2" t="n"/>
      <c r="C462" s="2" t="n"/>
      <c r="D462" s="2" t="n"/>
      <c r="E462" s="2" t="n"/>
      <c r="F462" s="2" t="n"/>
    </row>
    <row r="463" ht="15.75" customHeight="1" s="57">
      <c r="A463" s="2" t="n"/>
      <c r="B463" s="2" t="n"/>
      <c r="C463" s="2" t="n"/>
      <c r="D463" s="2" t="n"/>
      <c r="E463" s="2" t="n"/>
      <c r="F463" s="2" t="n"/>
    </row>
    <row r="464" ht="15.75" customHeight="1" s="57">
      <c r="A464" s="2" t="n"/>
      <c r="B464" s="2" t="n"/>
      <c r="C464" s="2" t="n"/>
      <c r="D464" s="2" t="n"/>
      <c r="E464" s="2" t="n"/>
      <c r="F464" s="2" t="n"/>
    </row>
    <row r="465" ht="15.75" customHeight="1" s="57">
      <c r="A465" s="2" t="n"/>
      <c r="B465" s="2" t="n"/>
      <c r="C465" s="2" t="n"/>
      <c r="D465" s="2" t="n"/>
      <c r="E465" s="2" t="n"/>
      <c r="F465" s="2" t="n"/>
    </row>
    <row r="466" ht="15.75" customHeight="1" s="57">
      <c r="A466" s="2" t="n"/>
      <c r="B466" s="2" t="n"/>
      <c r="C466" s="2" t="n"/>
      <c r="D466" s="2" t="n"/>
      <c r="E466" s="2" t="n"/>
      <c r="F466" s="2" t="n"/>
    </row>
    <row r="467" ht="15.75" customHeight="1" s="57">
      <c r="A467" s="2" t="n"/>
      <c r="B467" s="2" t="n"/>
      <c r="C467" s="2" t="n"/>
      <c r="D467" s="2" t="n"/>
      <c r="E467" s="2" t="n"/>
      <c r="F467" s="2" t="n"/>
    </row>
    <row r="468" ht="15.75" customHeight="1" s="57">
      <c r="A468" s="2" t="n"/>
      <c r="B468" s="2" t="n"/>
      <c r="C468" s="2" t="n"/>
      <c r="D468" s="2" t="n"/>
      <c r="E468" s="2" t="n"/>
      <c r="F468" s="2" t="n"/>
    </row>
    <row r="469" ht="15.75" customHeight="1" s="57">
      <c r="A469" s="2" t="n"/>
      <c r="B469" s="2" t="n"/>
      <c r="C469" s="2" t="n"/>
      <c r="D469" s="2" t="n"/>
      <c r="E469" s="2" t="n"/>
      <c r="F469" s="2" t="n"/>
    </row>
    <row r="470" ht="15.75" customHeight="1" s="57">
      <c r="A470" s="2" t="n"/>
      <c r="B470" s="2" t="n"/>
      <c r="C470" s="2" t="n"/>
      <c r="D470" s="2" t="n"/>
      <c r="E470" s="2" t="n"/>
      <c r="F470" s="2" t="n"/>
    </row>
    <row r="471" ht="15.75" customHeight="1" s="57">
      <c r="A471" s="2" t="n"/>
      <c r="B471" s="2" t="n"/>
      <c r="C471" s="2" t="n"/>
      <c r="D471" s="2" t="n"/>
      <c r="E471" s="2" t="n"/>
      <c r="F471" s="2" t="n"/>
    </row>
    <row r="472" ht="15.75" customHeight="1" s="57">
      <c r="A472" s="2" t="n"/>
      <c r="B472" s="2" t="n"/>
      <c r="C472" s="2" t="n"/>
      <c r="D472" s="2" t="n"/>
      <c r="E472" s="2" t="n"/>
      <c r="F472" s="2" t="n"/>
    </row>
    <row r="473" ht="15.75" customHeight="1" s="57">
      <c r="A473" s="2" t="n"/>
      <c r="B473" s="2" t="n"/>
      <c r="C473" s="2" t="n"/>
      <c r="D473" s="2" t="n"/>
      <c r="E473" s="2" t="n"/>
      <c r="F473" s="2" t="n"/>
    </row>
    <row r="474" ht="15.75" customHeight="1" s="57">
      <c r="A474" s="2" t="n"/>
      <c r="B474" s="2" t="n"/>
      <c r="C474" s="2" t="n"/>
      <c r="D474" s="2" t="n"/>
      <c r="E474" s="2" t="n"/>
      <c r="F474" s="2" t="n"/>
    </row>
    <row r="475" ht="15.75" customHeight="1" s="57">
      <c r="A475" s="2" t="n"/>
      <c r="B475" s="2" t="n"/>
      <c r="C475" s="2" t="n"/>
      <c r="D475" s="2" t="n"/>
      <c r="E475" s="2" t="n"/>
      <c r="F475" s="2" t="n"/>
    </row>
    <row r="476" ht="15.75" customHeight="1" s="57">
      <c r="A476" s="2" t="n"/>
      <c r="B476" s="2" t="n"/>
      <c r="C476" s="2" t="n"/>
      <c r="D476" s="2" t="n"/>
      <c r="E476" s="2" t="n"/>
      <c r="F476" s="2" t="n"/>
    </row>
    <row r="477" ht="15.75" customHeight="1" s="57">
      <c r="A477" s="2" t="n"/>
      <c r="B477" s="2" t="n"/>
      <c r="C477" s="2" t="n"/>
      <c r="D477" s="2" t="n"/>
      <c r="E477" s="2" t="n"/>
      <c r="F477" s="2" t="n"/>
    </row>
    <row r="478" ht="15.75" customHeight="1" s="57">
      <c r="A478" s="2" t="n"/>
      <c r="B478" s="2" t="n"/>
      <c r="C478" s="2" t="n"/>
      <c r="D478" s="2" t="n"/>
      <c r="E478" s="2" t="n"/>
      <c r="F478" s="2" t="n"/>
    </row>
    <row r="479" ht="15.75" customHeight="1" s="57">
      <c r="A479" s="2" t="n"/>
      <c r="B479" s="2" t="n"/>
      <c r="C479" s="2" t="n"/>
      <c r="D479" s="2" t="n"/>
      <c r="E479" s="2" t="n"/>
      <c r="F479" s="2" t="n"/>
    </row>
    <row r="480" ht="15.75" customHeight="1" s="57">
      <c r="A480" s="2" t="n"/>
      <c r="B480" s="2" t="n"/>
      <c r="C480" s="2" t="n"/>
      <c r="D480" s="2" t="n"/>
      <c r="E480" s="2" t="n"/>
      <c r="F480" s="2" t="n"/>
    </row>
    <row r="481" ht="15.75" customHeight="1" s="57">
      <c r="A481" s="2" t="n"/>
      <c r="B481" s="2" t="n"/>
      <c r="C481" s="2" t="n"/>
      <c r="D481" s="2" t="n"/>
      <c r="E481" s="2" t="n"/>
      <c r="F481" s="2" t="n"/>
    </row>
    <row r="482" ht="15.75" customHeight="1" s="57">
      <c r="A482" s="2" t="n"/>
      <c r="B482" s="2" t="n"/>
      <c r="C482" s="2" t="n"/>
      <c r="D482" s="2" t="n"/>
      <c r="E482" s="2" t="n"/>
      <c r="F482" s="2" t="n"/>
    </row>
    <row r="483" ht="15.75" customHeight="1" s="57">
      <c r="A483" s="2" t="n"/>
      <c r="B483" s="2" t="n"/>
      <c r="C483" s="2" t="n"/>
      <c r="D483" s="2" t="n"/>
      <c r="E483" s="2" t="n"/>
      <c r="F483" s="2" t="n"/>
    </row>
    <row r="484" ht="15.75" customHeight="1" s="57">
      <c r="A484" s="2" t="n"/>
      <c r="B484" s="2" t="n"/>
      <c r="C484" s="2" t="n"/>
      <c r="D484" s="2" t="n"/>
      <c r="E484" s="2" t="n"/>
      <c r="F484" s="2" t="n"/>
    </row>
    <row r="485" ht="15.75" customHeight="1" s="57">
      <c r="A485" s="2" t="n"/>
      <c r="B485" s="2" t="n"/>
      <c r="C485" s="2" t="n"/>
      <c r="D485" s="2" t="n"/>
      <c r="E485" s="2" t="n"/>
      <c r="F485" s="2" t="n"/>
    </row>
    <row r="486" ht="15.75" customHeight="1" s="57">
      <c r="A486" s="2" t="n"/>
      <c r="B486" s="2" t="n"/>
      <c r="C486" s="2" t="n"/>
      <c r="D486" s="2" t="n"/>
      <c r="E486" s="2" t="n"/>
      <c r="F486" s="2" t="n"/>
    </row>
    <row r="487" ht="15.75" customHeight="1" s="57">
      <c r="A487" s="2" t="n"/>
      <c r="B487" s="2" t="n"/>
      <c r="C487" s="2" t="n"/>
      <c r="D487" s="2" t="n"/>
      <c r="E487" s="2" t="n"/>
      <c r="F487" s="2" t="n"/>
    </row>
    <row r="488" ht="15.75" customHeight="1" s="57">
      <c r="A488" s="2" t="n"/>
      <c r="B488" s="2" t="n"/>
      <c r="C488" s="2" t="n"/>
      <c r="D488" s="2" t="n"/>
      <c r="E488" s="2" t="n"/>
      <c r="F488" s="2" t="n"/>
    </row>
    <row r="489" ht="15.75" customHeight="1" s="57">
      <c r="A489" s="2" t="n"/>
      <c r="B489" s="2" t="n"/>
      <c r="C489" s="2" t="n"/>
      <c r="D489" s="2" t="n"/>
      <c r="E489" s="2" t="n"/>
      <c r="F489" s="2" t="n"/>
    </row>
    <row r="490" ht="15.75" customHeight="1" s="57">
      <c r="A490" s="2" t="n"/>
      <c r="B490" s="2" t="n"/>
      <c r="C490" s="2" t="n"/>
      <c r="D490" s="2" t="n"/>
      <c r="E490" s="2" t="n"/>
      <c r="F490" s="2" t="n"/>
    </row>
    <row r="491" ht="15.75" customHeight="1" s="57">
      <c r="A491" s="2" t="n"/>
      <c r="B491" s="2" t="n"/>
      <c r="C491" s="2" t="n"/>
      <c r="D491" s="2" t="n"/>
      <c r="E491" s="2" t="n"/>
      <c r="F491" s="2" t="n"/>
    </row>
    <row r="492" ht="15.75" customHeight="1" s="57">
      <c r="A492" s="2" t="n"/>
      <c r="B492" s="2" t="n"/>
      <c r="C492" s="2" t="n"/>
      <c r="D492" s="2" t="n"/>
      <c r="E492" s="2" t="n"/>
      <c r="F492" s="2" t="n"/>
    </row>
    <row r="493" ht="15.75" customHeight="1" s="57">
      <c r="A493" s="2" t="n"/>
      <c r="B493" s="2" t="n"/>
      <c r="C493" s="2" t="n"/>
      <c r="D493" s="2" t="n"/>
      <c r="E493" s="2" t="n"/>
      <c r="F493" s="2" t="n"/>
    </row>
    <row r="494" ht="15.75" customHeight="1" s="57">
      <c r="A494" s="2" t="n"/>
      <c r="B494" s="2" t="n"/>
      <c r="C494" s="2" t="n"/>
      <c r="D494" s="2" t="n"/>
      <c r="E494" s="2" t="n"/>
      <c r="F494" s="2" t="n"/>
    </row>
    <row r="495" ht="15.75" customHeight="1" s="57">
      <c r="A495" s="2" t="n"/>
      <c r="B495" s="2" t="n"/>
      <c r="C495" s="2" t="n"/>
      <c r="D495" s="2" t="n"/>
      <c r="E495" s="2" t="n"/>
      <c r="F495" s="2" t="n"/>
    </row>
    <row r="496" ht="15.75" customHeight="1" s="57">
      <c r="A496" s="2" t="n"/>
      <c r="B496" s="2" t="n"/>
      <c r="C496" s="2" t="n"/>
      <c r="D496" s="2" t="n"/>
      <c r="E496" s="2" t="n"/>
      <c r="F496" s="2" t="n"/>
    </row>
    <row r="497" ht="15.75" customHeight="1" s="57">
      <c r="A497" s="2" t="n"/>
      <c r="B497" s="2" t="n"/>
      <c r="C497" s="2" t="n"/>
      <c r="D497" s="2" t="n"/>
      <c r="E497" s="2" t="n"/>
      <c r="F497" s="2" t="n"/>
    </row>
    <row r="498" ht="15.75" customHeight="1" s="57">
      <c r="A498" s="2" t="n"/>
      <c r="B498" s="2" t="n"/>
      <c r="C498" s="2" t="n"/>
      <c r="D498" s="2" t="n"/>
      <c r="E498" s="2" t="n"/>
      <c r="F498" s="2" t="n"/>
    </row>
    <row r="499" ht="15.75" customHeight="1" s="57">
      <c r="A499" s="2" t="n"/>
      <c r="B499" s="2" t="n"/>
      <c r="C499" s="2" t="n"/>
      <c r="D499" s="2" t="n"/>
      <c r="E499" s="2" t="n"/>
      <c r="F499" s="2" t="n"/>
    </row>
    <row r="500" ht="15.75" customHeight="1" s="57">
      <c r="A500" s="2" t="n"/>
      <c r="B500" s="2" t="n"/>
      <c r="C500" s="2" t="n"/>
      <c r="D500" s="2" t="n"/>
      <c r="E500" s="2" t="n"/>
      <c r="F500" s="2" t="n"/>
    </row>
    <row r="501" ht="15.75" customHeight="1" s="57">
      <c r="A501" s="2" t="n"/>
      <c r="B501" s="2" t="n"/>
      <c r="C501" s="2" t="n"/>
      <c r="D501" s="2" t="n"/>
      <c r="E501" s="2" t="n"/>
      <c r="F501" s="2" t="n"/>
    </row>
    <row r="502" ht="15.75" customHeight="1" s="57">
      <c r="A502" s="2" t="n"/>
      <c r="B502" s="2" t="n"/>
      <c r="C502" s="2" t="n"/>
      <c r="D502" s="2" t="n"/>
      <c r="E502" s="2" t="n"/>
      <c r="F502" s="2" t="n"/>
    </row>
    <row r="503" ht="15.75" customHeight="1" s="57">
      <c r="A503" s="2" t="n"/>
      <c r="B503" s="2" t="n"/>
      <c r="C503" s="2" t="n"/>
      <c r="D503" s="2" t="n"/>
      <c r="E503" s="2" t="n"/>
      <c r="F503" s="2" t="n"/>
    </row>
    <row r="504" ht="15.75" customHeight="1" s="57">
      <c r="A504" s="2" t="n"/>
      <c r="B504" s="2" t="n"/>
      <c r="C504" s="2" t="n"/>
      <c r="D504" s="2" t="n"/>
      <c r="E504" s="2" t="n"/>
      <c r="F504" s="2" t="n"/>
    </row>
    <row r="505" ht="15.75" customHeight="1" s="57">
      <c r="A505" s="2" t="n"/>
      <c r="B505" s="2" t="n"/>
      <c r="C505" s="2" t="n"/>
      <c r="D505" s="2" t="n"/>
      <c r="E505" s="2" t="n"/>
      <c r="F505" s="2" t="n"/>
    </row>
    <row r="506" ht="15.75" customHeight="1" s="57">
      <c r="A506" s="2" t="n"/>
      <c r="B506" s="2" t="n"/>
      <c r="C506" s="2" t="n"/>
      <c r="D506" s="2" t="n"/>
      <c r="E506" s="2" t="n"/>
      <c r="F506" s="2" t="n"/>
    </row>
    <row r="507" ht="15.75" customHeight="1" s="57">
      <c r="A507" s="2" t="n"/>
      <c r="B507" s="2" t="n"/>
      <c r="C507" s="2" t="n"/>
      <c r="D507" s="2" t="n"/>
      <c r="E507" s="2" t="n"/>
      <c r="F507" s="2" t="n"/>
    </row>
    <row r="508" ht="15.75" customHeight="1" s="57">
      <c r="A508" s="2" t="n"/>
      <c r="B508" s="2" t="n"/>
      <c r="C508" s="2" t="n"/>
      <c r="D508" s="2" t="n"/>
      <c r="E508" s="2" t="n"/>
      <c r="F508" s="2" t="n"/>
    </row>
    <row r="509" ht="15.75" customHeight="1" s="57">
      <c r="A509" s="2" t="n"/>
      <c r="B509" s="2" t="n"/>
      <c r="C509" s="2" t="n"/>
      <c r="D509" s="2" t="n"/>
      <c r="E509" s="2" t="n"/>
      <c r="F509" s="2" t="n"/>
    </row>
    <row r="510" ht="15.75" customHeight="1" s="57">
      <c r="A510" s="2" t="n"/>
      <c r="B510" s="2" t="n"/>
      <c r="C510" s="2" t="n"/>
      <c r="D510" s="2" t="n"/>
      <c r="E510" s="2" t="n"/>
      <c r="F510" s="2" t="n"/>
    </row>
    <row r="511" ht="15.75" customHeight="1" s="57">
      <c r="A511" s="2" t="n"/>
      <c r="B511" s="2" t="n"/>
      <c r="C511" s="2" t="n"/>
      <c r="D511" s="2" t="n"/>
      <c r="E511" s="2" t="n"/>
      <c r="F511" s="2" t="n"/>
    </row>
    <row r="512" ht="15.75" customHeight="1" s="57">
      <c r="A512" s="2" t="n"/>
      <c r="B512" s="2" t="n"/>
      <c r="C512" s="2" t="n"/>
      <c r="D512" s="2" t="n"/>
      <c r="E512" s="2" t="n"/>
      <c r="F512" s="2" t="n"/>
    </row>
    <row r="513" ht="15.75" customHeight="1" s="57">
      <c r="A513" s="2" t="n"/>
      <c r="B513" s="2" t="n"/>
      <c r="C513" s="2" t="n"/>
      <c r="D513" s="2" t="n"/>
      <c r="E513" s="2" t="n"/>
      <c r="F513" s="2" t="n"/>
    </row>
    <row r="514" ht="15.75" customHeight="1" s="57">
      <c r="A514" s="2" t="n"/>
      <c r="B514" s="2" t="n"/>
      <c r="C514" s="2" t="n"/>
      <c r="D514" s="2" t="n"/>
      <c r="E514" s="2" t="n"/>
      <c r="F514" s="2" t="n"/>
    </row>
    <row r="515" ht="15.75" customHeight="1" s="57">
      <c r="A515" s="2" t="n"/>
      <c r="B515" s="2" t="n"/>
      <c r="C515" s="2" t="n"/>
      <c r="D515" s="2" t="n"/>
      <c r="E515" s="2" t="n"/>
      <c r="F515" s="2" t="n"/>
    </row>
    <row r="516" ht="15.75" customHeight="1" s="57">
      <c r="A516" s="2" t="n"/>
      <c r="B516" s="2" t="n"/>
      <c r="C516" s="2" t="n"/>
      <c r="D516" s="2" t="n"/>
      <c r="E516" s="2" t="n"/>
      <c r="F516" s="2" t="n"/>
    </row>
    <row r="517" ht="15.75" customHeight="1" s="57">
      <c r="A517" s="2" t="n"/>
      <c r="B517" s="2" t="n"/>
      <c r="C517" s="2" t="n"/>
      <c r="D517" s="2" t="n"/>
      <c r="E517" s="2" t="n"/>
      <c r="F517" s="2" t="n"/>
    </row>
    <row r="518" ht="15.75" customHeight="1" s="57">
      <c r="A518" s="2" t="n"/>
      <c r="B518" s="2" t="n"/>
      <c r="C518" s="2" t="n"/>
      <c r="D518" s="2" t="n"/>
      <c r="E518" s="2" t="n"/>
      <c r="F518" s="2" t="n"/>
    </row>
    <row r="519" ht="15.75" customHeight="1" s="57">
      <c r="A519" s="2" t="n"/>
      <c r="B519" s="2" t="n"/>
      <c r="C519" s="2" t="n"/>
      <c r="D519" s="2" t="n"/>
      <c r="E519" s="2" t="n"/>
      <c r="F519" s="2" t="n"/>
    </row>
    <row r="520" ht="15.75" customHeight="1" s="57">
      <c r="A520" s="2" t="n"/>
      <c r="B520" s="2" t="n"/>
      <c r="C520" s="2" t="n"/>
      <c r="D520" s="2" t="n"/>
      <c r="E520" s="2" t="n"/>
      <c r="F520" s="2" t="n"/>
    </row>
    <row r="521" ht="15.75" customHeight="1" s="57">
      <c r="A521" s="2" t="n"/>
      <c r="B521" s="2" t="n"/>
      <c r="C521" s="2" t="n"/>
      <c r="D521" s="2" t="n"/>
      <c r="E521" s="2" t="n"/>
      <c r="F521" s="2" t="n"/>
    </row>
    <row r="522" ht="15.75" customHeight="1" s="57">
      <c r="A522" s="2" t="n"/>
      <c r="B522" s="2" t="n"/>
      <c r="C522" s="2" t="n"/>
      <c r="D522" s="2" t="n"/>
      <c r="E522" s="2" t="n"/>
      <c r="F522" s="2" t="n"/>
    </row>
    <row r="523" ht="15.75" customHeight="1" s="57">
      <c r="A523" s="2" t="n"/>
      <c r="B523" s="2" t="n"/>
      <c r="C523" s="2" t="n"/>
      <c r="D523" s="2" t="n"/>
      <c r="E523" s="2" t="n"/>
      <c r="F523" s="2" t="n"/>
    </row>
    <row r="524" ht="15.75" customHeight="1" s="57">
      <c r="A524" s="2" t="n"/>
      <c r="B524" s="2" t="n"/>
      <c r="C524" s="2" t="n"/>
      <c r="D524" s="2" t="n"/>
      <c r="E524" s="2" t="n"/>
      <c r="F524" s="2" t="n"/>
    </row>
    <row r="525" ht="15.75" customHeight="1" s="57">
      <c r="A525" s="2" t="n"/>
      <c r="B525" s="2" t="n"/>
      <c r="C525" s="2" t="n"/>
      <c r="D525" s="2" t="n"/>
      <c r="E525" s="2" t="n"/>
      <c r="F525" s="2" t="n"/>
    </row>
    <row r="526" ht="15.75" customHeight="1" s="57">
      <c r="A526" s="2" t="n"/>
      <c r="B526" s="2" t="n"/>
      <c r="C526" s="2" t="n"/>
      <c r="D526" s="2" t="n"/>
      <c r="E526" s="2" t="n"/>
      <c r="F526" s="2" t="n"/>
    </row>
    <row r="527" ht="15.75" customHeight="1" s="57">
      <c r="A527" s="2" t="n"/>
      <c r="B527" s="2" t="n"/>
      <c r="C527" s="2" t="n"/>
      <c r="D527" s="2" t="n"/>
      <c r="E527" s="2" t="n"/>
      <c r="F527" s="2" t="n"/>
    </row>
    <row r="528" ht="15.75" customHeight="1" s="57">
      <c r="A528" s="2" t="n"/>
      <c r="B528" s="2" t="n"/>
      <c r="C528" s="2" t="n"/>
      <c r="D528" s="2" t="n"/>
      <c r="E528" s="2" t="n"/>
      <c r="F528" s="2" t="n"/>
    </row>
    <row r="529" ht="15.75" customHeight="1" s="57">
      <c r="A529" s="2" t="n"/>
      <c r="B529" s="2" t="n"/>
      <c r="C529" s="2" t="n"/>
      <c r="D529" s="2" t="n"/>
      <c r="E529" s="2" t="n"/>
      <c r="F529" s="2" t="n"/>
    </row>
    <row r="530" ht="15.75" customHeight="1" s="57">
      <c r="A530" s="2" t="n"/>
      <c r="B530" s="2" t="n"/>
      <c r="C530" s="2" t="n"/>
      <c r="D530" s="2" t="n"/>
      <c r="E530" s="2" t="n"/>
      <c r="F530" s="2" t="n"/>
    </row>
    <row r="531" ht="15.75" customHeight="1" s="57">
      <c r="A531" s="2" t="n"/>
      <c r="B531" s="2" t="n"/>
      <c r="C531" s="2" t="n"/>
      <c r="D531" s="2" t="n"/>
      <c r="E531" s="2" t="n"/>
      <c r="F531" s="2" t="n"/>
    </row>
    <row r="532" ht="15.75" customHeight="1" s="57">
      <c r="A532" s="2" t="n"/>
      <c r="B532" s="2" t="n"/>
      <c r="C532" s="2" t="n"/>
      <c r="D532" s="2" t="n"/>
      <c r="E532" s="2" t="n"/>
      <c r="F532" s="2" t="n"/>
    </row>
    <row r="533" ht="15.75" customHeight="1" s="57">
      <c r="A533" s="2" t="n"/>
      <c r="B533" s="2" t="n"/>
      <c r="C533" s="2" t="n"/>
      <c r="D533" s="2" t="n"/>
      <c r="E533" s="2" t="n"/>
      <c r="F533" s="2" t="n"/>
    </row>
    <row r="534" ht="15.75" customHeight="1" s="57">
      <c r="A534" s="2" t="n"/>
      <c r="B534" s="2" t="n"/>
      <c r="C534" s="2" t="n"/>
      <c r="D534" s="2" t="n"/>
      <c r="E534" s="2" t="n"/>
      <c r="F534" s="2" t="n"/>
    </row>
    <row r="535" ht="15.75" customHeight="1" s="57">
      <c r="A535" s="2" t="n"/>
      <c r="B535" s="2" t="n"/>
      <c r="C535" s="2" t="n"/>
      <c r="D535" s="2" t="n"/>
      <c r="E535" s="2" t="n"/>
      <c r="F535" s="2" t="n"/>
    </row>
    <row r="536" ht="15.75" customHeight="1" s="57">
      <c r="A536" s="2" t="n"/>
      <c r="B536" s="2" t="n"/>
      <c r="C536" s="2" t="n"/>
      <c r="D536" s="2" t="n"/>
      <c r="E536" s="2" t="n"/>
      <c r="F536" s="2" t="n"/>
    </row>
    <row r="537" ht="15.75" customHeight="1" s="57">
      <c r="A537" s="2" t="n"/>
      <c r="B537" s="2" t="n"/>
      <c r="C537" s="2" t="n"/>
      <c r="D537" s="2" t="n"/>
      <c r="E537" s="2" t="n"/>
      <c r="F537" s="2" t="n"/>
    </row>
    <row r="538" ht="15.75" customHeight="1" s="57">
      <c r="A538" s="2" t="n"/>
      <c r="B538" s="2" t="n"/>
      <c r="C538" s="2" t="n"/>
      <c r="D538" s="2" t="n"/>
      <c r="E538" s="2" t="n"/>
      <c r="F538" s="2" t="n"/>
    </row>
    <row r="539" ht="15.75" customHeight="1" s="57">
      <c r="A539" s="2" t="n"/>
      <c r="B539" s="2" t="n"/>
      <c r="C539" s="2" t="n"/>
      <c r="D539" s="2" t="n"/>
      <c r="E539" s="2" t="n"/>
      <c r="F539" s="2" t="n"/>
    </row>
    <row r="540" ht="15.75" customHeight="1" s="57">
      <c r="A540" s="2" t="n"/>
      <c r="B540" s="2" t="n"/>
      <c r="C540" s="2" t="n"/>
      <c r="D540" s="2" t="n"/>
      <c r="E540" s="2" t="n"/>
      <c r="F540" s="2" t="n"/>
    </row>
    <row r="541" ht="15.75" customHeight="1" s="57">
      <c r="A541" s="2" t="n"/>
      <c r="B541" s="2" t="n"/>
      <c r="C541" s="2" t="n"/>
      <c r="D541" s="2" t="n"/>
      <c r="E541" s="2" t="n"/>
      <c r="F541" s="2" t="n"/>
    </row>
    <row r="542" ht="15.75" customHeight="1" s="57">
      <c r="A542" s="2" t="n"/>
      <c r="B542" s="2" t="n"/>
      <c r="C542" s="2" t="n"/>
      <c r="D542" s="2" t="n"/>
      <c r="E542" s="2" t="n"/>
      <c r="F542" s="2" t="n"/>
    </row>
    <row r="543" ht="15.75" customHeight="1" s="57">
      <c r="A543" s="2" t="n"/>
      <c r="B543" s="2" t="n"/>
      <c r="C543" s="2" t="n"/>
      <c r="D543" s="2" t="n"/>
      <c r="E543" s="2" t="n"/>
      <c r="F543" s="2" t="n"/>
    </row>
    <row r="544" ht="15.75" customHeight="1" s="57">
      <c r="A544" s="2" t="n"/>
      <c r="B544" s="2" t="n"/>
      <c r="C544" s="2" t="n"/>
      <c r="D544" s="2" t="n"/>
      <c r="E544" s="2" t="n"/>
      <c r="F544" s="2" t="n"/>
    </row>
    <row r="545" ht="15.75" customHeight="1" s="57">
      <c r="A545" s="2" t="n"/>
      <c r="B545" s="2" t="n"/>
      <c r="C545" s="2" t="n"/>
      <c r="D545" s="2" t="n"/>
      <c r="E545" s="2" t="n"/>
      <c r="F545" s="2" t="n"/>
    </row>
    <row r="546" ht="15.75" customHeight="1" s="57">
      <c r="A546" s="2" t="n"/>
      <c r="B546" s="2" t="n"/>
      <c r="C546" s="2" t="n"/>
      <c r="D546" s="2" t="n"/>
      <c r="E546" s="2" t="n"/>
      <c r="F546" s="2" t="n"/>
    </row>
    <row r="547" ht="15.75" customHeight="1" s="57">
      <c r="A547" s="2" t="n"/>
      <c r="B547" s="2" t="n"/>
      <c r="C547" s="2" t="n"/>
      <c r="D547" s="2" t="n"/>
      <c r="E547" s="2" t="n"/>
      <c r="F547" s="2" t="n"/>
    </row>
    <row r="548" ht="15.75" customHeight="1" s="57">
      <c r="A548" s="2" t="n"/>
      <c r="B548" s="2" t="n"/>
      <c r="C548" s="2" t="n"/>
      <c r="D548" s="2" t="n"/>
      <c r="E548" s="2" t="n"/>
      <c r="F548" s="2" t="n"/>
    </row>
    <row r="549" ht="15.75" customHeight="1" s="57">
      <c r="A549" s="2" t="n"/>
      <c r="B549" s="2" t="n"/>
      <c r="C549" s="2" t="n"/>
      <c r="D549" s="2" t="n"/>
      <c r="E549" s="2" t="n"/>
      <c r="F549" s="2" t="n"/>
    </row>
    <row r="550" ht="15.75" customHeight="1" s="57">
      <c r="A550" s="2" t="n"/>
      <c r="B550" s="2" t="n"/>
      <c r="C550" s="2" t="n"/>
      <c r="D550" s="2" t="n"/>
      <c r="E550" s="2" t="n"/>
      <c r="F550" s="2" t="n"/>
    </row>
    <row r="551" ht="15.75" customHeight="1" s="57">
      <c r="A551" s="2" t="n"/>
      <c r="B551" s="2" t="n"/>
      <c r="C551" s="2" t="n"/>
      <c r="D551" s="2" t="n"/>
      <c r="E551" s="2" t="n"/>
      <c r="F551" s="2" t="n"/>
    </row>
    <row r="552" ht="15.75" customHeight="1" s="57">
      <c r="A552" s="2" t="n"/>
      <c r="B552" s="2" t="n"/>
      <c r="C552" s="2" t="n"/>
      <c r="D552" s="2" t="n"/>
      <c r="E552" s="2" t="n"/>
      <c r="F552" s="2" t="n"/>
    </row>
    <row r="553" ht="15.75" customHeight="1" s="57">
      <c r="A553" s="2" t="n"/>
      <c r="B553" s="2" t="n"/>
      <c r="C553" s="2" t="n"/>
      <c r="D553" s="2" t="n"/>
      <c r="E553" s="2" t="n"/>
      <c r="F553" s="2" t="n"/>
    </row>
    <row r="554" ht="15.75" customHeight="1" s="57">
      <c r="A554" s="2" t="n"/>
      <c r="B554" s="2" t="n"/>
      <c r="C554" s="2" t="n"/>
      <c r="D554" s="2" t="n"/>
      <c r="E554" s="2" t="n"/>
      <c r="F554" s="2" t="n"/>
    </row>
    <row r="555" ht="15.75" customHeight="1" s="57">
      <c r="A555" s="2" t="n"/>
      <c r="B555" s="2" t="n"/>
      <c r="C555" s="2" t="n"/>
      <c r="D555" s="2" t="n"/>
      <c r="E555" s="2" t="n"/>
      <c r="F555" s="2" t="n"/>
    </row>
    <row r="556" ht="15.75" customHeight="1" s="57">
      <c r="A556" s="2" t="n"/>
      <c r="B556" s="2" t="n"/>
      <c r="C556" s="2" t="n"/>
      <c r="D556" s="2" t="n"/>
      <c r="E556" s="2" t="n"/>
      <c r="F556" s="2" t="n"/>
    </row>
    <row r="557" ht="15.75" customHeight="1" s="57">
      <c r="A557" s="2" t="n"/>
      <c r="B557" s="2" t="n"/>
      <c r="C557" s="2" t="n"/>
      <c r="D557" s="2" t="n"/>
      <c r="E557" s="2" t="n"/>
      <c r="F557" s="2" t="n"/>
    </row>
    <row r="558" ht="15.75" customHeight="1" s="57">
      <c r="A558" s="2" t="n"/>
      <c r="B558" s="2" t="n"/>
      <c r="C558" s="2" t="n"/>
      <c r="D558" s="2" t="n"/>
      <c r="E558" s="2" t="n"/>
      <c r="F558" s="2" t="n"/>
    </row>
    <row r="559" ht="15.75" customHeight="1" s="57">
      <c r="A559" s="2" t="n"/>
      <c r="B559" s="2" t="n"/>
      <c r="C559" s="2" t="n"/>
      <c r="D559" s="2" t="n"/>
      <c r="E559" s="2" t="n"/>
      <c r="F559" s="2" t="n"/>
    </row>
    <row r="560" ht="15.75" customHeight="1" s="57">
      <c r="A560" s="2" t="n"/>
      <c r="B560" s="2" t="n"/>
      <c r="C560" s="2" t="n"/>
      <c r="D560" s="2" t="n"/>
      <c r="E560" s="2" t="n"/>
      <c r="F560" s="2" t="n"/>
    </row>
    <row r="561" ht="15.75" customHeight="1" s="57">
      <c r="A561" s="2" t="n"/>
      <c r="B561" s="2" t="n"/>
      <c r="C561" s="2" t="n"/>
      <c r="D561" s="2" t="n"/>
      <c r="E561" s="2" t="n"/>
      <c r="F561" s="2" t="n"/>
    </row>
    <row r="562" ht="15.75" customHeight="1" s="57">
      <c r="A562" s="2" t="n"/>
      <c r="B562" s="2" t="n"/>
      <c r="C562" s="2" t="n"/>
      <c r="D562" s="2" t="n"/>
      <c r="E562" s="2" t="n"/>
      <c r="F562" s="2" t="n"/>
    </row>
    <row r="563" ht="15.75" customHeight="1" s="57">
      <c r="A563" s="2" t="n"/>
      <c r="B563" s="2" t="n"/>
      <c r="C563" s="2" t="n"/>
      <c r="D563" s="2" t="n"/>
      <c r="E563" s="2" t="n"/>
      <c r="F563" s="2" t="n"/>
    </row>
    <row r="564" ht="15.75" customHeight="1" s="57">
      <c r="A564" s="2" t="n"/>
      <c r="B564" s="2" t="n"/>
      <c r="C564" s="2" t="n"/>
      <c r="D564" s="2" t="n"/>
      <c r="E564" s="2" t="n"/>
      <c r="F564" s="2" t="n"/>
    </row>
    <row r="565" ht="15.75" customHeight="1" s="57">
      <c r="A565" s="2" t="n"/>
      <c r="B565" s="2" t="n"/>
      <c r="C565" s="2" t="n"/>
      <c r="D565" s="2" t="n"/>
      <c r="E565" s="2" t="n"/>
      <c r="F565" s="2" t="n"/>
    </row>
    <row r="566" ht="15.75" customHeight="1" s="57">
      <c r="A566" s="2" t="n"/>
      <c r="B566" s="2" t="n"/>
      <c r="C566" s="2" t="n"/>
      <c r="D566" s="2" t="n"/>
      <c r="E566" s="2" t="n"/>
      <c r="F566" s="2" t="n"/>
    </row>
    <row r="567" ht="15.75" customHeight="1" s="57">
      <c r="A567" s="2" t="n"/>
      <c r="B567" s="2" t="n"/>
      <c r="C567" s="2" t="n"/>
      <c r="D567" s="2" t="n"/>
      <c r="E567" s="2" t="n"/>
      <c r="F567" s="2" t="n"/>
    </row>
    <row r="568" ht="15.75" customHeight="1" s="57">
      <c r="A568" s="2" t="n"/>
      <c r="B568" s="2" t="n"/>
      <c r="C568" s="2" t="n"/>
      <c r="D568" s="2" t="n"/>
      <c r="E568" s="2" t="n"/>
      <c r="F568" s="2" t="n"/>
    </row>
    <row r="569" ht="15.75" customHeight="1" s="57">
      <c r="A569" s="2" t="n"/>
      <c r="B569" s="2" t="n"/>
      <c r="C569" s="2" t="n"/>
      <c r="D569" s="2" t="n"/>
      <c r="E569" s="2" t="n"/>
      <c r="F569" s="2" t="n"/>
    </row>
    <row r="570" ht="15.75" customHeight="1" s="57">
      <c r="A570" s="2" t="n"/>
      <c r="B570" s="2" t="n"/>
      <c r="C570" s="2" t="n"/>
      <c r="D570" s="2" t="n"/>
      <c r="E570" s="2" t="n"/>
      <c r="F570" s="2" t="n"/>
    </row>
    <row r="571" ht="15.75" customHeight="1" s="57">
      <c r="A571" s="2" t="n"/>
      <c r="B571" s="2" t="n"/>
      <c r="C571" s="2" t="n"/>
      <c r="D571" s="2" t="n"/>
      <c r="E571" s="2" t="n"/>
      <c r="F571" s="2" t="n"/>
    </row>
    <row r="572" ht="15.75" customHeight="1" s="57">
      <c r="A572" s="2" t="n"/>
      <c r="B572" s="2" t="n"/>
      <c r="C572" s="2" t="n"/>
      <c r="D572" s="2" t="n"/>
      <c r="E572" s="2" t="n"/>
      <c r="F572" s="2" t="n"/>
    </row>
    <row r="573" ht="15.75" customHeight="1" s="57">
      <c r="A573" s="2" t="n"/>
      <c r="B573" s="2" t="n"/>
      <c r="C573" s="2" t="n"/>
      <c r="D573" s="2" t="n"/>
      <c r="E573" s="2" t="n"/>
      <c r="F573" s="2" t="n"/>
    </row>
    <row r="574" ht="15.75" customHeight="1" s="57">
      <c r="A574" s="2" t="n"/>
      <c r="B574" s="2" t="n"/>
      <c r="C574" s="2" t="n"/>
      <c r="D574" s="2" t="n"/>
      <c r="E574" s="2" t="n"/>
      <c r="F574" s="2" t="n"/>
    </row>
    <row r="575" ht="15.75" customHeight="1" s="57">
      <c r="A575" s="2" t="n"/>
      <c r="B575" s="2" t="n"/>
      <c r="C575" s="2" t="n"/>
      <c r="D575" s="2" t="n"/>
      <c r="E575" s="2" t="n"/>
      <c r="F575" s="2" t="n"/>
    </row>
    <row r="576" ht="15.75" customHeight="1" s="57">
      <c r="A576" s="2" t="n"/>
      <c r="B576" s="2" t="n"/>
      <c r="C576" s="2" t="n"/>
      <c r="D576" s="2" t="n"/>
      <c r="E576" s="2" t="n"/>
      <c r="F576" s="2" t="n"/>
    </row>
    <row r="577" ht="15.75" customHeight="1" s="57">
      <c r="A577" s="2" t="n"/>
      <c r="B577" s="2" t="n"/>
      <c r="C577" s="2" t="n"/>
      <c r="D577" s="2" t="n"/>
      <c r="E577" s="2" t="n"/>
      <c r="F577" s="2" t="n"/>
    </row>
    <row r="578" ht="15.75" customHeight="1" s="57">
      <c r="A578" s="2" t="n"/>
      <c r="B578" s="2" t="n"/>
      <c r="C578" s="2" t="n"/>
      <c r="D578" s="2" t="n"/>
      <c r="E578" s="2" t="n"/>
      <c r="F578" s="2" t="n"/>
    </row>
    <row r="579" ht="15.75" customHeight="1" s="57">
      <c r="A579" s="2" t="n"/>
      <c r="B579" s="2" t="n"/>
      <c r="C579" s="2" t="n"/>
      <c r="D579" s="2" t="n"/>
      <c r="E579" s="2" t="n"/>
      <c r="F579" s="2" t="n"/>
    </row>
    <row r="580" ht="15.75" customHeight="1" s="57">
      <c r="A580" s="2" t="n"/>
      <c r="B580" s="2" t="n"/>
      <c r="C580" s="2" t="n"/>
      <c r="D580" s="2" t="n"/>
      <c r="E580" s="2" t="n"/>
      <c r="F580" s="2" t="n"/>
    </row>
    <row r="581" ht="15.75" customHeight="1" s="57">
      <c r="A581" s="2" t="n"/>
      <c r="B581" s="2" t="n"/>
      <c r="C581" s="2" t="n"/>
      <c r="D581" s="2" t="n"/>
      <c r="E581" s="2" t="n"/>
      <c r="F581" s="2" t="n"/>
    </row>
    <row r="582" ht="15.75" customHeight="1" s="57">
      <c r="A582" s="2" t="n"/>
      <c r="B582" s="2" t="n"/>
      <c r="C582" s="2" t="n"/>
      <c r="D582" s="2" t="n"/>
      <c r="E582" s="2" t="n"/>
      <c r="F582" s="2" t="n"/>
    </row>
    <row r="583" ht="15.75" customHeight="1" s="57">
      <c r="A583" s="2" t="n"/>
      <c r="B583" s="2" t="n"/>
      <c r="C583" s="2" t="n"/>
      <c r="D583" s="2" t="n"/>
      <c r="E583" s="2" t="n"/>
      <c r="F583" s="2" t="n"/>
    </row>
    <row r="584" ht="15.75" customHeight="1" s="57">
      <c r="A584" s="2" t="n"/>
      <c r="B584" s="2" t="n"/>
      <c r="C584" s="2" t="n"/>
      <c r="D584" s="2" t="n"/>
      <c r="E584" s="2" t="n"/>
      <c r="F584" s="2" t="n"/>
    </row>
    <row r="585" ht="15.75" customHeight="1" s="57">
      <c r="A585" s="2" t="n"/>
      <c r="B585" s="2" t="n"/>
      <c r="C585" s="2" t="n"/>
      <c r="D585" s="2" t="n"/>
      <c r="E585" s="2" t="n"/>
      <c r="F585" s="2" t="n"/>
    </row>
    <row r="586" ht="15.75" customHeight="1" s="57">
      <c r="A586" s="2" t="n"/>
      <c r="B586" s="2" t="n"/>
      <c r="C586" s="2" t="n"/>
      <c r="D586" s="2" t="n"/>
      <c r="E586" s="2" t="n"/>
      <c r="F586" s="2" t="n"/>
    </row>
    <row r="587" ht="15.75" customHeight="1" s="57">
      <c r="A587" s="2" t="n"/>
      <c r="B587" s="2" t="n"/>
      <c r="C587" s="2" t="n"/>
      <c r="D587" s="2" t="n"/>
      <c r="E587" s="2" t="n"/>
      <c r="F587" s="2" t="n"/>
    </row>
    <row r="588" ht="15.75" customHeight="1" s="57">
      <c r="A588" s="2" t="n"/>
      <c r="B588" s="2" t="n"/>
      <c r="C588" s="2" t="n"/>
      <c r="D588" s="2" t="n"/>
      <c r="E588" s="2" t="n"/>
      <c r="F588" s="2" t="n"/>
    </row>
    <row r="589" ht="15.75" customHeight="1" s="57">
      <c r="A589" s="2" t="n"/>
      <c r="B589" s="2" t="n"/>
      <c r="C589" s="2" t="n"/>
      <c r="D589" s="2" t="n"/>
      <c r="E589" s="2" t="n"/>
      <c r="F589" s="2" t="n"/>
    </row>
    <row r="590" ht="15.75" customHeight="1" s="57">
      <c r="A590" s="2" t="n"/>
      <c r="B590" s="2" t="n"/>
      <c r="C590" s="2" t="n"/>
      <c r="D590" s="2" t="n"/>
      <c r="E590" s="2" t="n"/>
      <c r="F590" s="2" t="n"/>
    </row>
    <row r="591" ht="15.75" customHeight="1" s="57">
      <c r="A591" s="2" t="n"/>
      <c r="B591" s="2" t="n"/>
      <c r="C591" s="2" t="n"/>
      <c r="D591" s="2" t="n"/>
      <c r="E591" s="2" t="n"/>
      <c r="F591" s="2" t="n"/>
    </row>
    <row r="592" ht="15.75" customHeight="1" s="57">
      <c r="A592" s="2" t="n"/>
      <c r="B592" s="2" t="n"/>
      <c r="C592" s="2" t="n"/>
      <c r="D592" s="2" t="n"/>
      <c r="E592" s="2" t="n"/>
      <c r="F592" s="2" t="n"/>
    </row>
    <row r="593" ht="15.75" customHeight="1" s="57">
      <c r="A593" s="2" t="n"/>
      <c r="B593" s="2" t="n"/>
      <c r="C593" s="2" t="n"/>
      <c r="D593" s="2" t="n"/>
      <c r="E593" s="2" t="n"/>
      <c r="F593" s="2" t="n"/>
    </row>
    <row r="594" ht="15.75" customHeight="1" s="57">
      <c r="A594" s="2" t="n"/>
      <c r="B594" s="2" t="n"/>
      <c r="C594" s="2" t="n"/>
      <c r="D594" s="2" t="n"/>
      <c r="E594" s="2" t="n"/>
      <c r="F594" s="2" t="n"/>
    </row>
    <row r="595" ht="15.75" customHeight="1" s="57">
      <c r="A595" s="2" t="n"/>
      <c r="B595" s="2" t="n"/>
      <c r="C595" s="2" t="n"/>
      <c r="D595" s="2" t="n"/>
      <c r="E595" s="2" t="n"/>
      <c r="F595" s="2" t="n"/>
    </row>
    <row r="596" ht="15.75" customHeight="1" s="57">
      <c r="A596" s="2" t="n"/>
      <c r="B596" s="2" t="n"/>
      <c r="C596" s="2" t="n"/>
      <c r="D596" s="2" t="n"/>
      <c r="E596" s="2" t="n"/>
      <c r="F596" s="2" t="n"/>
    </row>
    <row r="597" ht="15.75" customHeight="1" s="57">
      <c r="A597" s="2" t="n"/>
      <c r="B597" s="2" t="n"/>
      <c r="C597" s="2" t="n"/>
      <c r="D597" s="2" t="n"/>
      <c r="E597" s="2" t="n"/>
      <c r="F597" s="2" t="n"/>
    </row>
    <row r="598" ht="15.75" customHeight="1" s="57">
      <c r="A598" s="2" t="n"/>
      <c r="B598" s="2" t="n"/>
      <c r="C598" s="2" t="n"/>
      <c r="D598" s="2" t="n"/>
      <c r="E598" s="2" t="n"/>
      <c r="F598" s="2" t="n"/>
    </row>
    <row r="599" ht="15.75" customHeight="1" s="57">
      <c r="A599" s="2" t="n"/>
      <c r="B599" s="2" t="n"/>
      <c r="C599" s="2" t="n"/>
      <c r="D599" s="2" t="n"/>
      <c r="E599" s="2" t="n"/>
      <c r="F599" s="2" t="n"/>
    </row>
    <row r="600" ht="15.75" customHeight="1" s="57">
      <c r="A600" s="2" t="n"/>
      <c r="B600" s="2" t="n"/>
      <c r="C600" s="2" t="n"/>
      <c r="D600" s="2" t="n"/>
      <c r="E600" s="2" t="n"/>
      <c r="F600" s="2" t="n"/>
    </row>
    <row r="601" ht="15.75" customHeight="1" s="57">
      <c r="A601" s="2" t="n"/>
      <c r="B601" s="2" t="n"/>
      <c r="C601" s="2" t="n"/>
      <c r="D601" s="2" t="n"/>
      <c r="E601" s="2" t="n"/>
      <c r="F601" s="2" t="n"/>
    </row>
    <row r="602" ht="15.75" customHeight="1" s="57">
      <c r="A602" s="2" t="n"/>
      <c r="B602" s="2" t="n"/>
      <c r="C602" s="2" t="n"/>
      <c r="D602" s="2" t="n"/>
      <c r="E602" s="2" t="n"/>
      <c r="F602" s="2" t="n"/>
    </row>
    <row r="603" ht="15.75" customHeight="1" s="57">
      <c r="A603" s="2" t="n"/>
      <c r="B603" s="2" t="n"/>
      <c r="C603" s="2" t="n"/>
      <c r="D603" s="2" t="n"/>
      <c r="E603" s="2" t="n"/>
      <c r="F603" s="2" t="n"/>
    </row>
    <row r="604" ht="15.75" customHeight="1" s="57">
      <c r="A604" s="2" t="n"/>
      <c r="B604" s="2" t="n"/>
      <c r="C604" s="2" t="n"/>
      <c r="D604" s="2" t="n"/>
      <c r="E604" s="2" t="n"/>
      <c r="F604" s="2" t="n"/>
    </row>
    <row r="605" ht="15.75" customHeight="1" s="57">
      <c r="A605" s="2" t="n"/>
      <c r="B605" s="2" t="n"/>
      <c r="C605" s="2" t="n"/>
      <c r="D605" s="2" t="n"/>
      <c r="E605" s="2" t="n"/>
      <c r="F605" s="2" t="n"/>
    </row>
    <row r="606" ht="15.75" customHeight="1" s="57">
      <c r="A606" s="2" t="n"/>
      <c r="B606" s="2" t="n"/>
      <c r="C606" s="2" t="n"/>
      <c r="D606" s="2" t="n"/>
      <c r="E606" s="2" t="n"/>
      <c r="F606" s="2" t="n"/>
    </row>
    <row r="607" ht="15.75" customHeight="1" s="57">
      <c r="A607" s="2" t="n"/>
      <c r="B607" s="2" t="n"/>
      <c r="C607" s="2" t="n"/>
      <c r="D607" s="2" t="n"/>
      <c r="E607" s="2" t="n"/>
      <c r="F607" s="2" t="n"/>
    </row>
    <row r="608" ht="15.75" customHeight="1" s="57">
      <c r="A608" s="2" t="n"/>
      <c r="B608" s="2" t="n"/>
      <c r="C608" s="2" t="n"/>
      <c r="D608" s="2" t="n"/>
      <c r="E608" s="2" t="n"/>
      <c r="F608" s="2" t="n"/>
    </row>
    <row r="609" ht="15.75" customHeight="1" s="57">
      <c r="A609" s="2" t="n"/>
      <c r="B609" s="2" t="n"/>
      <c r="C609" s="2" t="n"/>
      <c r="D609" s="2" t="n"/>
      <c r="E609" s="2" t="n"/>
      <c r="F609" s="2" t="n"/>
    </row>
    <row r="610" ht="15.75" customHeight="1" s="57">
      <c r="A610" s="2" t="n"/>
      <c r="B610" s="2" t="n"/>
      <c r="C610" s="2" t="n"/>
      <c r="D610" s="2" t="n"/>
      <c r="E610" s="2" t="n"/>
      <c r="F610" s="2" t="n"/>
    </row>
    <row r="611" ht="15.75" customHeight="1" s="57">
      <c r="A611" s="2" t="n"/>
      <c r="B611" s="2" t="n"/>
      <c r="C611" s="2" t="n"/>
      <c r="D611" s="2" t="n"/>
      <c r="E611" s="2" t="n"/>
      <c r="F611" s="2" t="n"/>
    </row>
    <row r="612" ht="15.75" customHeight="1" s="57">
      <c r="A612" s="2" t="n"/>
      <c r="B612" s="2" t="n"/>
      <c r="C612" s="2" t="n"/>
      <c r="D612" s="2" t="n"/>
      <c r="E612" s="2" t="n"/>
      <c r="F612" s="2" t="n"/>
    </row>
    <row r="613" ht="15.75" customHeight="1" s="57">
      <c r="A613" s="2" t="n"/>
      <c r="B613" s="2" t="n"/>
      <c r="C613" s="2" t="n"/>
      <c r="D613" s="2" t="n"/>
      <c r="E613" s="2" t="n"/>
      <c r="F613" s="2" t="n"/>
    </row>
    <row r="614" ht="15.75" customHeight="1" s="57">
      <c r="A614" s="2" t="n"/>
      <c r="B614" s="2" t="n"/>
      <c r="C614" s="2" t="n"/>
      <c r="D614" s="2" t="n"/>
      <c r="E614" s="2" t="n"/>
      <c r="F614" s="2" t="n"/>
    </row>
    <row r="615" ht="15.75" customHeight="1" s="57">
      <c r="A615" s="2" t="n"/>
      <c r="B615" s="2" t="n"/>
      <c r="C615" s="2" t="n"/>
      <c r="D615" s="2" t="n"/>
      <c r="E615" s="2" t="n"/>
      <c r="F615" s="2" t="n"/>
    </row>
    <row r="616" ht="15.75" customHeight="1" s="57">
      <c r="A616" s="2" t="n"/>
      <c r="B616" s="2" t="n"/>
      <c r="C616" s="2" t="n"/>
      <c r="D616" s="2" t="n"/>
      <c r="E616" s="2" t="n"/>
      <c r="F616" s="2" t="n"/>
    </row>
    <row r="617" ht="15.75" customHeight="1" s="57">
      <c r="A617" s="2" t="n"/>
      <c r="B617" s="2" t="n"/>
      <c r="C617" s="2" t="n"/>
      <c r="D617" s="2" t="n"/>
      <c r="E617" s="2" t="n"/>
      <c r="F617" s="2" t="n"/>
    </row>
    <row r="618" ht="15.75" customHeight="1" s="57">
      <c r="A618" s="2" t="n"/>
      <c r="B618" s="2" t="n"/>
      <c r="C618" s="2" t="n"/>
      <c r="D618" s="2" t="n"/>
      <c r="E618" s="2" t="n"/>
      <c r="F618" s="2" t="n"/>
    </row>
    <row r="619" ht="15.75" customHeight="1" s="57">
      <c r="A619" s="2" t="n"/>
      <c r="B619" s="2" t="n"/>
      <c r="C619" s="2" t="n"/>
      <c r="D619" s="2" t="n"/>
      <c r="E619" s="2" t="n"/>
      <c r="F619" s="2" t="n"/>
    </row>
    <row r="620" ht="15.75" customHeight="1" s="57">
      <c r="A620" s="2" t="n"/>
      <c r="B620" s="2" t="n"/>
      <c r="C620" s="2" t="n"/>
      <c r="D620" s="2" t="n"/>
      <c r="E620" s="2" t="n"/>
      <c r="F620" s="2" t="n"/>
    </row>
    <row r="621" ht="15.75" customHeight="1" s="57">
      <c r="A621" s="2" t="n"/>
      <c r="B621" s="2" t="n"/>
      <c r="C621" s="2" t="n"/>
      <c r="D621" s="2" t="n"/>
      <c r="E621" s="2" t="n"/>
      <c r="F621" s="2" t="n"/>
    </row>
    <row r="622" ht="15.75" customHeight="1" s="57">
      <c r="A622" s="2" t="n"/>
      <c r="B622" s="2" t="n"/>
      <c r="C622" s="2" t="n"/>
      <c r="D622" s="2" t="n"/>
      <c r="E622" s="2" t="n"/>
      <c r="F622" s="2" t="n"/>
    </row>
    <row r="623" ht="15.75" customHeight="1" s="57">
      <c r="A623" s="2" t="n"/>
      <c r="B623" s="2" t="n"/>
      <c r="C623" s="2" t="n"/>
      <c r="D623" s="2" t="n"/>
      <c r="E623" s="2" t="n"/>
      <c r="F623" s="2" t="n"/>
    </row>
    <row r="624" ht="15.75" customHeight="1" s="57">
      <c r="A624" s="2" t="n"/>
      <c r="B624" s="2" t="n"/>
      <c r="C624" s="2" t="n"/>
      <c r="D624" s="2" t="n"/>
      <c r="E624" s="2" t="n"/>
      <c r="F624" s="2" t="n"/>
    </row>
    <row r="625" ht="15.75" customHeight="1" s="57">
      <c r="A625" s="2" t="n"/>
      <c r="B625" s="2" t="n"/>
      <c r="C625" s="2" t="n"/>
      <c r="D625" s="2" t="n"/>
      <c r="E625" s="2" t="n"/>
      <c r="F625" s="2" t="n"/>
    </row>
    <row r="626" ht="15.75" customHeight="1" s="57">
      <c r="A626" s="2" t="n"/>
      <c r="B626" s="2" t="n"/>
      <c r="C626" s="2" t="n"/>
      <c r="D626" s="2" t="n"/>
      <c r="E626" s="2" t="n"/>
      <c r="F626" s="2" t="n"/>
    </row>
    <row r="627" ht="15.75" customHeight="1" s="57">
      <c r="A627" s="2" t="n"/>
      <c r="B627" s="2" t="n"/>
      <c r="C627" s="2" t="n"/>
      <c r="D627" s="2" t="n"/>
      <c r="E627" s="2" t="n"/>
      <c r="F627" s="2" t="n"/>
    </row>
    <row r="628" ht="15.75" customHeight="1" s="57">
      <c r="A628" s="2" t="n"/>
      <c r="B628" s="2" t="n"/>
      <c r="C628" s="2" t="n"/>
      <c r="D628" s="2" t="n"/>
      <c r="E628" s="2" t="n"/>
      <c r="F628" s="2" t="n"/>
    </row>
    <row r="629" ht="15.75" customHeight="1" s="57">
      <c r="A629" s="2" t="n"/>
      <c r="B629" s="2" t="n"/>
      <c r="C629" s="2" t="n"/>
      <c r="D629" s="2" t="n"/>
      <c r="E629" s="2" t="n"/>
      <c r="F629" s="2" t="n"/>
    </row>
    <row r="630" ht="15.75" customHeight="1" s="57">
      <c r="A630" s="2" t="n"/>
      <c r="B630" s="2" t="n"/>
      <c r="C630" s="2" t="n"/>
      <c r="D630" s="2" t="n"/>
      <c r="E630" s="2" t="n"/>
      <c r="F630" s="2" t="n"/>
    </row>
    <row r="631" ht="15.75" customHeight="1" s="57">
      <c r="A631" s="2" t="n"/>
      <c r="B631" s="2" t="n"/>
      <c r="C631" s="2" t="n"/>
      <c r="D631" s="2" t="n"/>
      <c r="E631" s="2" t="n"/>
      <c r="F631" s="2" t="n"/>
    </row>
    <row r="632" ht="15.75" customHeight="1" s="57">
      <c r="A632" s="2" t="n"/>
      <c r="B632" s="2" t="n"/>
      <c r="C632" s="2" t="n"/>
      <c r="D632" s="2" t="n"/>
      <c r="E632" s="2" t="n"/>
      <c r="F632" s="2" t="n"/>
    </row>
    <row r="633" ht="15.75" customHeight="1" s="57">
      <c r="A633" s="2" t="n"/>
      <c r="B633" s="2" t="n"/>
      <c r="C633" s="2" t="n"/>
      <c r="D633" s="2" t="n"/>
      <c r="E633" s="2" t="n"/>
      <c r="F633" s="2" t="n"/>
    </row>
    <row r="634" ht="15.75" customHeight="1" s="57">
      <c r="A634" s="2" t="n"/>
      <c r="B634" s="2" t="n"/>
      <c r="C634" s="2" t="n"/>
      <c r="D634" s="2" t="n"/>
      <c r="E634" s="2" t="n"/>
      <c r="F634" s="2" t="n"/>
    </row>
    <row r="635" ht="15.75" customHeight="1" s="57">
      <c r="A635" s="2" t="n"/>
      <c r="B635" s="2" t="n"/>
      <c r="C635" s="2" t="n"/>
      <c r="D635" s="2" t="n"/>
      <c r="E635" s="2" t="n"/>
      <c r="F635" s="2" t="n"/>
    </row>
    <row r="636" ht="15.75" customHeight="1" s="57">
      <c r="A636" s="2" t="n"/>
      <c r="B636" s="2" t="n"/>
      <c r="C636" s="2" t="n"/>
      <c r="D636" s="2" t="n"/>
      <c r="E636" s="2" t="n"/>
      <c r="F636" s="2" t="n"/>
    </row>
    <row r="637" ht="15.75" customHeight="1" s="57">
      <c r="A637" s="2" t="n"/>
      <c r="B637" s="2" t="n"/>
      <c r="C637" s="2" t="n"/>
      <c r="D637" s="2" t="n"/>
      <c r="E637" s="2" t="n"/>
      <c r="F637" s="2" t="n"/>
    </row>
    <row r="638" ht="15.75" customHeight="1" s="57">
      <c r="A638" s="2" t="n"/>
      <c r="B638" s="2" t="n"/>
      <c r="C638" s="2" t="n"/>
      <c r="D638" s="2" t="n"/>
      <c r="E638" s="2" t="n"/>
      <c r="F638" s="2" t="n"/>
    </row>
    <row r="639" ht="15.75" customHeight="1" s="57">
      <c r="A639" s="2" t="n"/>
      <c r="B639" s="2" t="n"/>
      <c r="C639" s="2" t="n"/>
      <c r="D639" s="2" t="n"/>
      <c r="E639" s="2" t="n"/>
      <c r="F639" s="2" t="n"/>
    </row>
    <row r="640" ht="15.75" customHeight="1" s="57">
      <c r="A640" s="2" t="n"/>
      <c r="B640" s="2" t="n"/>
      <c r="C640" s="2" t="n"/>
      <c r="D640" s="2" t="n"/>
      <c r="E640" s="2" t="n"/>
      <c r="F640" s="2" t="n"/>
    </row>
    <row r="641" ht="15.75" customHeight="1" s="57">
      <c r="A641" s="2" t="n"/>
      <c r="B641" s="2" t="n"/>
      <c r="C641" s="2" t="n"/>
      <c r="D641" s="2" t="n"/>
      <c r="E641" s="2" t="n"/>
      <c r="F641" s="2" t="n"/>
    </row>
    <row r="642" ht="15.75" customHeight="1" s="57">
      <c r="A642" s="2" t="n"/>
      <c r="B642" s="2" t="n"/>
      <c r="C642" s="2" t="n"/>
      <c r="D642" s="2" t="n"/>
      <c r="E642" s="2" t="n"/>
      <c r="F642" s="2" t="n"/>
    </row>
    <row r="643" ht="15.75" customHeight="1" s="57">
      <c r="A643" s="2" t="n"/>
      <c r="B643" s="2" t="n"/>
      <c r="C643" s="2" t="n"/>
      <c r="D643" s="2" t="n"/>
      <c r="E643" s="2" t="n"/>
      <c r="F643" s="2" t="n"/>
    </row>
    <row r="644" ht="15.75" customHeight="1" s="57">
      <c r="A644" s="2" t="n"/>
      <c r="B644" s="2" t="n"/>
      <c r="C644" s="2" t="n"/>
      <c r="D644" s="2" t="n"/>
      <c r="E644" s="2" t="n"/>
      <c r="F644" s="2" t="n"/>
    </row>
    <row r="645" ht="15.75" customHeight="1" s="57">
      <c r="A645" s="2" t="n"/>
      <c r="B645" s="2" t="n"/>
      <c r="C645" s="2" t="n"/>
      <c r="D645" s="2" t="n"/>
      <c r="E645" s="2" t="n"/>
      <c r="F645" s="2" t="n"/>
    </row>
    <row r="646" ht="15.75" customHeight="1" s="57">
      <c r="A646" s="2" t="n"/>
      <c r="B646" s="2" t="n"/>
      <c r="C646" s="2" t="n"/>
      <c r="D646" s="2" t="n"/>
      <c r="E646" s="2" t="n"/>
      <c r="F646" s="2" t="n"/>
    </row>
    <row r="647" ht="15.75" customHeight="1" s="57">
      <c r="A647" s="2" t="n"/>
      <c r="B647" s="2" t="n"/>
      <c r="C647" s="2" t="n"/>
      <c r="D647" s="2" t="n"/>
      <c r="E647" s="2" t="n"/>
      <c r="F647" s="2" t="n"/>
    </row>
    <row r="648" ht="15.75" customHeight="1" s="57">
      <c r="A648" s="2" t="n"/>
      <c r="B648" s="2" t="n"/>
      <c r="C648" s="2" t="n"/>
      <c r="D648" s="2" t="n"/>
      <c r="E648" s="2" t="n"/>
      <c r="F648" s="2" t="n"/>
    </row>
    <row r="649" ht="15.75" customHeight="1" s="57">
      <c r="A649" s="2" t="n"/>
      <c r="B649" s="2" t="n"/>
      <c r="C649" s="2" t="n"/>
      <c r="D649" s="2" t="n"/>
      <c r="E649" s="2" t="n"/>
      <c r="F649" s="2" t="n"/>
    </row>
    <row r="650" ht="15.75" customHeight="1" s="57">
      <c r="A650" s="2" t="n"/>
      <c r="B650" s="2" t="n"/>
      <c r="C650" s="2" t="n"/>
      <c r="D650" s="2" t="n"/>
      <c r="E650" s="2" t="n"/>
      <c r="F650" s="2" t="n"/>
    </row>
    <row r="651" ht="15.75" customHeight="1" s="57">
      <c r="A651" s="2" t="n"/>
      <c r="B651" s="2" t="n"/>
      <c r="C651" s="2" t="n"/>
      <c r="D651" s="2" t="n"/>
      <c r="E651" s="2" t="n"/>
      <c r="F651" s="2" t="n"/>
    </row>
    <row r="652" ht="15.75" customHeight="1" s="57">
      <c r="A652" s="2" t="n"/>
      <c r="B652" s="2" t="n"/>
      <c r="C652" s="2" t="n"/>
      <c r="D652" s="2" t="n"/>
      <c r="E652" s="2" t="n"/>
      <c r="F652" s="2" t="n"/>
    </row>
    <row r="653" ht="15.75" customHeight="1" s="57">
      <c r="A653" s="2" t="n"/>
      <c r="B653" s="2" t="n"/>
      <c r="C653" s="2" t="n"/>
      <c r="D653" s="2" t="n"/>
      <c r="E653" s="2" t="n"/>
      <c r="F653" s="2" t="n"/>
    </row>
    <row r="654" ht="15.75" customHeight="1" s="57">
      <c r="A654" s="2" t="n"/>
      <c r="B654" s="2" t="n"/>
      <c r="C654" s="2" t="n"/>
      <c r="D654" s="2" t="n"/>
      <c r="E654" s="2" t="n"/>
      <c r="F654" s="2" t="n"/>
    </row>
    <row r="655" ht="15.75" customHeight="1" s="57">
      <c r="A655" s="2" t="n"/>
      <c r="B655" s="2" t="n"/>
      <c r="C655" s="2" t="n"/>
      <c r="D655" s="2" t="n"/>
      <c r="E655" s="2" t="n"/>
      <c r="F655" s="2" t="n"/>
    </row>
    <row r="656" ht="15.75" customHeight="1" s="57">
      <c r="A656" s="2" t="n"/>
      <c r="B656" s="2" t="n"/>
      <c r="C656" s="2" t="n"/>
      <c r="D656" s="2" t="n"/>
      <c r="E656" s="2" t="n"/>
      <c r="F656" s="2" t="n"/>
    </row>
    <row r="657" ht="15.75" customHeight="1" s="57">
      <c r="A657" s="2" t="n"/>
      <c r="B657" s="2" t="n"/>
      <c r="C657" s="2" t="n"/>
      <c r="D657" s="2" t="n"/>
      <c r="E657" s="2" t="n"/>
      <c r="F657" s="2" t="n"/>
    </row>
    <row r="658" ht="15.75" customHeight="1" s="57">
      <c r="A658" s="2" t="n"/>
      <c r="B658" s="2" t="n"/>
      <c r="C658" s="2" t="n"/>
      <c r="D658" s="2" t="n"/>
      <c r="E658" s="2" t="n"/>
      <c r="F658" s="2" t="n"/>
    </row>
    <row r="659" ht="15.75" customHeight="1" s="57">
      <c r="A659" s="2" t="n"/>
      <c r="B659" s="2" t="n"/>
      <c r="C659" s="2" t="n"/>
      <c r="D659" s="2" t="n"/>
      <c r="E659" s="2" t="n"/>
      <c r="F659" s="2" t="n"/>
    </row>
    <row r="660" ht="15.75" customHeight="1" s="57">
      <c r="A660" s="2" t="n"/>
      <c r="B660" s="2" t="n"/>
      <c r="C660" s="2" t="n"/>
      <c r="D660" s="2" t="n"/>
      <c r="E660" s="2" t="n"/>
      <c r="F660" s="2" t="n"/>
    </row>
    <row r="661" ht="15.75" customHeight="1" s="57">
      <c r="A661" s="2" t="n"/>
      <c r="B661" s="2" t="n"/>
      <c r="C661" s="2" t="n"/>
      <c r="D661" s="2" t="n"/>
      <c r="E661" s="2" t="n"/>
      <c r="F661" s="2" t="n"/>
    </row>
    <row r="662" ht="15.75" customHeight="1" s="57">
      <c r="A662" s="2" t="n"/>
      <c r="B662" s="2" t="n"/>
      <c r="C662" s="2" t="n"/>
      <c r="D662" s="2" t="n"/>
      <c r="E662" s="2" t="n"/>
      <c r="F662" s="2" t="n"/>
    </row>
    <row r="663" ht="15.75" customHeight="1" s="57">
      <c r="A663" s="2" t="n"/>
      <c r="B663" s="2" t="n"/>
      <c r="C663" s="2" t="n"/>
      <c r="D663" s="2" t="n"/>
      <c r="E663" s="2" t="n"/>
      <c r="F663" s="2" t="n"/>
    </row>
    <row r="664" ht="15.75" customHeight="1" s="57">
      <c r="A664" s="2" t="n"/>
      <c r="B664" s="2" t="n"/>
      <c r="C664" s="2" t="n"/>
      <c r="D664" s="2" t="n"/>
      <c r="E664" s="2" t="n"/>
      <c r="F664" s="2" t="n"/>
    </row>
    <row r="665" ht="15.75" customHeight="1" s="57">
      <c r="A665" s="2" t="n"/>
      <c r="B665" s="2" t="n"/>
      <c r="C665" s="2" t="n"/>
      <c r="D665" s="2" t="n"/>
      <c r="E665" s="2" t="n"/>
      <c r="F665" s="2" t="n"/>
    </row>
    <row r="666" ht="15.75" customHeight="1" s="57">
      <c r="A666" s="2" t="n"/>
      <c r="B666" s="2" t="n"/>
      <c r="C666" s="2" t="n"/>
      <c r="D666" s="2" t="n"/>
      <c r="E666" s="2" t="n"/>
      <c r="F666" s="2" t="n"/>
    </row>
    <row r="667" ht="15.75" customHeight="1" s="57">
      <c r="A667" s="2" t="n"/>
      <c r="B667" s="2" t="n"/>
      <c r="C667" s="2" t="n"/>
      <c r="D667" s="2" t="n"/>
      <c r="E667" s="2" t="n"/>
      <c r="F667" s="2" t="n"/>
    </row>
    <row r="668" ht="15.75" customHeight="1" s="57">
      <c r="A668" s="2" t="n"/>
      <c r="B668" s="2" t="n"/>
      <c r="C668" s="2" t="n"/>
      <c r="D668" s="2" t="n"/>
      <c r="E668" s="2" t="n"/>
      <c r="F668" s="2" t="n"/>
    </row>
    <row r="669" ht="15.75" customHeight="1" s="57">
      <c r="A669" s="2" t="n"/>
      <c r="B669" s="2" t="n"/>
      <c r="C669" s="2" t="n"/>
      <c r="D669" s="2" t="n"/>
      <c r="E669" s="2" t="n"/>
      <c r="F669" s="2" t="n"/>
    </row>
    <row r="670" ht="15.75" customHeight="1" s="57">
      <c r="A670" s="2" t="n"/>
      <c r="B670" s="2" t="n"/>
      <c r="C670" s="2" t="n"/>
      <c r="D670" s="2" t="n"/>
      <c r="E670" s="2" t="n"/>
      <c r="F670" s="2" t="n"/>
    </row>
    <row r="671" ht="15.75" customHeight="1" s="57">
      <c r="A671" s="2" t="n"/>
      <c r="B671" s="2" t="n"/>
      <c r="C671" s="2" t="n"/>
      <c r="D671" s="2" t="n"/>
      <c r="E671" s="2" t="n"/>
      <c r="F671" s="2" t="n"/>
    </row>
    <row r="672" ht="15.75" customHeight="1" s="57">
      <c r="A672" s="2" t="n"/>
      <c r="B672" s="2" t="n"/>
      <c r="C672" s="2" t="n"/>
      <c r="D672" s="2" t="n"/>
      <c r="E672" s="2" t="n"/>
      <c r="F672" s="2" t="n"/>
    </row>
    <row r="673" ht="15.75" customHeight="1" s="57">
      <c r="A673" s="2" t="n"/>
      <c r="B673" s="2" t="n"/>
      <c r="C673" s="2" t="n"/>
      <c r="D673" s="2" t="n"/>
      <c r="E673" s="2" t="n"/>
      <c r="F673" s="2" t="n"/>
    </row>
    <row r="674" ht="15.75" customHeight="1" s="57">
      <c r="A674" s="2" t="n"/>
      <c r="B674" s="2" t="n"/>
      <c r="C674" s="2" t="n"/>
      <c r="D674" s="2" t="n"/>
      <c r="E674" s="2" t="n"/>
      <c r="F674" s="2" t="n"/>
    </row>
    <row r="675" ht="15.75" customHeight="1" s="57">
      <c r="A675" s="2" t="n"/>
      <c r="B675" s="2" t="n"/>
      <c r="C675" s="2" t="n"/>
      <c r="D675" s="2" t="n"/>
      <c r="E675" s="2" t="n"/>
      <c r="F675" s="2" t="n"/>
    </row>
    <row r="676" ht="15.75" customHeight="1" s="57">
      <c r="A676" s="2" t="n"/>
      <c r="B676" s="2" t="n"/>
      <c r="C676" s="2" t="n"/>
      <c r="D676" s="2" t="n"/>
      <c r="E676" s="2" t="n"/>
      <c r="F676" s="2" t="n"/>
    </row>
    <row r="677" ht="15.75" customHeight="1" s="57">
      <c r="A677" s="2" t="n"/>
      <c r="B677" s="2" t="n"/>
      <c r="C677" s="2" t="n"/>
      <c r="D677" s="2" t="n"/>
      <c r="E677" s="2" t="n"/>
      <c r="F677" s="2" t="n"/>
    </row>
    <row r="678" ht="15.75" customHeight="1" s="57">
      <c r="A678" s="2" t="n"/>
      <c r="B678" s="2" t="n"/>
      <c r="C678" s="2" t="n"/>
      <c r="D678" s="2" t="n"/>
      <c r="E678" s="2" t="n"/>
      <c r="F678" s="2" t="n"/>
    </row>
    <row r="679" ht="15.75" customHeight="1" s="57">
      <c r="A679" s="2" t="n"/>
      <c r="B679" s="2" t="n"/>
      <c r="C679" s="2" t="n"/>
      <c r="D679" s="2" t="n"/>
      <c r="E679" s="2" t="n"/>
      <c r="F679" s="2" t="n"/>
    </row>
    <row r="680" ht="15.75" customHeight="1" s="57">
      <c r="A680" s="2" t="n"/>
      <c r="B680" s="2" t="n"/>
      <c r="C680" s="2" t="n"/>
      <c r="D680" s="2" t="n"/>
      <c r="E680" s="2" t="n"/>
      <c r="F680" s="2" t="n"/>
    </row>
    <row r="681" ht="15.75" customHeight="1" s="57">
      <c r="A681" s="2" t="n"/>
      <c r="B681" s="2" t="n"/>
      <c r="C681" s="2" t="n"/>
      <c r="D681" s="2" t="n"/>
      <c r="E681" s="2" t="n"/>
      <c r="F681" s="2" t="n"/>
    </row>
    <row r="682" ht="15.75" customHeight="1" s="57">
      <c r="A682" s="2" t="n"/>
      <c r="B682" s="2" t="n"/>
      <c r="C682" s="2" t="n"/>
      <c r="D682" s="2" t="n"/>
      <c r="E682" s="2" t="n"/>
      <c r="F682" s="2" t="n"/>
    </row>
    <row r="683" ht="15.75" customHeight="1" s="57">
      <c r="A683" s="2" t="n"/>
      <c r="B683" s="2" t="n"/>
      <c r="C683" s="2" t="n"/>
      <c r="D683" s="2" t="n"/>
      <c r="E683" s="2" t="n"/>
      <c r="F683" s="2" t="n"/>
    </row>
    <row r="684" ht="15.75" customHeight="1" s="57">
      <c r="A684" s="2" t="n"/>
      <c r="B684" s="2" t="n"/>
      <c r="C684" s="2" t="n"/>
      <c r="D684" s="2" t="n"/>
      <c r="E684" s="2" t="n"/>
      <c r="F684" s="2" t="n"/>
    </row>
    <row r="685" ht="15.75" customHeight="1" s="57">
      <c r="A685" s="2" t="n"/>
      <c r="B685" s="2" t="n"/>
      <c r="C685" s="2" t="n"/>
      <c r="D685" s="2" t="n"/>
      <c r="E685" s="2" t="n"/>
      <c r="F685" s="2" t="n"/>
    </row>
    <row r="686" ht="15.75" customHeight="1" s="57">
      <c r="A686" s="2" t="n"/>
      <c r="B686" s="2" t="n"/>
      <c r="C686" s="2" t="n"/>
      <c r="D686" s="2" t="n"/>
      <c r="E686" s="2" t="n"/>
      <c r="F686" s="2" t="n"/>
    </row>
    <row r="687" ht="15.75" customHeight="1" s="57">
      <c r="A687" s="2" t="n"/>
      <c r="B687" s="2" t="n"/>
      <c r="C687" s="2" t="n"/>
      <c r="D687" s="2" t="n"/>
      <c r="E687" s="2" t="n"/>
      <c r="F687" s="2" t="n"/>
    </row>
    <row r="688" ht="15.75" customHeight="1" s="57">
      <c r="A688" s="2" t="n"/>
      <c r="B688" s="2" t="n"/>
      <c r="C688" s="2" t="n"/>
      <c r="D688" s="2" t="n"/>
      <c r="E688" s="2" t="n"/>
      <c r="F688" s="2" t="n"/>
    </row>
    <row r="689" ht="15.75" customHeight="1" s="57">
      <c r="A689" s="2" t="n"/>
      <c r="B689" s="2" t="n"/>
      <c r="C689" s="2" t="n"/>
      <c r="D689" s="2" t="n"/>
      <c r="E689" s="2" t="n"/>
      <c r="F689" s="2" t="n"/>
    </row>
    <row r="690" ht="15.75" customHeight="1" s="57">
      <c r="A690" s="2" t="n"/>
      <c r="B690" s="2" t="n"/>
      <c r="C690" s="2" t="n"/>
      <c r="D690" s="2" t="n"/>
      <c r="E690" s="2" t="n"/>
      <c r="F690" s="2" t="n"/>
    </row>
    <row r="691" ht="15.75" customHeight="1" s="57">
      <c r="A691" s="2" t="n"/>
      <c r="B691" s="2" t="n"/>
      <c r="C691" s="2" t="n"/>
      <c r="D691" s="2" t="n"/>
      <c r="E691" s="2" t="n"/>
      <c r="F691" s="2" t="n"/>
    </row>
    <row r="692" ht="15.75" customHeight="1" s="57">
      <c r="A692" s="2" t="n"/>
      <c r="B692" s="2" t="n"/>
      <c r="C692" s="2" t="n"/>
      <c r="D692" s="2" t="n"/>
      <c r="E692" s="2" t="n"/>
      <c r="F692" s="2" t="n"/>
    </row>
    <row r="693" ht="15.75" customHeight="1" s="57">
      <c r="A693" s="2" t="n"/>
      <c r="B693" s="2" t="n"/>
      <c r="C693" s="2" t="n"/>
      <c r="D693" s="2" t="n"/>
      <c r="E693" s="2" t="n"/>
      <c r="F693" s="2" t="n"/>
    </row>
    <row r="694" ht="15.75" customHeight="1" s="57">
      <c r="A694" s="2" t="n"/>
      <c r="B694" s="2" t="n"/>
      <c r="C694" s="2" t="n"/>
      <c r="D694" s="2" t="n"/>
      <c r="E694" s="2" t="n"/>
      <c r="F694" s="2" t="n"/>
    </row>
    <row r="695" ht="15.75" customHeight="1" s="57">
      <c r="A695" s="2" t="n"/>
      <c r="B695" s="2" t="n"/>
      <c r="C695" s="2" t="n"/>
      <c r="D695" s="2" t="n"/>
      <c r="E695" s="2" t="n"/>
      <c r="F695" s="2" t="n"/>
    </row>
    <row r="696" ht="15.75" customHeight="1" s="57">
      <c r="A696" s="2" t="n"/>
      <c r="B696" s="2" t="n"/>
      <c r="C696" s="2" t="n"/>
      <c r="D696" s="2" t="n"/>
      <c r="E696" s="2" t="n"/>
      <c r="F696" s="2" t="n"/>
    </row>
    <row r="697" ht="15.75" customHeight="1" s="57">
      <c r="A697" s="2" t="n"/>
      <c r="B697" s="2" t="n"/>
      <c r="C697" s="2" t="n"/>
      <c r="D697" s="2" t="n"/>
      <c r="E697" s="2" t="n"/>
      <c r="F697" s="2" t="n"/>
    </row>
    <row r="698" ht="15.75" customHeight="1" s="57">
      <c r="A698" s="2" t="n"/>
      <c r="B698" s="2" t="n"/>
      <c r="C698" s="2" t="n"/>
      <c r="D698" s="2" t="n"/>
      <c r="E698" s="2" t="n"/>
      <c r="F698" s="2" t="n"/>
    </row>
    <row r="699" ht="15.75" customHeight="1" s="57">
      <c r="A699" s="2" t="n"/>
      <c r="B699" s="2" t="n"/>
      <c r="C699" s="2" t="n"/>
      <c r="D699" s="2" t="n"/>
      <c r="E699" s="2" t="n"/>
      <c r="F699" s="2" t="n"/>
    </row>
    <row r="700" ht="15.75" customHeight="1" s="57">
      <c r="A700" s="2" t="n"/>
      <c r="B700" s="2" t="n"/>
      <c r="C700" s="2" t="n"/>
      <c r="D700" s="2" t="n"/>
      <c r="E700" s="2" t="n"/>
      <c r="F700" s="2" t="n"/>
    </row>
    <row r="701" ht="15.75" customHeight="1" s="57">
      <c r="A701" s="2" t="n"/>
      <c r="B701" s="2" t="n"/>
      <c r="C701" s="2" t="n"/>
      <c r="D701" s="2" t="n"/>
      <c r="E701" s="2" t="n"/>
      <c r="F701" s="2" t="n"/>
    </row>
    <row r="702" ht="15.75" customHeight="1" s="57">
      <c r="A702" s="2" t="n"/>
      <c r="B702" s="2" t="n"/>
      <c r="C702" s="2" t="n"/>
      <c r="D702" s="2" t="n"/>
      <c r="E702" s="2" t="n"/>
      <c r="F702" s="2" t="n"/>
    </row>
    <row r="703" ht="15.75" customHeight="1" s="57">
      <c r="A703" s="2" t="n"/>
      <c r="B703" s="2" t="n"/>
      <c r="C703" s="2" t="n"/>
      <c r="D703" s="2" t="n"/>
      <c r="E703" s="2" t="n"/>
      <c r="F703" s="2" t="n"/>
    </row>
    <row r="704" ht="15.75" customHeight="1" s="57">
      <c r="A704" s="2" t="n"/>
      <c r="B704" s="2" t="n"/>
      <c r="C704" s="2" t="n"/>
      <c r="D704" s="2" t="n"/>
      <c r="E704" s="2" t="n"/>
      <c r="F704" s="2" t="n"/>
    </row>
    <row r="705" ht="15.75" customHeight="1" s="57">
      <c r="A705" s="2" t="n"/>
      <c r="B705" s="2" t="n"/>
      <c r="C705" s="2" t="n"/>
      <c r="D705" s="2" t="n"/>
      <c r="E705" s="2" t="n"/>
      <c r="F705" s="2" t="n"/>
    </row>
    <row r="706" ht="15.75" customHeight="1" s="57">
      <c r="A706" s="2" t="n"/>
      <c r="B706" s="2" t="n"/>
      <c r="C706" s="2" t="n"/>
      <c r="D706" s="2" t="n"/>
      <c r="E706" s="2" t="n"/>
      <c r="F706" s="2" t="n"/>
    </row>
    <row r="707" ht="15.75" customHeight="1" s="57">
      <c r="A707" s="2" t="n"/>
      <c r="B707" s="2" t="n"/>
      <c r="C707" s="2" t="n"/>
      <c r="D707" s="2" t="n"/>
      <c r="E707" s="2" t="n"/>
      <c r="F707" s="2" t="n"/>
    </row>
    <row r="708" ht="15.75" customHeight="1" s="57">
      <c r="A708" s="2" t="n"/>
      <c r="B708" s="2" t="n"/>
      <c r="C708" s="2" t="n"/>
      <c r="D708" s="2" t="n"/>
      <c r="E708" s="2" t="n"/>
      <c r="F708" s="2" t="n"/>
    </row>
    <row r="709" ht="15.75" customHeight="1" s="57">
      <c r="A709" s="2" t="n"/>
      <c r="B709" s="2" t="n"/>
      <c r="C709" s="2" t="n"/>
      <c r="D709" s="2" t="n"/>
      <c r="E709" s="2" t="n"/>
      <c r="F709" s="2" t="n"/>
    </row>
    <row r="710" ht="15.75" customHeight="1" s="57">
      <c r="A710" s="2" t="n"/>
      <c r="B710" s="2" t="n"/>
      <c r="C710" s="2" t="n"/>
      <c r="D710" s="2" t="n"/>
      <c r="E710" s="2" t="n"/>
      <c r="F710" s="2" t="n"/>
    </row>
    <row r="711" ht="15.75" customHeight="1" s="57">
      <c r="A711" s="2" t="n"/>
      <c r="B711" s="2" t="n"/>
      <c r="C711" s="2" t="n"/>
      <c r="D711" s="2" t="n"/>
      <c r="E711" s="2" t="n"/>
      <c r="F711" s="2" t="n"/>
    </row>
    <row r="712" ht="15.75" customHeight="1" s="57">
      <c r="A712" s="2" t="n"/>
      <c r="B712" s="2" t="n"/>
      <c r="C712" s="2" t="n"/>
      <c r="D712" s="2" t="n"/>
      <c r="E712" s="2" t="n"/>
      <c r="F712" s="2" t="n"/>
    </row>
    <row r="713" ht="15.75" customHeight="1" s="57">
      <c r="A713" s="2" t="n"/>
      <c r="B713" s="2" t="n"/>
      <c r="C713" s="2" t="n"/>
      <c r="D713" s="2" t="n"/>
      <c r="E713" s="2" t="n"/>
      <c r="F713" s="2" t="n"/>
    </row>
    <row r="714" ht="15.75" customHeight="1" s="57">
      <c r="A714" s="2" t="n"/>
      <c r="B714" s="2" t="n"/>
      <c r="C714" s="2" t="n"/>
      <c r="D714" s="2" t="n"/>
      <c r="E714" s="2" t="n"/>
      <c r="F714" s="2" t="n"/>
    </row>
    <row r="715" ht="15.75" customHeight="1" s="57">
      <c r="A715" s="2" t="n"/>
      <c r="B715" s="2" t="n"/>
      <c r="C715" s="2" t="n"/>
      <c r="D715" s="2" t="n"/>
      <c r="E715" s="2" t="n"/>
      <c r="F715" s="2" t="n"/>
    </row>
    <row r="716" ht="15.75" customHeight="1" s="57">
      <c r="A716" s="2" t="n"/>
      <c r="B716" s="2" t="n"/>
      <c r="C716" s="2" t="n"/>
      <c r="D716" s="2" t="n"/>
      <c r="E716" s="2" t="n"/>
      <c r="F716" s="2" t="n"/>
    </row>
    <row r="717" ht="15.75" customHeight="1" s="57">
      <c r="A717" s="2" t="n"/>
      <c r="B717" s="2" t="n"/>
      <c r="C717" s="2" t="n"/>
      <c r="D717" s="2" t="n"/>
      <c r="E717" s="2" t="n"/>
      <c r="F717" s="2" t="n"/>
    </row>
    <row r="718" ht="15.75" customHeight="1" s="57">
      <c r="A718" s="2" t="n"/>
      <c r="B718" s="2" t="n"/>
      <c r="C718" s="2" t="n"/>
      <c r="D718" s="2" t="n"/>
      <c r="E718" s="2" t="n"/>
      <c r="F718" s="2" t="n"/>
    </row>
    <row r="719" ht="15.75" customHeight="1" s="57">
      <c r="A719" s="2" t="n"/>
      <c r="B719" s="2" t="n"/>
      <c r="C719" s="2" t="n"/>
      <c r="D719" s="2" t="n"/>
      <c r="E719" s="2" t="n"/>
      <c r="F719" s="2" t="n"/>
    </row>
    <row r="720" ht="15.75" customHeight="1" s="57">
      <c r="A720" s="2" t="n"/>
      <c r="B720" s="2" t="n"/>
      <c r="C720" s="2" t="n"/>
      <c r="D720" s="2" t="n"/>
      <c r="E720" s="2" t="n"/>
      <c r="F720" s="2" t="n"/>
    </row>
    <row r="721" ht="15.75" customHeight="1" s="57">
      <c r="A721" s="2" t="n"/>
      <c r="B721" s="2" t="n"/>
      <c r="C721" s="2" t="n"/>
      <c r="D721" s="2" t="n"/>
      <c r="E721" s="2" t="n"/>
      <c r="F721" s="2" t="n"/>
    </row>
    <row r="722" ht="15.75" customHeight="1" s="57">
      <c r="A722" s="2" t="n"/>
      <c r="B722" s="2" t="n"/>
      <c r="C722" s="2" t="n"/>
      <c r="D722" s="2" t="n"/>
      <c r="E722" s="2" t="n"/>
      <c r="F722" s="2" t="n"/>
    </row>
    <row r="723" ht="15.75" customHeight="1" s="57">
      <c r="A723" s="2" t="n"/>
      <c r="B723" s="2" t="n"/>
      <c r="C723" s="2" t="n"/>
      <c r="D723" s="2" t="n"/>
      <c r="E723" s="2" t="n"/>
      <c r="F723" s="2" t="n"/>
    </row>
    <row r="724" ht="15.75" customHeight="1" s="57">
      <c r="A724" s="2" t="n"/>
      <c r="B724" s="2" t="n"/>
      <c r="C724" s="2" t="n"/>
      <c r="D724" s="2" t="n"/>
      <c r="E724" s="2" t="n"/>
      <c r="F724" s="2" t="n"/>
    </row>
    <row r="725" ht="15.75" customHeight="1" s="57">
      <c r="A725" s="2" t="n"/>
      <c r="B725" s="2" t="n"/>
      <c r="C725" s="2" t="n"/>
      <c r="D725" s="2" t="n"/>
      <c r="E725" s="2" t="n"/>
      <c r="F725" s="2" t="n"/>
    </row>
    <row r="726" ht="15.75" customHeight="1" s="57">
      <c r="A726" s="2" t="n"/>
      <c r="B726" s="2" t="n"/>
      <c r="C726" s="2" t="n"/>
      <c r="D726" s="2" t="n"/>
      <c r="E726" s="2" t="n"/>
      <c r="F726" s="2" t="n"/>
    </row>
    <row r="727" ht="15.75" customHeight="1" s="57">
      <c r="A727" s="2" t="n"/>
      <c r="B727" s="2" t="n"/>
      <c r="C727" s="2" t="n"/>
      <c r="D727" s="2" t="n"/>
      <c r="E727" s="2" t="n"/>
      <c r="F727" s="2" t="n"/>
    </row>
    <row r="728" ht="15.75" customHeight="1" s="57">
      <c r="A728" s="2" t="n"/>
      <c r="B728" s="2" t="n"/>
      <c r="C728" s="2" t="n"/>
      <c r="D728" s="2" t="n"/>
      <c r="E728" s="2" t="n"/>
      <c r="F728" s="2" t="n"/>
    </row>
    <row r="729" ht="15.75" customHeight="1" s="57">
      <c r="A729" s="2" t="n"/>
      <c r="B729" s="2" t="n"/>
      <c r="C729" s="2" t="n"/>
      <c r="D729" s="2" t="n"/>
      <c r="E729" s="2" t="n"/>
      <c r="F729" s="2" t="n"/>
    </row>
    <row r="730" ht="15.75" customHeight="1" s="57">
      <c r="A730" s="2" t="n"/>
      <c r="B730" s="2" t="n"/>
      <c r="C730" s="2" t="n"/>
      <c r="D730" s="2" t="n"/>
      <c r="E730" s="2" t="n"/>
      <c r="F730" s="2" t="n"/>
    </row>
    <row r="731" ht="15.75" customHeight="1" s="57">
      <c r="A731" s="2" t="n"/>
      <c r="B731" s="2" t="n"/>
      <c r="C731" s="2" t="n"/>
      <c r="D731" s="2" t="n"/>
      <c r="E731" s="2" t="n"/>
      <c r="F731" s="2" t="n"/>
    </row>
    <row r="732" ht="15.75" customHeight="1" s="57">
      <c r="A732" s="2" t="n"/>
      <c r="B732" s="2" t="n"/>
      <c r="C732" s="2" t="n"/>
      <c r="D732" s="2" t="n"/>
      <c r="E732" s="2" t="n"/>
      <c r="F732" s="2" t="n"/>
    </row>
    <row r="733" ht="15.75" customHeight="1" s="57">
      <c r="A733" s="2" t="n"/>
      <c r="B733" s="2" t="n"/>
      <c r="C733" s="2" t="n"/>
      <c r="D733" s="2" t="n"/>
      <c r="E733" s="2" t="n"/>
      <c r="F733" s="2" t="n"/>
    </row>
    <row r="734" ht="15.75" customHeight="1" s="57">
      <c r="A734" s="2" t="n"/>
      <c r="B734" s="2" t="n"/>
      <c r="C734" s="2" t="n"/>
      <c r="D734" s="2" t="n"/>
      <c r="E734" s="2" t="n"/>
      <c r="F734" s="2" t="n"/>
    </row>
    <row r="735" ht="15.75" customHeight="1" s="57">
      <c r="A735" s="2" t="n"/>
      <c r="B735" s="2" t="n"/>
      <c r="C735" s="2" t="n"/>
      <c r="D735" s="2" t="n"/>
      <c r="E735" s="2" t="n"/>
      <c r="F735" s="2" t="n"/>
    </row>
    <row r="736" ht="15.75" customHeight="1" s="57">
      <c r="A736" s="2" t="n"/>
      <c r="B736" s="2" t="n"/>
      <c r="C736" s="2" t="n"/>
      <c r="D736" s="2" t="n"/>
      <c r="E736" s="2" t="n"/>
      <c r="F736" s="2" t="n"/>
    </row>
    <row r="737" ht="15.75" customHeight="1" s="57">
      <c r="A737" s="2" t="n"/>
      <c r="B737" s="2" t="n"/>
      <c r="C737" s="2" t="n"/>
      <c r="D737" s="2" t="n"/>
      <c r="E737" s="2" t="n"/>
      <c r="F737" s="2" t="n"/>
    </row>
    <row r="738" ht="15.75" customHeight="1" s="57">
      <c r="A738" s="2" t="n"/>
      <c r="B738" s="2" t="n"/>
      <c r="C738" s="2" t="n"/>
      <c r="D738" s="2" t="n"/>
      <c r="E738" s="2" t="n"/>
      <c r="F738" s="2" t="n"/>
    </row>
    <row r="739" ht="15.75" customHeight="1" s="57">
      <c r="A739" s="2" t="n"/>
      <c r="B739" s="2" t="n"/>
      <c r="C739" s="2" t="n"/>
      <c r="D739" s="2" t="n"/>
      <c r="E739" s="2" t="n"/>
      <c r="F739" s="2" t="n"/>
    </row>
    <row r="740" ht="15.75" customHeight="1" s="57">
      <c r="A740" s="2" t="n"/>
      <c r="B740" s="2" t="n"/>
      <c r="C740" s="2" t="n"/>
      <c r="D740" s="2" t="n"/>
      <c r="E740" s="2" t="n"/>
      <c r="F740" s="2" t="n"/>
    </row>
    <row r="741" ht="15.75" customHeight="1" s="57">
      <c r="A741" s="2" t="n"/>
      <c r="B741" s="2" t="n"/>
      <c r="C741" s="2" t="n"/>
      <c r="D741" s="2" t="n"/>
      <c r="E741" s="2" t="n"/>
      <c r="F741" s="2" t="n"/>
    </row>
    <row r="742" ht="15.75" customHeight="1" s="57">
      <c r="A742" s="2" t="n"/>
      <c r="B742" s="2" t="n"/>
      <c r="C742" s="2" t="n"/>
      <c r="D742" s="2" t="n"/>
      <c r="E742" s="2" t="n"/>
      <c r="F742" s="2" t="n"/>
    </row>
    <row r="743" ht="15.75" customHeight="1" s="57">
      <c r="A743" s="2" t="n"/>
      <c r="B743" s="2" t="n"/>
      <c r="C743" s="2" t="n"/>
      <c r="D743" s="2" t="n"/>
      <c r="E743" s="2" t="n"/>
      <c r="F743" s="2" t="n"/>
    </row>
    <row r="744" ht="15.75" customHeight="1" s="57">
      <c r="A744" s="2" t="n"/>
      <c r="B744" s="2" t="n"/>
      <c r="C744" s="2" t="n"/>
      <c r="D744" s="2" t="n"/>
      <c r="E744" s="2" t="n"/>
      <c r="F744" s="2" t="n"/>
    </row>
    <row r="745" ht="15.75" customHeight="1" s="57">
      <c r="A745" s="2" t="n"/>
      <c r="B745" s="2" t="n"/>
      <c r="C745" s="2" t="n"/>
      <c r="D745" s="2" t="n"/>
      <c r="E745" s="2" t="n"/>
      <c r="F745" s="2" t="n"/>
    </row>
    <row r="746" ht="15.75" customHeight="1" s="57">
      <c r="A746" s="2" t="n"/>
      <c r="B746" s="2" t="n"/>
      <c r="C746" s="2" t="n"/>
      <c r="D746" s="2" t="n"/>
      <c r="E746" s="2" t="n"/>
      <c r="F746" s="2" t="n"/>
    </row>
    <row r="747" ht="15.75" customHeight="1" s="57">
      <c r="A747" s="2" t="n"/>
      <c r="B747" s="2" t="n"/>
      <c r="C747" s="2" t="n"/>
      <c r="D747" s="2" t="n"/>
      <c r="E747" s="2" t="n"/>
      <c r="F747" s="2" t="n"/>
    </row>
    <row r="748" ht="15.75" customHeight="1" s="57">
      <c r="A748" s="2" t="n"/>
      <c r="B748" s="2" t="n"/>
      <c r="C748" s="2" t="n"/>
      <c r="D748" s="2" t="n"/>
      <c r="E748" s="2" t="n"/>
      <c r="F748" s="2" t="n"/>
    </row>
    <row r="749" ht="15.75" customHeight="1" s="57">
      <c r="A749" s="2" t="n"/>
      <c r="B749" s="2" t="n"/>
      <c r="C749" s="2" t="n"/>
      <c r="D749" s="2" t="n"/>
      <c r="E749" s="2" t="n"/>
      <c r="F749" s="2" t="n"/>
    </row>
    <row r="750" ht="15.75" customHeight="1" s="57">
      <c r="A750" s="2" t="n"/>
      <c r="B750" s="2" t="n"/>
      <c r="C750" s="2" t="n"/>
      <c r="D750" s="2" t="n"/>
      <c r="E750" s="2" t="n"/>
      <c r="F750" s="2" t="n"/>
    </row>
    <row r="751" ht="15.75" customHeight="1" s="57">
      <c r="A751" s="2" t="n"/>
      <c r="B751" s="2" t="n"/>
      <c r="C751" s="2" t="n"/>
      <c r="D751" s="2" t="n"/>
      <c r="E751" s="2" t="n"/>
      <c r="F751" s="2" t="n"/>
    </row>
    <row r="752" ht="15.75" customHeight="1" s="57">
      <c r="A752" s="2" t="n"/>
      <c r="B752" s="2" t="n"/>
      <c r="C752" s="2" t="n"/>
      <c r="D752" s="2" t="n"/>
      <c r="E752" s="2" t="n"/>
      <c r="F752" s="2" t="n"/>
    </row>
    <row r="753" ht="15.75" customHeight="1" s="57">
      <c r="A753" s="2" t="n"/>
      <c r="B753" s="2" t="n"/>
      <c r="C753" s="2" t="n"/>
      <c r="D753" s="2" t="n"/>
      <c r="E753" s="2" t="n"/>
      <c r="F753" s="2" t="n"/>
    </row>
    <row r="754" ht="15.75" customHeight="1" s="57">
      <c r="A754" s="2" t="n"/>
      <c r="B754" s="2" t="n"/>
      <c r="C754" s="2" t="n"/>
      <c r="D754" s="2" t="n"/>
      <c r="E754" s="2" t="n"/>
      <c r="F754" s="2" t="n"/>
    </row>
    <row r="755" ht="15.75" customHeight="1" s="57">
      <c r="A755" s="2" t="n"/>
      <c r="B755" s="2" t="n"/>
      <c r="C755" s="2" t="n"/>
      <c r="D755" s="2" t="n"/>
      <c r="E755" s="2" t="n"/>
      <c r="F755" s="2" t="n"/>
    </row>
    <row r="756" ht="15.75" customHeight="1" s="57">
      <c r="A756" s="2" t="n"/>
      <c r="B756" s="2" t="n"/>
      <c r="C756" s="2" t="n"/>
      <c r="D756" s="2" t="n"/>
      <c r="E756" s="2" t="n"/>
      <c r="F756" s="2" t="n"/>
    </row>
    <row r="757" ht="15.75" customHeight="1" s="57">
      <c r="A757" s="2" t="n"/>
      <c r="B757" s="2" t="n"/>
      <c r="C757" s="2" t="n"/>
      <c r="D757" s="2" t="n"/>
      <c r="E757" s="2" t="n"/>
      <c r="F757" s="2" t="n"/>
    </row>
    <row r="758" ht="15.75" customHeight="1" s="57">
      <c r="A758" s="2" t="n"/>
      <c r="B758" s="2" t="n"/>
      <c r="C758" s="2" t="n"/>
      <c r="D758" s="2" t="n"/>
      <c r="E758" s="2" t="n"/>
      <c r="F758" s="2" t="n"/>
    </row>
    <row r="759" ht="15.75" customHeight="1" s="57">
      <c r="A759" s="2" t="n"/>
      <c r="B759" s="2" t="n"/>
      <c r="C759" s="2" t="n"/>
      <c r="D759" s="2" t="n"/>
      <c r="E759" s="2" t="n"/>
      <c r="F759" s="2" t="n"/>
    </row>
    <row r="760" ht="15.75" customHeight="1" s="57">
      <c r="A760" s="2" t="n"/>
      <c r="B760" s="2" t="n"/>
      <c r="C760" s="2" t="n"/>
      <c r="D760" s="2" t="n"/>
      <c r="E760" s="2" t="n"/>
      <c r="F760" s="2" t="n"/>
    </row>
    <row r="761" ht="15.75" customHeight="1" s="57">
      <c r="A761" s="2" t="n"/>
      <c r="B761" s="2" t="n"/>
      <c r="C761" s="2" t="n"/>
      <c r="D761" s="2" t="n"/>
      <c r="E761" s="2" t="n"/>
      <c r="F761" s="2" t="n"/>
    </row>
    <row r="762" ht="15.75" customHeight="1" s="57">
      <c r="A762" s="2" t="n"/>
      <c r="B762" s="2" t="n"/>
      <c r="C762" s="2" t="n"/>
      <c r="D762" s="2" t="n"/>
      <c r="E762" s="2" t="n"/>
      <c r="F762" s="2" t="n"/>
    </row>
    <row r="763" ht="15.75" customHeight="1" s="57">
      <c r="A763" s="2" t="n"/>
      <c r="B763" s="2" t="n"/>
      <c r="C763" s="2" t="n"/>
      <c r="D763" s="2" t="n"/>
      <c r="E763" s="2" t="n"/>
      <c r="F763" s="2" t="n"/>
    </row>
    <row r="764" ht="15.75" customHeight="1" s="57">
      <c r="A764" s="2" t="n"/>
      <c r="B764" s="2" t="n"/>
      <c r="C764" s="2" t="n"/>
      <c r="D764" s="2" t="n"/>
      <c r="E764" s="2" t="n"/>
      <c r="F764" s="2" t="n"/>
    </row>
    <row r="765" ht="15.75" customHeight="1" s="57">
      <c r="A765" s="2" t="n"/>
      <c r="B765" s="2" t="n"/>
      <c r="C765" s="2" t="n"/>
      <c r="D765" s="2" t="n"/>
      <c r="E765" s="2" t="n"/>
      <c r="F765" s="2" t="n"/>
    </row>
    <row r="766" ht="15.75" customHeight="1" s="57">
      <c r="A766" s="2" t="n"/>
      <c r="B766" s="2" t="n"/>
      <c r="C766" s="2" t="n"/>
      <c r="D766" s="2" t="n"/>
      <c r="E766" s="2" t="n"/>
      <c r="F766" s="2" t="n"/>
    </row>
    <row r="767" ht="15.75" customHeight="1" s="57">
      <c r="A767" s="2" t="n"/>
      <c r="B767" s="2" t="n"/>
      <c r="C767" s="2" t="n"/>
      <c r="D767" s="2" t="n"/>
      <c r="E767" s="2" t="n"/>
      <c r="F767" s="2" t="n"/>
    </row>
    <row r="768" ht="15.75" customHeight="1" s="57">
      <c r="A768" s="2" t="n"/>
      <c r="B768" s="2" t="n"/>
      <c r="C768" s="2" t="n"/>
      <c r="D768" s="2" t="n"/>
      <c r="E768" s="2" t="n"/>
      <c r="F768" s="2" t="n"/>
    </row>
    <row r="769" ht="15.75" customHeight="1" s="57">
      <c r="A769" s="2" t="n"/>
      <c r="B769" s="2" t="n"/>
      <c r="C769" s="2" t="n"/>
      <c r="D769" s="2" t="n"/>
      <c r="E769" s="2" t="n"/>
      <c r="F769" s="2" t="n"/>
    </row>
    <row r="770" ht="15.75" customHeight="1" s="57">
      <c r="A770" s="2" t="n"/>
      <c r="B770" s="2" t="n"/>
      <c r="C770" s="2" t="n"/>
      <c r="D770" s="2" t="n"/>
      <c r="E770" s="2" t="n"/>
      <c r="F770" s="2" t="n"/>
    </row>
    <row r="771" ht="15.75" customHeight="1" s="57">
      <c r="A771" s="2" t="n"/>
      <c r="B771" s="2" t="n"/>
      <c r="C771" s="2" t="n"/>
      <c r="D771" s="2" t="n"/>
      <c r="E771" s="2" t="n"/>
      <c r="F771" s="2" t="n"/>
    </row>
    <row r="772" ht="15.75" customHeight="1" s="57">
      <c r="A772" s="2" t="n"/>
      <c r="B772" s="2" t="n"/>
      <c r="C772" s="2" t="n"/>
      <c r="D772" s="2" t="n"/>
      <c r="E772" s="2" t="n"/>
      <c r="F772" s="2" t="n"/>
    </row>
    <row r="773" ht="15.75" customHeight="1" s="57">
      <c r="A773" s="2" t="n"/>
      <c r="B773" s="2" t="n"/>
      <c r="C773" s="2" t="n"/>
      <c r="D773" s="2" t="n"/>
      <c r="E773" s="2" t="n"/>
      <c r="F773" s="2" t="n"/>
    </row>
    <row r="774" ht="15.75" customHeight="1" s="57">
      <c r="A774" s="2" t="n"/>
      <c r="B774" s="2" t="n"/>
      <c r="C774" s="2" t="n"/>
      <c r="D774" s="2" t="n"/>
      <c r="E774" s="2" t="n"/>
      <c r="F774" s="2" t="n"/>
    </row>
    <row r="775" ht="15.75" customHeight="1" s="57">
      <c r="A775" s="2" t="n"/>
      <c r="B775" s="2" t="n"/>
      <c r="C775" s="2" t="n"/>
      <c r="D775" s="2" t="n"/>
      <c r="E775" s="2" t="n"/>
      <c r="F775" s="2" t="n"/>
    </row>
    <row r="776" ht="15.75" customHeight="1" s="57">
      <c r="A776" s="2" t="n"/>
      <c r="B776" s="2" t="n"/>
      <c r="C776" s="2" t="n"/>
      <c r="D776" s="2" t="n"/>
      <c r="E776" s="2" t="n"/>
      <c r="F776" s="2" t="n"/>
    </row>
    <row r="777" ht="15.75" customHeight="1" s="57">
      <c r="A777" s="2" t="n"/>
      <c r="B777" s="2" t="n"/>
      <c r="C777" s="2" t="n"/>
      <c r="D777" s="2" t="n"/>
      <c r="E777" s="2" t="n"/>
      <c r="F777" s="2" t="n"/>
    </row>
    <row r="778" ht="15.75" customHeight="1" s="57">
      <c r="A778" s="2" t="n"/>
      <c r="B778" s="2" t="n"/>
      <c r="C778" s="2" t="n"/>
      <c r="D778" s="2" t="n"/>
      <c r="E778" s="2" t="n"/>
      <c r="F778" s="2" t="n"/>
    </row>
    <row r="779" ht="15.75" customHeight="1" s="57">
      <c r="A779" s="2" t="n"/>
      <c r="B779" s="2" t="n"/>
      <c r="C779" s="2" t="n"/>
      <c r="D779" s="2" t="n"/>
      <c r="E779" s="2" t="n"/>
      <c r="F779" s="2" t="n"/>
    </row>
    <row r="780" ht="15.75" customHeight="1" s="57">
      <c r="A780" s="2" t="n"/>
      <c r="B780" s="2" t="n"/>
      <c r="C780" s="2" t="n"/>
      <c r="D780" s="2" t="n"/>
      <c r="E780" s="2" t="n"/>
      <c r="F780" s="2" t="n"/>
    </row>
    <row r="781" ht="15.75" customHeight="1" s="57">
      <c r="A781" s="2" t="n"/>
      <c r="B781" s="2" t="n"/>
      <c r="C781" s="2" t="n"/>
      <c r="D781" s="2" t="n"/>
      <c r="E781" s="2" t="n"/>
      <c r="F781" s="2" t="n"/>
    </row>
    <row r="782" ht="15.75" customHeight="1" s="57">
      <c r="A782" s="2" t="n"/>
      <c r="B782" s="2" t="n"/>
      <c r="C782" s="2" t="n"/>
      <c r="D782" s="2" t="n"/>
      <c r="E782" s="2" t="n"/>
      <c r="F782" s="2" t="n"/>
    </row>
    <row r="783" ht="15.75" customHeight="1" s="57">
      <c r="A783" s="2" t="n"/>
      <c r="B783" s="2" t="n"/>
      <c r="C783" s="2" t="n"/>
      <c r="D783" s="2" t="n"/>
      <c r="E783" s="2" t="n"/>
      <c r="F783" s="2" t="n"/>
    </row>
    <row r="784" ht="15.75" customHeight="1" s="57">
      <c r="A784" s="2" t="n"/>
      <c r="B784" s="2" t="n"/>
      <c r="C784" s="2" t="n"/>
      <c r="D784" s="2" t="n"/>
      <c r="E784" s="2" t="n"/>
      <c r="F784" s="2" t="n"/>
    </row>
    <row r="785" ht="15.75" customHeight="1" s="57">
      <c r="A785" s="2" t="n"/>
      <c r="B785" s="2" t="n"/>
      <c r="C785" s="2" t="n"/>
      <c r="D785" s="2" t="n"/>
      <c r="E785" s="2" t="n"/>
      <c r="F785" s="2" t="n"/>
    </row>
    <row r="786" ht="15.75" customHeight="1" s="57">
      <c r="A786" s="2" t="n"/>
      <c r="B786" s="2" t="n"/>
      <c r="C786" s="2" t="n"/>
      <c r="D786" s="2" t="n"/>
      <c r="E786" s="2" t="n"/>
      <c r="F786" s="2" t="n"/>
    </row>
    <row r="787" ht="15.75" customHeight="1" s="57">
      <c r="A787" s="2" t="n"/>
      <c r="B787" s="2" t="n"/>
      <c r="C787" s="2" t="n"/>
      <c r="D787" s="2" t="n"/>
      <c r="E787" s="2" t="n"/>
      <c r="F787" s="2" t="n"/>
    </row>
    <row r="788" ht="15.75" customHeight="1" s="57">
      <c r="A788" s="2" t="n"/>
      <c r="B788" s="2" t="n"/>
      <c r="C788" s="2" t="n"/>
      <c r="D788" s="2" t="n"/>
      <c r="E788" s="2" t="n"/>
      <c r="F788" s="2" t="n"/>
    </row>
    <row r="789" ht="15.75" customHeight="1" s="57">
      <c r="A789" s="2" t="n"/>
      <c r="B789" s="2" t="n"/>
      <c r="C789" s="2" t="n"/>
      <c r="D789" s="2" t="n"/>
      <c r="E789" s="2" t="n"/>
      <c r="F789" s="2" t="n"/>
    </row>
    <row r="790" ht="15.75" customHeight="1" s="57">
      <c r="A790" s="2" t="n"/>
      <c r="B790" s="2" t="n"/>
      <c r="C790" s="2" t="n"/>
      <c r="D790" s="2" t="n"/>
      <c r="E790" s="2" t="n"/>
      <c r="F790" s="2" t="n"/>
    </row>
    <row r="791" ht="15.75" customHeight="1" s="57">
      <c r="A791" s="2" t="n"/>
      <c r="B791" s="2" t="n"/>
      <c r="C791" s="2" t="n"/>
      <c r="D791" s="2" t="n"/>
      <c r="E791" s="2" t="n"/>
      <c r="F791" s="2" t="n"/>
    </row>
    <row r="792" ht="15.75" customHeight="1" s="57">
      <c r="A792" s="2" t="n"/>
      <c r="B792" s="2" t="n"/>
      <c r="C792" s="2" t="n"/>
      <c r="D792" s="2" t="n"/>
      <c r="E792" s="2" t="n"/>
      <c r="F792" s="2" t="n"/>
    </row>
    <row r="793" ht="15.75" customHeight="1" s="57">
      <c r="A793" s="2" t="n"/>
      <c r="B793" s="2" t="n"/>
      <c r="C793" s="2" t="n"/>
      <c r="D793" s="2" t="n"/>
      <c r="E793" s="2" t="n"/>
      <c r="F793" s="2" t="n"/>
    </row>
    <row r="794" ht="15.75" customHeight="1" s="57">
      <c r="A794" s="2" t="n"/>
      <c r="B794" s="2" t="n"/>
      <c r="C794" s="2" t="n"/>
      <c r="D794" s="2" t="n"/>
      <c r="E794" s="2" t="n"/>
      <c r="F794" s="2" t="n"/>
    </row>
    <row r="795" ht="15.75" customHeight="1" s="57">
      <c r="A795" s="2" t="n"/>
      <c r="B795" s="2" t="n"/>
      <c r="C795" s="2" t="n"/>
      <c r="D795" s="2" t="n"/>
      <c r="E795" s="2" t="n"/>
      <c r="F795" s="2" t="n"/>
    </row>
    <row r="796" ht="15.75" customHeight="1" s="57">
      <c r="A796" s="2" t="n"/>
      <c r="B796" s="2" t="n"/>
      <c r="C796" s="2" t="n"/>
      <c r="D796" s="2" t="n"/>
      <c r="E796" s="2" t="n"/>
      <c r="F796" s="2" t="n"/>
    </row>
    <row r="797" ht="15.75" customHeight="1" s="57">
      <c r="A797" s="2" t="n"/>
      <c r="B797" s="2" t="n"/>
      <c r="C797" s="2" t="n"/>
      <c r="D797" s="2" t="n"/>
      <c r="E797" s="2" t="n"/>
      <c r="F797" s="2" t="n"/>
    </row>
    <row r="798" ht="15.75" customHeight="1" s="57">
      <c r="A798" s="2" t="n"/>
      <c r="B798" s="2" t="n"/>
      <c r="C798" s="2" t="n"/>
      <c r="D798" s="2" t="n"/>
      <c r="E798" s="2" t="n"/>
      <c r="F798" s="2" t="n"/>
    </row>
    <row r="799" ht="15.75" customHeight="1" s="57">
      <c r="A799" s="2" t="n"/>
      <c r="B799" s="2" t="n"/>
      <c r="C799" s="2" t="n"/>
      <c r="D799" s="2" t="n"/>
      <c r="E799" s="2" t="n"/>
      <c r="F799" s="2" t="n"/>
    </row>
    <row r="800" ht="15.75" customHeight="1" s="57">
      <c r="A800" s="2" t="n"/>
      <c r="B800" s="2" t="n"/>
      <c r="C800" s="2" t="n"/>
      <c r="D800" s="2" t="n"/>
      <c r="E800" s="2" t="n"/>
      <c r="F800" s="2" t="n"/>
    </row>
    <row r="801" ht="15.75" customHeight="1" s="57">
      <c r="A801" s="2" t="n"/>
      <c r="B801" s="2" t="n"/>
      <c r="C801" s="2" t="n"/>
      <c r="D801" s="2" t="n"/>
      <c r="E801" s="2" t="n"/>
      <c r="F801" s="2" t="n"/>
    </row>
    <row r="802" ht="15.75" customHeight="1" s="57">
      <c r="A802" s="2" t="n"/>
      <c r="B802" s="2" t="n"/>
      <c r="C802" s="2" t="n"/>
      <c r="D802" s="2" t="n"/>
      <c r="E802" s="2" t="n"/>
      <c r="F802" s="2" t="n"/>
    </row>
    <row r="803" ht="15.75" customHeight="1" s="57">
      <c r="A803" s="2" t="n"/>
      <c r="B803" s="2" t="n"/>
      <c r="C803" s="2" t="n"/>
      <c r="D803" s="2" t="n"/>
      <c r="E803" s="2" t="n"/>
      <c r="F803" s="2" t="n"/>
    </row>
    <row r="804" ht="15.75" customHeight="1" s="57">
      <c r="A804" s="2" t="n"/>
      <c r="B804" s="2" t="n"/>
      <c r="C804" s="2" t="n"/>
      <c r="D804" s="2" t="n"/>
      <c r="E804" s="2" t="n"/>
      <c r="F804" s="2" t="n"/>
    </row>
    <row r="805" ht="15.75" customHeight="1" s="57">
      <c r="A805" s="2" t="n"/>
      <c r="B805" s="2" t="n"/>
      <c r="C805" s="2" t="n"/>
      <c r="D805" s="2" t="n"/>
      <c r="E805" s="2" t="n"/>
      <c r="F805" s="2" t="n"/>
    </row>
    <row r="806" ht="15.75" customHeight="1" s="57">
      <c r="A806" s="2" t="n"/>
      <c r="B806" s="2" t="n"/>
      <c r="C806" s="2" t="n"/>
      <c r="D806" s="2" t="n"/>
      <c r="E806" s="2" t="n"/>
      <c r="F806" s="2" t="n"/>
    </row>
    <row r="807" ht="15.75" customHeight="1" s="57">
      <c r="A807" s="2" t="n"/>
      <c r="B807" s="2" t="n"/>
      <c r="C807" s="2" t="n"/>
      <c r="D807" s="2" t="n"/>
      <c r="E807" s="2" t="n"/>
      <c r="F807" s="2" t="n"/>
    </row>
    <row r="808" ht="15.75" customHeight="1" s="57">
      <c r="A808" s="2" t="n"/>
      <c r="B808" s="2" t="n"/>
      <c r="C808" s="2" t="n"/>
      <c r="D808" s="2" t="n"/>
      <c r="E808" s="2" t="n"/>
      <c r="F808" s="2" t="n"/>
    </row>
    <row r="809" ht="15.75" customHeight="1" s="57">
      <c r="A809" s="2" t="n"/>
      <c r="B809" s="2" t="n"/>
      <c r="C809" s="2" t="n"/>
      <c r="D809" s="2" t="n"/>
      <c r="E809" s="2" t="n"/>
      <c r="F809" s="2" t="n"/>
    </row>
    <row r="810" ht="15.75" customHeight="1" s="57">
      <c r="A810" s="2" t="n"/>
      <c r="B810" s="2" t="n"/>
      <c r="C810" s="2" t="n"/>
      <c r="D810" s="2" t="n"/>
      <c r="E810" s="2" t="n"/>
      <c r="F810" s="2" t="n"/>
    </row>
    <row r="811" ht="15.75" customHeight="1" s="57">
      <c r="A811" s="2" t="n"/>
      <c r="B811" s="2" t="n"/>
      <c r="C811" s="2" t="n"/>
      <c r="D811" s="2" t="n"/>
      <c r="E811" s="2" t="n"/>
      <c r="F811" s="2" t="n"/>
    </row>
    <row r="812" ht="15.75" customHeight="1" s="57">
      <c r="A812" s="2" t="n"/>
      <c r="B812" s="2" t="n"/>
      <c r="C812" s="2" t="n"/>
      <c r="D812" s="2" t="n"/>
      <c r="E812" s="2" t="n"/>
      <c r="F812" s="2" t="n"/>
    </row>
    <row r="813" ht="15.75" customHeight="1" s="57">
      <c r="A813" s="2" t="n"/>
      <c r="B813" s="2" t="n"/>
      <c r="C813" s="2" t="n"/>
      <c r="D813" s="2" t="n"/>
      <c r="E813" s="2" t="n"/>
      <c r="F813" s="2" t="n"/>
    </row>
    <row r="814" ht="15.75" customHeight="1" s="57">
      <c r="A814" s="2" t="n"/>
      <c r="B814" s="2" t="n"/>
      <c r="C814" s="2" t="n"/>
      <c r="D814" s="2" t="n"/>
      <c r="E814" s="2" t="n"/>
      <c r="F814" s="2" t="n"/>
    </row>
    <row r="815" ht="15.75" customHeight="1" s="57">
      <c r="A815" s="2" t="n"/>
      <c r="B815" s="2" t="n"/>
      <c r="C815" s="2" t="n"/>
      <c r="D815" s="2" t="n"/>
      <c r="E815" s="2" t="n"/>
      <c r="F815" s="2" t="n"/>
    </row>
    <row r="816" ht="15.75" customHeight="1" s="57">
      <c r="A816" s="2" t="n"/>
      <c r="B816" s="2" t="n"/>
      <c r="C816" s="2" t="n"/>
      <c r="D816" s="2" t="n"/>
      <c r="E816" s="2" t="n"/>
      <c r="F816" s="2" t="n"/>
    </row>
    <row r="817" ht="15.75" customHeight="1" s="57">
      <c r="A817" s="2" t="n"/>
      <c r="B817" s="2" t="n"/>
      <c r="C817" s="2" t="n"/>
      <c r="D817" s="2" t="n"/>
      <c r="E817" s="2" t="n"/>
      <c r="F817" s="2" t="n"/>
    </row>
    <row r="818" ht="15.75" customHeight="1" s="57">
      <c r="A818" s="2" t="n"/>
      <c r="B818" s="2" t="n"/>
      <c r="C818" s="2" t="n"/>
      <c r="D818" s="2" t="n"/>
      <c r="E818" s="2" t="n"/>
      <c r="F818" s="2" t="n"/>
    </row>
    <row r="819" ht="15.75" customHeight="1" s="57">
      <c r="A819" s="2" t="n"/>
      <c r="B819" s="2" t="n"/>
      <c r="C819" s="2" t="n"/>
      <c r="D819" s="2" t="n"/>
      <c r="E819" s="2" t="n"/>
      <c r="F819" s="2" t="n"/>
    </row>
    <row r="820" ht="15.75" customHeight="1" s="57">
      <c r="A820" s="2" t="n"/>
      <c r="B820" s="2" t="n"/>
      <c r="C820" s="2" t="n"/>
      <c r="D820" s="2" t="n"/>
      <c r="E820" s="2" t="n"/>
      <c r="F820" s="2" t="n"/>
    </row>
    <row r="821" ht="15.75" customHeight="1" s="57">
      <c r="A821" s="2" t="n"/>
      <c r="B821" s="2" t="n"/>
      <c r="C821" s="2" t="n"/>
      <c r="D821" s="2" t="n"/>
      <c r="E821" s="2" t="n"/>
      <c r="F821" s="2" t="n"/>
    </row>
    <row r="822" ht="15.75" customHeight="1" s="57">
      <c r="A822" s="2" t="n"/>
      <c r="B822" s="2" t="n"/>
      <c r="C822" s="2" t="n"/>
      <c r="D822" s="2" t="n"/>
      <c r="E822" s="2" t="n"/>
      <c r="F822" s="2" t="n"/>
    </row>
    <row r="823" ht="15.75" customHeight="1" s="57">
      <c r="A823" s="2" t="n"/>
      <c r="B823" s="2" t="n"/>
      <c r="C823" s="2" t="n"/>
      <c r="D823" s="2" t="n"/>
      <c r="E823" s="2" t="n"/>
      <c r="F823" s="2" t="n"/>
    </row>
    <row r="824" ht="15.75" customHeight="1" s="57">
      <c r="A824" s="2" t="n"/>
      <c r="B824" s="2" t="n"/>
      <c r="C824" s="2" t="n"/>
      <c r="D824" s="2" t="n"/>
      <c r="E824" s="2" t="n"/>
      <c r="F824" s="2" t="n"/>
    </row>
    <row r="825" ht="15.75" customHeight="1" s="57">
      <c r="A825" s="2" t="n"/>
      <c r="B825" s="2" t="n"/>
      <c r="C825" s="2" t="n"/>
      <c r="D825" s="2" t="n"/>
      <c r="E825" s="2" t="n"/>
      <c r="F825" s="2" t="n"/>
    </row>
    <row r="826" ht="15.75" customHeight="1" s="57">
      <c r="A826" s="2" t="n"/>
      <c r="B826" s="2" t="n"/>
      <c r="C826" s="2" t="n"/>
      <c r="D826" s="2" t="n"/>
      <c r="E826" s="2" t="n"/>
      <c r="F826" s="2" t="n"/>
    </row>
    <row r="827" ht="15.75" customHeight="1" s="57">
      <c r="A827" s="2" t="n"/>
      <c r="B827" s="2" t="n"/>
      <c r="C827" s="2" t="n"/>
      <c r="D827" s="2" t="n"/>
      <c r="E827" s="2" t="n"/>
      <c r="F827" s="2" t="n"/>
    </row>
    <row r="828" ht="15.75" customHeight="1" s="57">
      <c r="A828" s="2" t="n"/>
      <c r="B828" s="2" t="n"/>
      <c r="C828" s="2" t="n"/>
      <c r="D828" s="2" t="n"/>
      <c r="E828" s="2" t="n"/>
      <c r="F828" s="2" t="n"/>
    </row>
    <row r="829" ht="15.75" customHeight="1" s="57">
      <c r="A829" s="2" t="n"/>
      <c r="B829" s="2" t="n"/>
      <c r="C829" s="2" t="n"/>
      <c r="D829" s="2" t="n"/>
      <c r="E829" s="2" t="n"/>
      <c r="F829" s="2" t="n"/>
    </row>
    <row r="830" ht="15.75" customHeight="1" s="57">
      <c r="A830" s="2" t="n"/>
      <c r="B830" s="2" t="n"/>
      <c r="C830" s="2" t="n"/>
      <c r="D830" s="2" t="n"/>
      <c r="E830" s="2" t="n"/>
      <c r="F830" s="2" t="n"/>
    </row>
    <row r="831" ht="15.75" customHeight="1" s="57">
      <c r="A831" s="2" t="n"/>
      <c r="B831" s="2" t="n"/>
      <c r="C831" s="2" t="n"/>
      <c r="D831" s="2" t="n"/>
      <c r="E831" s="2" t="n"/>
      <c r="F831" s="2" t="n"/>
    </row>
    <row r="832" ht="15.75" customHeight="1" s="57">
      <c r="A832" s="2" t="n"/>
      <c r="B832" s="2" t="n"/>
      <c r="C832" s="2" t="n"/>
      <c r="D832" s="2" t="n"/>
      <c r="E832" s="2" t="n"/>
      <c r="F832" s="2" t="n"/>
    </row>
    <row r="833" ht="15.75" customHeight="1" s="57">
      <c r="A833" s="2" t="n"/>
      <c r="B833" s="2" t="n"/>
      <c r="C833" s="2" t="n"/>
      <c r="D833" s="2" t="n"/>
      <c r="E833" s="2" t="n"/>
      <c r="F833" s="2" t="n"/>
    </row>
    <row r="834" ht="15.75" customHeight="1" s="57">
      <c r="A834" s="2" t="n"/>
      <c r="B834" s="2" t="n"/>
      <c r="C834" s="2" t="n"/>
      <c r="D834" s="2" t="n"/>
      <c r="E834" s="2" t="n"/>
      <c r="F834" s="2" t="n"/>
    </row>
    <row r="835" ht="15.75" customHeight="1" s="57">
      <c r="A835" s="2" t="n"/>
      <c r="B835" s="2" t="n"/>
      <c r="C835" s="2" t="n"/>
      <c r="D835" s="2" t="n"/>
      <c r="E835" s="2" t="n"/>
      <c r="F835" s="2" t="n"/>
    </row>
    <row r="836" ht="15.75" customHeight="1" s="57">
      <c r="A836" s="2" t="n"/>
      <c r="B836" s="2" t="n"/>
      <c r="C836" s="2" t="n"/>
      <c r="D836" s="2" t="n"/>
      <c r="E836" s="2" t="n"/>
      <c r="F836" s="2" t="n"/>
    </row>
    <row r="837" ht="15.75" customHeight="1" s="57">
      <c r="A837" s="2" t="n"/>
      <c r="B837" s="2" t="n"/>
      <c r="C837" s="2" t="n"/>
      <c r="D837" s="2" t="n"/>
      <c r="E837" s="2" t="n"/>
      <c r="F837" s="2" t="n"/>
    </row>
    <row r="838" ht="15.75" customHeight="1" s="57">
      <c r="A838" s="2" t="n"/>
      <c r="B838" s="2" t="n"/>
      <c r="C838" s="2" t="n"/>
      <c r="D838" s="2" t="n"/>
      <c r="E838" s="2" t="n"/>
      <c r="F838" s="2" t="n"/>
    </row>
    <row r="839" ht="15.75" customHeight="1" s="57">
      <c r="A839" s="2" t="n"/>
      <c r="B839" s="2" t="n"/>
      <c r="C839" s="2" t="n"/>
      <c r="D839" s="2" t="n"/>
      <c r="E839" s="2" t="n"/>
      <c r="F839" s="2" t="n"/>
    </row>
    <row r="840" ht="15.75" customHeight="1" s="57">
      <c r="A840" s="2" t="n"/>
      <c r="B840" s="2" t="n"/>
      <c r="C840" s="2" t="n"/>
      <c r="D840" s="2" t="n"/>
      <c r="E840" s="2" t="n"/>
      <c r="F840" s="2" t="n"/>
    </row>
    <row r="841" ht="15.75" customHeight="1" s="57">
      <c r="A841" s="2" t="n"/>
      <c r="B841" s="2" t="n"/>
      <c r="C841" s="2" t="n"/>
      <c r="D841" s="2" t="n"/>
      <c r="E841" s="2" t="n"/>
      <c r="F841" s="2" t="n"/>
    </row>
    <row r="842" ht="15.75" customHeight="1" s="57">
      <c r="A842" s="2" t="n"/>
      <c r="B842" s="2" t="n"/>
      <c r="C842" s="2" t="n"/>
      <c r="D842" s="2" t="n"/>
      <c r="E842" s="2" t="n"/>
      <c r="F842" s="2" t="n"/>
    </row>
    <row r="843" ht="15.75" customHeight="1" s="57">
      <c r="A843" s="2" t="n"/>
      <c r="B843" s="2" t="n"/>
      <c r="C843" s="2" t="n"/>
      <c r="D843" s="2" t="n"/>
      <c r="E843" s="2" t="n"/>
      <c r="F843" s="2" t="n"/>
    </row>
    <row r="844" ht="15.75" customHeight="1" s="57">
      <c r="A844" s="2" t="n"/>
      <c r="B844" s="2" t="n"/>
      <c r="C844" s="2" t="n"/>
      <c r="D844" s="2" t="n"/>
      <c r="E844" s="2" t="n"/>
      <c r="F844" s="2" t="n"/>
    </row>
    <row r="845" ht="15.75" customHeight="1" s="57">
      <c r="A845" s="2" t="n"/>
      <c r="B845" s="2" t="n"/>
      <c r="C845" s="2" t="n"/>
      <c r="D845" s="2" t="n"/>
      <c r="E845" s="2" t="n"/>
      <c r="F845" s="2" t="n"/>
    </row>
    <row r="846" ht="15.75" customHeight="1" s="57">
      <c r="A846" s="2" t="n"/>
      <c r="B846" s="2" t="n"/>
      <c r="C846" s="2" t="n"/>
      <c r="D846" s="2" t="n"/>
      <c r="E846" s="2" t="n"/>
      <c r="F846" s="2" t="n"/>
    </row>
    <row r="847" ht="15.75" customHeight="1" s="57">
      <c r="A847" s="2" t="n"/>
      <c r="B847" s="2" t="n"/>
      <c r="C847" s="2" t="n"/>
      <c r="D847" s="2" t="n"/>
      <c r="E847" s="2" t="n"/>
      <c r="F847" s="2" t="n"/>
    </row>
    <row r="848" ht="15.75" customHeight="1" s="57">
      <c r="A848" s="2" t="n"/>
      <c r="B848" s="2" t="n"/>
      <c r="C848" s="2" t="n"/>
      <c r="D848" s="2" t="n"/>
      <c r="E848" s="2" t="n"/>
      <c r="F848" s="2" t="n"/>
    </row>
    <row r="849" ht="15.75" customHeight="1" s="57">
      <c r="A849" s="2" t="n"/>
      <c r="B849" s="2" t="n"/>
      <c r="C849" s="2" t="n"/>
      <c r="D849" s="2" t="n"/>
      <c r="E849" s="2" t="n"/>
      <c r="F849" s="2" t="n"/>
    </row>
    <row r="850" ht="15.75" customHeight="1" s="57">
      <c r="A850" s="2" t="n"/>
      <c r="B850" s="2" t="n"/>
      <c r="C850" s="2" t="n"/>
      <c r="D850" s="2" t="n"/>
      <c r="E850" s="2" t="n"/>
      <c r="F850" s="2" t="n"/>
    </row>
    <row r="851" ht="15.75" customHeight="1" s="57">
      <c r="A851" s="2" t="n"/>
      <c r="B851" s="2" t="n"/>
      <c r="C851" s="2" t="n"/>
      <c r="D851" s="2" t="n"/>
      <c r="E851" s="2" t="n"/>
      <c r="F851" s="2" t="n"/>
    </row>
    <row r="852" ht="15.75" customHeight="1" s="57">
      <c r="A852" s="2" t="n"/>
      <c r="B852" s="2" t="n"/>
      <c r="C852" s="2" t="n"/>
      <c r="D852" s="2" t="n"/>
      <c r="E852" s="2" t="n"/>
      <c r="F852" s="2" t="n"/>
    </row>
    <row r="853" ht="15.75" customHeight="1" s="57">
      <c r="A853" s="2" t="n"/>
      <c r="B853" s="2" t="n"/>
      <c r="C853" s="2" t="n"/>
      <c r="D853" s="2" t="n"/>
      <c r="E853" s="2" t="n"/>
      <c r="F853" s="2" t="n"/>
    </row>
    <row r="854" ht="15.75" customHeight="1" s="57">
      <c r="A854" s="2" t="n"/>
      <c r="B854" s="2" t="n"/>
      <c r="C854" s="2" t="n"/>
      <c r="D854" s="2" t="n"/>
      <c r="E854" s="2" t="n"/>
      <c r="F854" s="2" t="n"/>
    </row>
    <row r="855" ht="15.75" customHeight="1" s="57">
      <c r="A855" s="2" t="n"/>
      <c r="B855" s="2" t="n"/>
      <c r="C855" s="2" t="n"/>
      <c r="D855" s="2" t="n"/>
      <c r="E855" s="2" t="n"/>
      <c r="F855" s="2" t="n"/>
    </row>
    <row r="856" ht="15.75" customHeight="1" s="57">
      <c r="A856" s="2" t="n"/>
      <c r="B856" s="2" t="n"/>
      <c r="C856" s="2" t="n"/>
      <c r="D856" s="2" t="n"/>
      <c r="E856" s="2" t="n"/>
      <c r="F856" s="2" t="n"/>
    </row>
    <row r="857" ht="15.75" customHeight="1" s="57">
      <c r="A857" s="2" t="n"/>
      <c r="B857" s="2" t="n"/>
      <c r="C857" s="2" t="n"/>
      <c r="D857" s="2" t="n"/>
      <c r="E857" s="2" t="n"/>
      <c r="F857" s="2" t="n"/>
    </row>
    <row r="858" ht="15.75" customHeight="1" s="57">
      <c r="A858" s="2" t="n"/>
      <c r="B858" s="2" t="n"/>
      <c r="C858" s="2" t="n"/>
      <c r="D858" s="2" t="n"/>
      <c r="E858" s="2" t="n"/>
      <c r="F858" s="2" t="n"/>
    </row>
    <row r="859" ht="15.75" customHeight="1" s="57">
      <c r="A859" s="2" t="n"/>
      <c r="B859" s="2" t="n"/>
      <c r="C859" s="2" t="n"/>
      <c r="D859" s="2" t="n"/>
      <c r="E859" s="2" t="n"/>
      <c r="F859" s="2" t="n"/>
    </row>
    <row r="860" ht="15.75" customHeight="1" s="57">
      <c r="A860" s="2" t="n"/>
      <c r="B860" s="2" t="n"/>
      <c r="C860" s="2" t="n"/>
      <c r="D860" s="2" t="n"/>
      <c r="E860" s="2" t="n"/>
      <c r="F860" s="2" t="n"/>
    </row>
    <row r="861" ht="15.75" customHeight="1" s="57">
      <c r="A861" s="2" t="n"/>
      <c r="B861" s="2" t="n"/>
      <c r="C861" s="2" t="n"/>
      <c r="D861" s="2" t="n"/>
      <c r="E861" s="2" t="n"/>
      <c r="F861" s="2" t="n"/>
    </row>
    <row r="862" ht="15.75" customHeight="1" s="57">
      <c r="A862" s="2" t="n"/>
      <c r="B862" s="2" t="n"/>
      <c r="C862" s="2" t="n"/>
      <c r="D862" s="2" t="n"/>
      <c r="E862" s="2" t="n"/>
      <c r="F862" s="2" t="n"/>
    </row>
    <row r="863" ht="15.75" customHeight="1" s="57">
      <c r="A863" s="2" t="n"/>
      <c r="B863" s="2" t="n"/>
      <c r="C863" s="2" t="n"/>
      <c r="D863" s="2" t="n"/>
      <c r="E863" s="2" t="n"/>
      <c r="F863" s="2" t="n"/>
    </row>
    <row r="864" ht="15.75" customHeight="1" s="57">
      <c r="A864" s="2" t="n"/>
      <c r="B864" s="2" t="n"/>
      <c r="C864" s="2" t="n"/>
      <c r="D864" s="2" t="n"/>
      <c r="E864" s="2" t="n"/>
      <c r="F864" s="2" t="n"/>
    </row>
    <row r="865" ht="15.75" customHeight="1" s="57">
      <c r="A865" s="2" t="n"/>
      <c r="B865" s="2" t="n"/>
      <c r="C865" s="2" t="n"/>
      <c r="D865" s="2" t="n"/>
      <c r="E865" s="2" t="n"/>
      <c r="F865" s="2" t="n"/>
    </row>
    <row r="866" ht="15.75" customHeight="1" s="57">
      <c r="A866" s="2" t="n"/>
      <c r="B866" s="2" t="n"/>
      <c r="C866" s="2" t="n"/>
      <c r="D866" s="2" t="n"/>
      <c r="E866" s="2" t="n"/>
      <c r="F866" s="2" t="n"/>
    </row>
    <row r="867" ht="15.75" customHeight="1" s="57">
      <c r="A867" s="2" t="n"/>
      <c r="B867" s="2" t="n"/>
      <c r="C867" s="2" t="n"/>
      <c r="D867" s="2" t="n"/>
      <c r="E867" s="2" t="n"/>
      <c r="F867" s="2" t="n"/>
    </row>
    <row r="868" ht="15.75" customHeight="1" s="57">
      <c r="A868" s="2" t="n"/>
      <c r="B868" s="2" t="n"/>
      <c r="C868" s="2" t="n"/>
      <c r="D868" s="2" t="n"/>
      <c r="E868" s="2" t="n"/>
      <c r="F868" s="2" t="n"/>
    </row>
    <row r="869" ht="15.75" customHeight="1" s="57">
      <c r="A869" s="2" t="n"/>
      <c r="B869" s="2" t="n"/>
      <c r="C869" s="2" t="n"/>
      <c r="D869" s="2" t="n"/>
      <c r="E869" s="2" t="n"/>
      <c r="F869" s="2" t="n"/>
    </row>
    <row r="870" ht="15.75" customHeight="1" s="57">
      <c r="A870" s="2" t="n"/>
      <c r="B870" s="2" t="n"/>
      <c r="C870" s="2" t="n"/>
      <c r="D870" s="2" t="n"/>
      <c r="E870" s="2" t="n"/>
      <c r="F870" s="2" t="n"/>
    </row>
    <row r="871" ht="15.75" customHeight="1" s="57">
      <c r="A871" s="2" t="n"/>
      <c r="B871" s="2" t="n"/>
      <c r="C871" s="2" t="n"/>
      <c r="D871" s="2" t="n"/>
      <c r="E871" s="2" t="n"/>
      <c r="F871" s="2" t="n"/>
    </row>
    <row r="872" ht="15.75" customHeight="1" s="57">
      <c r="A872" s="2" t="n"/>
      <c r="B872" s="2" t="n"/>
      <c r="C872" s="2" t="n"/>
      <c r="D872" s="2" t="n"/>
      <c r="E872" s="2" t="n"/>
      <c r="F872" s="2" t="n"/>
    </row>
    <row r="873" ht="15.75" customHeight="1" s="57">
      <c r="A873" s="2" t="n"/>
      <c r="B873" s="2" t="n"/>
      <c r="C873" s="2" t="n"/>
      <c r="D873" s="2" t="n"/>
      <c r="E873" s="2" t="n"/>
      <c r="F873" s="2" t="n"/>
    </row>
    <row r="874" ht="15.75" customHeight="1" s="57">
      <c r="A874" s="2" t="n"/>
      <c r="B874" s="2" t="n"/>
      <c r="C874" s="2" t="n"/>
      <c r="D874" s="2" t="n"/>
      <c r="E874" s="2" t="n"/>
      <c r="F874" s="2" t="n"/>
    </row>
    <row r="875" ht="15.75" customHeight="1" s="57">
      <c r="A875" s="2" t="n"/>
      <c r="B875" s="2" t="n"/>
      <c r="C875" s="2" t="n"/>
      <c r="D875" s="2" t="n"/>
      <c r="E875" s="2" t="n"/>
      <c r="F875" s="2" t="n"/>
    </row>
    <row r="876" ht="15.75" customHeight="1" s="57">
      <c r="A876" s="2" t="n"/>
      <c r="B876" s="2" t="n"/>
      <c r="C876" s="2" t="n"/>
      <c r="D876" s="2" t="n"/>
      <c r="E876" s="2" t="n"/>
      <c r="F876" s="2" t="n"/>
    </row>
    <row r="877" ht="15.75" customHeight="1" s="57">
      <c r="A877" s="2" t="n"/>
      <c r="B877" s="2" t="n"/>
      <c r="C877" s="2" t="n"/>
      <c r="D877" s="2" t="n"/>
      <c r="E877" s="2" t="n"/>
      <c r="F877" s="2" t="n"/>
    </row>
    <row r="878" ht="15.75" customHeight="1" s="57">
      <c r="A878" s="2" t="n"/>
      <c r="B878" s="2" t="n"/>
      <c r="C878" s="2" t="n"/>
      <c r="D878" s="2" t="n"/>
      <c r="E878" s="2" t="n"/>
      <c r="F878" s="2" t="n"/>
    </row>
    <row r="879" ht="15.75" customHeight="1" s="57">
      <c r="A879" s="2" t="n"/>
      <c r="B879" s="2" t="n"/>
      <c r="C879" s="2" t="n"/>
      <c r="D879" s="2" t="n"/>
      <c r="E879" s="2" t="n"/>
      <c r="F879" s="2" t="n"/>
    </row>
    <row r="880" ht="15.75" customHeight="1" s="57">
      <c r="A880" s="2" t="n"/>
      <c r="B880" s="2" t="n"/>
      <c r="C880" s="2" t="n"/>
      <c r="D880" s="2" t="n"/>
      <c r="E880" s="2" t="n"/>
      <c r="F880" s="2" t="n"/>
    </row>
    <row r="881" ht="15.75" customHeight="1" s="57">
      <c r="A881" s="2" t="n"/>
      <c r="B881" s="2" t="n"/>
      <c r="C881" s="2" t="n"/>
      <c r="D881" s="2" t="n"/>
      <c r="E881" s="2" t="n"/>
      <c r="F881" s="2" t="n"/>
    </row>
    <row r="882" ht="15.75" customHeight="1" s="57">
      <c r="A882" s="2" t="n"/>
      <c r="B882" s="2" t="n"/>
      <c r="C882" s="2" t="n"/>
      <c r="D882" s="2" t="n"/>
      <c r="E882" s="2" t="n"/>
      <c r="F882" s="2" t="n"/>
    </row>
    <row r="883" ht="15.75" customHeight="1" s="57">
      <c r="A883" s="2" t="n"/>
      <c r="B883" s="2" t="n"/>
      <c r="C883" s="2" t="n"/>
      <c r="D883" s="2" t="n"/>
      <c r="E883" s="2" t="n"/>
      <c r="F883" s="2" t="n"/>
    </row>
    <row r="884" ht="15.75" customHeight="1" s="57">
      <c r="A884" s="2" t="n"/>
      <c r="B884" s="2" t="n"/>
      <c r="C884" s="2" t="n"/>
      <c r="D884" s="2" t="n"/>
      <c r="E884" s="2" t="n"/>
      <c r="F884" s="2" t="n"/>
    </row>
    <row r="885" ht="15.75" customHeight="1" s="57">
      <c r="A885" s="2" t="n"/>
      <c r="B885" s="2" t="n"/>
      <c r="C885" s="2" t="n"/>
      <c r="D885" s="2" t="n"/>
      <c r="E885" s="2" t="n"/>
      <c r="F885" s="2" t="n"/>
    </row>
    <row r="886" ht="15.75" customHeight="1" s="57">
      <c r="A886" s="2" t="n"/>
      <c r="B886" s="2" t="n"/>
      <c r="C886" s="2" t="n"/>
      <c r="D886" s="2" t="n"/>
      <c r="E886" s="2" t="n"/>
      <c r="F886" s="2" t="n"/>
    </row>
    <row r="887" ht="15.75" customHeight="1" s="57">
      <c r="A887" s="2" t="n"/>
      <c r="B887" s="2" t="n"/>
      <c r="C887" s="2" t="n"/>
      <c r="D887" s="2" t="n"/>
      <c r="E887" s="2" t="n"/>
      <c r="F887" s="2" t="n"/>
    </row>
    <row r="888" ht="15.75" customHeight="1" s="57">
      <c r="A888" s="2" t="n"/>
      <c r="B888" s="2" t="n"/>
      <c r="C888" s="2" t="n"/>
      <c r="D888" s="2" t="n"/>
      <c r="E888" s="2" t="n"/>
      <c r="F888" s="2" t="n"/>
    </row>
    <row r="889" ht="15.75" customHeight="1" s="57">
      <c r="A889" s="2" t="n"/>
      <c r="B889" s="2" t="n"/>
      <c r="C889" s="2" t="n"/>
      <c r="D889" s="2" t="n"/>
      <c r="E889" s="2" t="n"/>
      <c r="F889" s="2" t="n"/>
    </row>
    <row r="890" ht="15.75" customHeight="1" s="57">
      <c r="A890" s="2" t="n"/>
      <c r="B890" s="2" t="n"/>
      <c r="C890" s="2" t="n"/>
      <c r="D890" s="2" t="n"/>
      <c r="E890" s="2" t="n"/>
      <c r="F890" s="2" t="n"/>
    </row>
    <row r="891" ht="15.75" customHeight="1" s="57">
      <c r="A891" s="2" t="n"/>
      <c r="B891" s="2" t="n"/>
      <c r="C891" s="2" t="n"/>
      <c r="D891" s="2" t="n"/>
      <c r="E891" s="2" t="n"/>
      <c r="F891" s="2" t="n"/>
    </row>
    <row r="892" ht="15.75" customHeight="1" s="57">
      <c r="A892" s="2" t="n"/>
      <c r="B892" s="2" t="n"/>
      <c r="C892" s="2" t="n"/>
      <c r="D892" s="2" t="n"/>
      <c r="E892" s="2" t="n"/>
      <c r="F892" s="2" t="n"/>
    </row>
    <row r="893" ht="15.75" customHeight="1" s="57">
      <c r="A893" s="2" t="n"/>
      <c r="B893" s="2" t="n"/>
      <c r="C893" s="2" t="n"/>
      <c r="D893" s="2" t="n"/>
      <c r="E893" s="2" t="n"/>
      <c r="F893" s="2" t="n"/>
    </row>
    <row r="894" ht="15.75" customHeight="1" s="57">
      <c r="A894" s="2" t="n"/>
      <c r="B894" s="2" t="n"/>
      <c r="C894" s="2" t="n"/>
      <c r="D894" s="2" t="n"/>
      <c r="E894" s="2" t="n"/>
      <c r="F894" s="2" t="n"/>
    </row>
    <row r="895" ht="15.75" customHeight="1" s="57">
      <c r="A895" s="2" t="n"/>
      <c r="B895" s="2" t="n"/>
      <c r="C895" s="2" t="n"/>
      <c r="D895" s="2" t="n"/>
      <c r="E895" s="2" t="n"/>
      <c r="F895" s="2" t="n"/>
    </row>
    <row r="896" ht="15.75" customHeight="1" s="57">
      <c r="A896" s="2" t="n"/>
      <c r="B896" s="2" t="n"/>
      <c r="C896" s="2" t="n"/>
      <c r="D896" s="2" t="n"/>
      <c r="E896" s="2" t="n"/>
      <c r="F896" s="2" t="n"/>
    </row>
    <row r="897" ht="15.75" customHeight="1" s="57">
      <c r="A897" s="2" t="n"/>
      <c r="B897" s="2" t="n"/>
      <c r="C897" s="2" t="n"/>
      <c r="D897" s="2" t="n"/>
      <c r="E897" s="2" t="n"/>
      <c r="F897" s="2" t="n"/>
    </row>
    <row r="898" ht="15.75" customHeight="1" s="57">
      <c r="A898" s="2" t="n"/>
      <c r="B898" s="2" t="n"/>
      <c r="C898" s="2" t="n"/>
      <c r="D898" s="2" t="n"/>
      <c r="E898" s="2" t="n"/>
      <c r="F898" s="2" t="n"/>
    </row>
    <row r="899" ht="15.75" customHeight="1" s="57">
      <c r="A899" s="2" t="n"/>
      <c r="B899" s="2" t="n"/>
      <c r="C899" s="2" t="n"/>
      <c r="D899" s="2" t="n"/>
      <c r="E899" s="2" t="n"/>
      <c r="F899" s="2" t="n"/>
    </row>
    <row r="900" ht="15.75" customHeight="1" s="57">
      <c r="A900" s="2" t="n"/>
      <c r="B900" s="2" t="n"/>
      <c r="C900" s="2" t="n"/>
      <c r="D900" s="2" t="n"/>
      <c r="E900" s="2" t="n"/>
      <c r="F900" s="2" t="n"/>
    </row>
    <row r="901" ht="15.75" customHeight="1" s="57">
      <c r="A901" s="2" t="n"/>
      <c r="B901" s="2" t="n"/>
      <c r="C901" s="2" t="n"/>
      <c r="D901" s="2" t="n"/>
      <c r="E901" s="2" t="n"/>
      <c r="F901" s="2" t="n"/>
    </row>
    <row r="902" ht="15.75" customHeight="1" s="57">
      <c r="A902" s="2" t="n"/>
      <c r="B902" s="2" t="n"/>
      <c r="C902" s="2" t="n"/>
      <c r="D902" s="2" t="n"/>
      <c r="E902" s="2" t="n"/>
      <c r="F902" s="2" t="n"/>
    </row>
    <row r="903" ht="15.75" customHeight="1" s="57">
      <c r="A903" s="2" t="n"/>
      <c r="B903" s="2" t="n"/>
      <c r="C903" s="2" t="n"/>
      <c r="D903" s="2" t="n"/>
      <c r="E903" s="2" t="n"/>
      <c r="F903" s="2" t="n"/>
    </row>
    <row r="904" ht="15.75" customHeight="1" s="57">
      <c r="A904" s="2" t="n"/>
      <c r="B904" s="2" t="n"/>
      <c r="C904" s="2" t="n"/>
      <c r="D904" s="2" t="n"/>
      <c r="E904" s="2" t="n"/>
      <c r="F904" s="2" t="n"/>
    </row>
    <row r="905" ht="15.75" customHeight="1" s="57">
      <c r="A905" s="2" t="n"/>
      <c r="B905" s="2" t="n"/>
      <c r="C905" s="2" t="n"/>
      <c r="D905" s="2" t="n"/>
      <c r="E905" s="2" t="n"/>
      <c r="F905" s="2" t="n"/>
    </row>
    <row r="906" ht="15.75" customHeight="1" s="57">
      <c r="A906" s="2" t="n"/>
      <c r="B906" s="2" t="n"/>
      <c r="C906" s="2" t="n"/>
      <c r="D906" s="2" t="n"/>
      <c r="E906" s="2" t="n"/>
      <c r="F906" s="2" t="n"/>
    </row>
    <row r="907" ht="15.75" customHeight="1" s="57">
      <c r="A907" s="2" t="n"/>
      <c r="B907" s="2" t="n"/>
      <c r="C907" s="2" t="n"/>
      <c r="D907" s="2" t="n"/>
      <c r="E907" s="2" t="n"/>
      <c r="F907" s="2" t="n"/>
    </row>
    <row r="908" ht="15.75" customHeight="1" s="57">
      <c r="A908" s="2" t="n"/>
      <c r="B908" s="2" t="n"/>
      <c r="C908" s="2" t="n"/>
      <c r="D908" s="2" t="n"/>
      <c r="E908" s="2" t="n"/>
      <c r="F908" s="2" t="n"/>
    </row>
    <row r="909" ht="15.75" customHeight="1" s="57">
      <c r="A909" s="2" t="n"/>
      <c r="B909" s="2" t="n"/>
      <c r="C909" s="2" t="n"/>
      <c r="D909" s="2" t="n"/>
      <c r="E909" s="2" t="n"/>
      <c r="F909" s="2" t="n"/>
    </row>
    <row r="910" ht="15.75" customHeight="1" s="57">
      <c r="A910" s="2" t="n"/>
      <c r="B910" s="2" t="n"/>
      <c r="C910" s="2" t="n"/>
      <c r="D910" s="2" t="n"/>
      <c r="E910" s="2" t="n"/>
      <c r="F910" s="2" t="n"/>
    </row>
    <row r="911" ht="15.75" customHeight="1" s="57">
      <c r="A911" s="2" t="n"/>
      <c r="B911" s="2" t="n"/>
      <c r="C911" s="2" t="n"/>
      <c r="D911" s="2" t="n"/>
      <c r="E911" s="2" t="n"/>
      <c r="F911" s="2" t="n"/>
    </row>
    <row r="912" ht="15.75" customHeight="1" s="57">
      <c r="A912" s="2" t="n"/>
      <c r="B912" s="2" t="n"/>
      <c r="C912" s="2" t="n"/>
      <c r="D912" s="2" t="n"/>
      <c r="E912" s="2" t="n"/>
      <c r="F912" s="2" t="n"/>
    </row>
    <row r="913" ht="15.75" customHeight="1" s="57">
      <c r="A913" s="2" t="n"/>
      <c r="B913" s="2" t="n"/>
      <c r="C913" s="2" t="n"/>
      <c r="D913" s="2" t="n"/>
      <c r="E913" s="2" t="n"/>
      <c r="F913" s="2" t="n"/>
    </row>
    <row r="914" ht="15.75" customHeight="1" s="57">
      <c r="A914" s="2" t="n"/>
      <c r="B914" s="2" t="n"/>
      <c r="C914" s="2" t="n"/>
      <c r="D914" s="2" t="n"/>
      <c r="E914" s="2" t="n"/>
      <c r="F914" s="2" t="n"/>
    </row>
    <row r="915" ht="15.75" customHeight="1" s="57">
      <c r="A915" s="2" t="n"/>
      <c r="B915" s="2" t="n"/>
      <c r="C915" s="2" t="n"/>
      <c r="D915" s="2" t="n"/>
      <c r="E915" s="2" t="n"/>
      <c r="F915" s="2" t="n"/>
    </row>
    <row r="916" ht="15.75" customHeight="1" s="57">
      <c r="A916" s="2" t="n"/>
      <c r="B916" s="2" t="n"/>
      <c r="C916" s="2" t="n"/>
      <c r="D916" s="2" t="n"/>
      <c r="E916" s="2" t="n"/>
      <c r="F916" s="2" t="n"/>
    </row>
    <row r="917" ht="15.75" customHeight="1" s="57">
      <c r="A917" s="2" t="n"/>
      <c r="B917" s="2" t="n"/>
      <c r="C917" s="2" t="n"/>
      <c r="D917" s="2" t="n"/>
      <c r="E917" s="2" t="n"/>
      <c r="F917" s="2" t="n"/>
    </row>
    <row r="918" ht="15.75" customHeight="1" s="57">
      <c r="A918" s="2" t="n"/>
      <c r="B918" s="2" t="n"/>
      <c r="C918" s="2" t="n"/>
      <c r="D918" s="2" t="n"/>
      <c r="E918" s="2" t="n"/>
      <c r="F918" s="2" t="n"/>
    </row>
    <row r="919" ht="15.75" customHeight="1" s="57">
      <c r="A919" s="2" t="n"/>
      <c r="B919" s="2" t="n"/>
      <c r="C919" s="2" t="n"/>
      <c r="D919" s="2" t="n"/>
      <c r="E919" s="2" t="n"/>
      <c r="F919" s="2" t="n"/>
    </row>
    <row r="920" ht="15.75" customHeight="1" s="57">
      <c r="A920" s="2" t="n"/>
      <c r="B920" s="2" t="n"/>
      <c r="C920" s="2" t="n"/>
      <c r="D920" s="2" t="n"/>
      <c r="E920" s="2" t="n"/>
      <c r="F920" s="2" t="n"/>
    </row>
    <row r="921" ht="15.75" customHeight="1" s="57">
      <c r="A921" s="2" t="n"/>
      <c r="B921" s="2" t="n"/>
      <c r="C921" s="2" t="n"/>
      <c r="D921" s="2" t="n"/>
      <c r="E921" s="2" t="n"/>
      <c r="F921" s="2" t="n"/>
    </row>
    <row r="922" ht="15.75" customHeight="1" s="57">
      <c r="A922" s="2" t="n"/>
      <c r="B922" s="2" t="n"/>
      <c r="C922" s="2" t="n"/>
      <c r="D922" s="2" t="n"/>
      <c r="E922" s="2" t="n"/>
      <c r="F922" s="2" t="n"/>
    </row>
    <row r="923" ht="15.75" customHeight="1" s="57">
      <c r="A923" s="2" t="n"/>
      <c r="B923" s="2" t="n"/>
      <c r="C923" s="2" t="n"/>
      <c r="D923" s="2" t="n"/>
      <c r="E923" s="2" t="n"/>
      <c r="F923" s="2" t="n"/>
    </row>
    <row r="924" ht="15.75" customHeight="1" s="57">
      <c r="A924" s="2" t="n"/>
      <c r="B924" s="2" t="n"/>
      <c r="C924" s="2" t="n"/>
      <c r="D924" s="2" t="n"/>
      <c r="E924" s="2" t="n"/>
      <c r="F924" s="2" t="n"/>
    </row>
    <row r="925" ht="15.75" customHeight="1" s="57">
      <c r="A925" s="2" t="n"/>
      <c r="B925" s="2" t="n"/>
      <c r="C925" s="2" t="n"/>
      <c r="D925" s="2" t="n"/>
      <c r="E925" s="2" t="n"/>
      <c r="F925" s="2" t="n"/>
    </row>
    <row r="926" ht="15.75" customHeight="1" s="57">
      <c r="A926" s="2" t="n"/>
      <c r="B926" s="2" t="n"/>
      <c r="C926" s="2" t="n"/>
      <c r="D926" s="2" t="n"/>
      <c r="E926" s="2" t="n"/>
      <c r="F926" s="2" t="n"/>
    </row>
    <row r="927" ht="15.75" customHeight="1" s="57">
      <c r="A927" s="2" t="n"/>
      <c r="B927" s="2" t="n"/>
      <c r="C927" s="2" t="n"/>
      <c r="D927" s="2" t="n"/>
      <c r="E927" s="2" t="n"/>
      <c r="F927" s="2" t="n"/>
    </row>
    <row r="928" ht="15.75" customHeight="1" s="57">
      <c r="A928" s="2" t="n"/>
      <c r="B928" s="2" t="n"/>
      <c r="C928" s="2" t="n"/>
      <c r="D928" s="2" t="n"/>
      <c r="E928" s="2" t="n"/>
      <c r="F928" s="2" t="n"/>
    </row>
    <row r="929" ht="15.75" customHeight="1" s="57">
      <c r="A929" s="2" t="n"/>
      <c r="B929" s="2" t="n"/>
      <c r="C929" s="2" t="n"/>
      <c r="D929" s="2" t="n"/>
      <c r="E929" s="2" t="n"/>
      <c r="F929" s="2" t="n"/>
    </row>
    <row r="930" ht="15.75" customHeight="1" s="57">
      <c r="A930" s="2" t="n"/>
      <c r="B930" s="2" t="n"/>
      <c r="C930" s="2" t="n"/>
      <c r="D930" s="2" t="n"/>
      <c r="E930" s="2" t="n"/>
      <c r="F930" s="2" t="n"/>
    </row>
    <row r="931" ht="15.75" customHeight="1" s="57">
      <c r="A931" s="2" t="n"/>
      <c r="B931" s="2" t="n"/>
      <c r="C931" s="2" t="n"/>
      <c r="D931" s="2" t="n"/>
      <c r="E931" s="2" t="n"/>
      <c r="F931" s="2" t="n"/>
    </row>
    <row r="932" ht="15.75" customHeight="1" s="57">
      <c r="A932" s="2" t="n"/>
      <c r="B932" s="2" t="n"/>
      <c r="C932" s="2" t="n"/>
      <c r="D932" s="2" t="n"/>
      <c r="E932" s="2" t="n"/>
      <c r="F932" s="2" t="n"/>
    </row>
    <row r="933" ht="15.75" customHeight="1" s="57">
      <c r="A933" s="2" t="n"/>
      <c r="B933" s="2" t="n"/>
      <c r="C933" s="2" t="n"/>
      <c r="D933" s="2" t="n"/>
      <c r="E933" s="2" t="n"/>
      <c r="F933" s="2" t="n"/>
    </row>
    <row r="934" ht="15.75" customHeight="1" s="57">
      <c r="A934" s="2" t="n"/>
      <c r="B934" s="2" t="n"/>
      <c r="C934" s="2" t="n"/>
      <c r="D934" s="2" t="n"/>
      <c r="E934" s="2" t="n"/>
      <c r="F934" s="2" t="n"/>
    </row>
    <row r="935" ht="15.75" customHeight="1" s="57">
      <c r="A935" s="2" t="n"/>
      <c r="B935" s="2" t="n"/>
      <c r="C935" s="2" t="n"/>
      <c r="D935" s="2" t="n"/>
      <c r="E935" s="2" t="n"/>
      <c r="F935" s="2" t="n"/>
    </row>
    <row r="936" ht="15.75" customHeight="1" s="57">
      <c r="A936" s="2" t="n"/>
      <c r="B936" s="2" t="n"/>
      <c r="C936" s="2" t="n"/>
      <c r="D936" s="2" t="n"/>
      <c r="E936" s="2" t="n"/>
      <c r="F936" s="2" t="n"/>
    </row>
    <row r="937" ht="15.75" customHeight="1" s="57">
      <c r="A937" s="2" t="n"/>
      <c r="B937" s="2" t="n"/>
      <c r="C937" s="2" t="n"/>
      <c r="D937" s="2" t="n"/>
      <c r="E937" s="2" t="n"/>
      <c r="F937" s="2" t="n"/>
    </row>
    <row r="938" ht="15.75" customHeight="1" s="57">
      <c r="A938" s="2" t="n"/>
      <c r="B938" s="2" t="n"/>
      <c r="C938" s="2" t="n"/>
      <c r="D938" s="2" t="n"/>
      <c r="E938" s="2" t="n"/>
      <c r="F938" s="2" t="n"/>
    </row>
    <row r="939" ht="15.75" customHeight="1" s="57">
      <c r="A939" s="2" t="n"/>
      <c r="B939" s="2" t="n"/>
      <c r="C939" s="2" t="n"/>
      <c r="D939" s="2" t="n"/>
      <c r="E939" s="2" t="n"/>
      <c r="F939" s="2" t="n"/>
    </row>
    <row r="940" ht="15.75" customHeight="1" s="57">
      <c r="A940" s="2" t="n"/>
      <c r="B940" s="2" t="n"/>
      <c r="C940" s="2" t="n"/>
      <c r="D940" s="2" t="n"/>
      <c r="E940" s="2" t="n"/>
      <c r="F940" s="2" t="n"/>
    </row>
    <row r="941" ht="15.75" customHeight="1" s="57">
      <c r="A941" s="2" t="n"/>
      <c r="B941" s="2" t="n"/>
      <c r="C941" s="2" t="n"/>
      <c r="D941" s="2" t="n"/>
      <c r="E941" s="2" t="n"/>
      <c r="F941" s="2" t="n"/>
    </row>
    <row r="942" ht="15.75" customHeight="1" s="57">
      <c r="A942" s="2" t="n"/>
      <c r="B942" s="2" t="n"/>
      <c r="C942" s="2" t="n"/>
      <c r="D942" s="2" t="n"/>
      <c r="E942" s="2" t="n"/>
      <c r="F942" s="2" t="n"/>
    </row>
    <row r="943" ht="15.75" customHeight="1" s="57">
      <c r="A943" s="2" t="n"/>
      <c r="B943" s="2" t="n"/>
      <c r="C943" s="2" t="n"/>
      <c r="D943" s="2" t="n"/>
      <c r="E943" s="2" t="n"/>
      <c r="F943" s="2" t="n"/>
    </row>
    <row r="944" ht="15.75" customHeight="1" s="57">
      <c r="A944" s="2" t="n"/>
      <c r="B944" s="2" t="n"/>
      <c r="C944" s="2" t="n"/>
      <c r="D944" s="2" t="n"/>
      <c r="E944" s="2" t="n"/>
      <c r="F944" s="2" t="n"/>
    </row>
    <row r="945" ht="15.75" customHeight="1" s="57">
      <c r="A945" s="2" t="n"/>
      <c r="B945" s="2" t="n"/>
      <c r="C945" s="2" t="n"/>
      <c r="D945" s="2" t="n"/>
      <c r="E945" s="2" t="n"/>
      <c r="F945" s="2" t="n"/>
    </row>
    <row r="946" ht="15.75" customHeight="1" s="57">
      <c r="A946" s="2" t="n"/>
      <c r="B946" s="2" t="n"/>
      <c r="C946" s="2" t="n"/>
      <c r="D946" s="2" t="n"/>
      <c r="E946" s="2" t="n"/>
      <c r="F946" s="2" t="n"/>
    </row>
    <row r="947" ht="15.75" customHeight="1" s="57">
      <c r="A947" s="2" t="n"/>
      <c r="B947" s="2" t="n"/>
      <c r="C947" s="2" t="n"/>
      <c r="D947" s="2" t="n"/>
      <c r="E947" s="2" t="n"/>
      <c r="F947" s="2" t="n"/>
    </row>
    <row r="948" ht="15.75" customHeight="1" s="57">
      <c r="A948" s="2" t="n"/>
      <c r="B948" s="2" t="n"/>
      <c r="C948" s="2" t="n"/>
      <c r="D948" s="2" t="n"/>
      <c r="E948" s="2" t="n"/>
      <c r="F948" s="2" t="n"/>
    </row>
    <row r="949" ht="15.75" customHeight="1" s="57">
      <c r="A949" s="2" t="n"/>
      <c r="B949" s="2" t="n"/>
      <c r="C949" s="2" t="n"/>
      <c r="D949" s="2" t="n"/>
      <c r="E949" s="2" t="n"/>
      <c r="F949" s="2" t="n"/>
    </row>
    <row r="950" ht="15.75" customHeight="1" s="57">
      <c r="A950" s="2" t="n"/>
      <c r="B950" s="2" t="n"/>
      <c r="C950" s="2" t="n"/>
      <c r="D950" s="2" t="n"/>
      <c r="E950" s="2" t="n"/>
      <c r="F950" s="2" t="n"/>
    </row>
    <row r="951" ht="15.75" customHeight="1" s="57">
      <c r="A951" s="2" t="n"/>
      <c r="B951" s="2" t="n"/>
      <c r="C951" s="2" t="n"/>
      <c r="D951" s="2" t="n"/>
      <c r="E951" s="2" t="n"/>
      <c r="F951" s="2" t="n"/>
    </row>
    <row r="952" ht="15.75" customHeight="1" s="57">
      <c r="A952" s="2" t="n"/>
      <c r="B952" s="2" t="n"/>
      <c r="C952" s="2" t="n"/>
      <c r="D952" s="2" t="n"/>
      <c r="E952" s="2" t="n"/>
      <c r="F952" s="2" t="n"/>
    </row>
    <row r="953" ht="15.75" customHeight="1" s="57">
      <c r="A953" s="2" t="n"/>
      <c r="B953" s="2" t="n"/>
      <c r="C953" s="2" t="n"/>
      <c r="D953" s="2" t="n"/>
      <c r="E953" s="2" t="n"/>
      <c r="F953" s="2" t="n"/>
    </row>
    <row r="954" ht="15.75" customHeight="1" s="57">
      <c r="A954" s="2" t="n"/>
      <c r="B954" s="2" t="n"/>
      <c r="C954" s="2" t="n"/>
      <c r="D954" s="2" t="n"/>
      <c r="E954" s="2" t="n"/>
      <c r="F954" s="2" t="n"/>
    </row>
    <row r="955" ht="15.75" customHeight="1" s="57">
      <c r="A955" s="2" t="n"/>
      <c r="B955" s="2" t="n"/>
      <c r="C955" s="2" t="n"/>
      <c r="D955" s="2" t="n"/>
      <c r="E955" s="2" t="n"/>
      <c r="F955" s="2" t="n"/>
    </row>
    <row r="956" ht="15.75" customHeight="1" s="57">
      <c r="A956" s="2" t="n"/>
      <c r="B956" s="2" t="n"/>
      <c r="C956" s="2" t="n"/>
      <c r="D956" s="2" t="n"/>
      <c r="E956" s="2" t="n"/>
      <c r="F956" s="2" t="n"/>
    </row>
    <row r="957" ht="15.75" customHeight="1" s="57">
      <c r="A957" s="2" t="n"/>
      <c r="B957" s="2" t="n"/>
      <c r="C957" s="2" t="n"/>
      <c r="D957" s="2" t="n"/>
      <c r="E957" s="2" t="n"/>
      <c r="F957" s="2" t="n"/>
    </row>
    <row r="958" ht="15.75" customHeight="1" s="57">
      <c r="A958" s="2" t="n"/>
      <c r="B958" s="2" t="n"/>
      <c r="C958" s="2" t="n"/>
      <c r="D958" s="2" t="n"/>
      <c r="E958" s="2" t="n"/>
      <c r="F958" s="2" t="n"/>
    </row>
    <row r="959" ht="15.75" customHeight="1" s="57">
      <c r="A959" s="2" t="n"/>
      <c r="B959" s="2" t="n"/>
      <c r="C959" s="2" t="n"/>
      <c r="D959" s="2" t="n"/>
      <c r="E959" s="2" t="n"/>
      <c r="F959" s="2" t="n"/>
    </row>
    <row r="960" ht="15.75" customHeight="1" s="57">
      <c r="A960" s="2" t="n"/>
      <c r="B960" s="2" t="n"/>
      <c r="C960" s="2" t="n"/>
      <c r="D960" s="2" t="n"/>
      <c r="E960" s="2" t="n"/>
      <c r="F960" s="2" t="n"/>
    </row>
    <row r="961" ht="15.75" customHeight="1" s="57">
      <c r="A961" s="2" t="n"/>
      <c r="B961" s="2" t="n"/>
      <c r="C961" s="2" t="n"/>
      <c r="D961" s="2" t="n"/>
      <c r="E961" s="2" t="n"/>
      <c r="F961" s="2" t="n"/>
    </row>
    <row r="962" ht="15.75" customHeight="1" s="57">
      <c r="A962" s="2" t="n"/>
      <c r="B962" s="2" t="n"/>
      <c r="C962" s="2" t="n"/>
      <c r="D962" s="2" t="n"/>
      <c r="E962" s="2" t="n"/>
      <c r="F962" s="2" t="n"/>
    </row>
    <row r="963" ht="15.75" customHeight="1" s="57">
      <c r="A963" s="2" t="n"/>
      <c r="B963" s="2" t="n"/>
      <c r="C963" s="2" t="n"/>
      <c r="D963" s="2" t="n"/>
      <c r="E963" s="2" t="n"/>
      <c r="F963" s="2" t="n"/>
    </row>
    <row r="964" ht="15.75" customHeight="1" s="57">
      <c r="A964" s="2" t="n"/>
      <c r="B964" s="2" t="n"/>
      <c r="C964" s="2" t="n"/>
      <c r="D964" s="2" t="n"/>
      <c r="E964" s="2" t="n"/>
      <c r="F964" s="2" t="n"/>
    </row>
    <row r="965" ht="15.75" customHeight="1" s="57">
      <c r="A965" s="2" t="n"/>
      <c r="B965" s="2" t="n"/>
      <c r="C965" s="2" t="n"/>
      <c r="D965" s="2" t="n"/>
      <c r="E965" s="2" t="n"/>
      <c r="F965" s="2" t="n"/>
    </row>
    <row r="966" ht="15.75" customHeight="1" s="57">
      <c r="A966" s="2" t="n"/>
      <c r="B966" s="2" t="n"/>
      <c r="C966" s="2" t="n"/>
      <c r="D966" s="2" t="n"/>
      <c r="E966" s="2" t="n"/>
      <c r="F966" s="2" t="n"/>
    </row>
    <row r="967" ht="15.75" customHeight="1" s="57">
      <c r="A967" s="2" t="n"/>
      <c r="B967" s="2" t="n"/>
      <c r="C967" s="2" t="n"/>
      <c r="D967" s="2" t="n"/>
      <c r="E967" s="2" t="n"/>
      <c r="F967" s="2" t="n"/>
    </row>
    <row r="968" ht="15.75" customHeight="1" s="57">
      <c r="A968" s="2" t="n"/>
      <c r="B968" s="2" t="n"/>
      <c r="C968" s="2" t="n"/>
      <c r="D968" s="2" t="n"/>
      <c r="E968" s="2" t="n"/>
      <c r="F968" s="2" t="n"/>
    </row>
    <row r="969" ht="15.75" customHeight="1" s="57">
      <c r="A969" s="2" t="n"/>
      <c r="B969" s="2" t="n"/>
      <c r="C969" s="2" t="n"/>
      <c r="D969" s="2" t="n"/>
      <c r="E969" s="2" t="n"/>
      <c r="F969" s="2" t="n"/>
    </row>
    <row r="970" ht="15.75" customHeight="1" s="57">
      <c r="A970" s="2" t="n"/>
      <c r="B970" s="2" t="n"/>
      <c r="C970" s="2" t="n"/>
      <c r="D970" s="2" t="n"/>
      <c r="E970" s="2" t="n"/>
      <c r="F970" s="2" t="n"/>
    </row>
    <row r="971" ht="15.75" customHeight="1" s="57">
      <c r="A971" s="2" t="n"/>
      <c r="B971" s="2" t="n"/>
      <c r="C971" s="2" t="n"/>
      <c r="D971" s="2" t="n"/>
      <c r="E971" s="2" t="n"/>
      <c r="F971" s="2" t="n"/>
    </row>
    <row r="972" ht="15.75" customHeight="1" s="57">
      <c r="A972" s="2" t="n"/>
      <c r="B972" s="2" t="n"/>
      <c r="C972" s="2" t="n"/>
      <c r="D972" s="2" t="n"/>
      <c r="E972" s="2" t="n"/>
      <c r="F972" s="2" t="n"/>
    </row>
    <row r="973" ht="15.75" customHeight="1" s="57">
      <c r="A973" s="2" t="n"/>
      <c r="B973" s="2" t="n"/>
      <c r="C973" s="2" t="n"/>
      <c r="D973" s="2" t="n"/>
      <c r="E973" s="2" t="n"/>
      <c r="F973" s="2" t="n"/>
    </row>
    <row r="974" ht="15.75" customHeight="1" s="57">
      <c r="A974" s="2" t="n"/>
      <c r="B974" s="2" t="n"/>
      <c r="C974" s="2" t="n"/>
      <c r="D974" s="2" t="n"/>
      <c r="E974" s="2" t="n"/>
      <c r="F974" s="2" t="n"/>
    </row>
    <row r="975" ht="15.75" customHeight="1" s="57">
      <c r="A975" s="2" t="n"/>
      <c r="B975" s="2" t="n"/>
      <c r="C975" s="2" t="n"/>
      <c r="D975" s="2" t="n"/>
      <c r="E975" s="2" t="n"/>
      <c r="F975" s="2" t="n"/>
    </row>
    <row r="976" ht="15.75" customHeight="1" s="57">
      <c r="A976" s="2" t="n"/>
      <c r="B976" s="2" t="n"/>
      <c r="C976" s="2" t="n"/>
      <c r="D976" s="2" t="n"/>
      <c r="E976" s="2" t="n"/>
      <c r="F976" s="2" t="n"/>
    </row>
    <row r="977" ht="15.75" customHeight="1" s="57">
      <c r="A977" s="2" t="n"/>
      <c r="B977" s="2" t="n"/>
      <c r="C977" s="2" t="n"/>
      <c r="D977" s="2" t="n"/>
      <c r="E977" s="2" t="n"/>
      <c r="F977" s="2" t="n"/>
    </row>
    <row r="978" ht="15.75" customHeight="1" s="57">
      <c r="A978" s="2" t="n"/>
      <c r="B978" s="2" t="n"/>
      <c r="C978" s="2" t="n"/>
      <c r="D978" s="2" t="n"/>
      <c r="E978" s="2" t="n"/>
      <c r="F978" s="2" t="n"/>
    </row>
    <row r="979" ht="15.75" customHeight="1" s="57">
      <c r="A979" s="2" t="n"/>
      <c r="B979" s="2" t="n"/>
      <c r="C979" s="2" t="n"/>
      <c r="D979" s="2" t="n"/>
      <c r="E979" s="2" t="n"/>
      <c r="F979" s="2" t="n"/>
    </row>
    <row r="980" ht="15.75" customHeight="1" s="57">
      <c r="A980" s="2" t="n"/>
      <c r="B980" s="2" t="n"/>
      <c r="C980" s="2" t="n"/>
      <c r="D980" s="2" t="n"/>
      <c r="E980" s="2" t="n"/>
      <c r="F980" s="2" t="n"/>
    </row>
    <row r="981" ht="15.75" customHeight="1" s="57">
      <c r="A981" s="2" t="n"/>
      <c r="B981" s="2" t="n"/>
      <c r="C981" s="2" t="n"/>
      <c r="D981" s="2" t="n"/>
      <c r="E981" s="2" t="n"/>
      <c r="F981" s="2" t="n"/>
    </row>
    <row r="982" ht="15.75" customHeight="1" s="57">
      <c r="A982" s="2" t="n"/>
      <c r="B982" s="2" t="n"/>
      <c r="C982" s="2" t="n"/>
      <c r="D982" s="2" t="n"/>
      <c r="E982" s="2" t="n"/>
      <c r="F982" s="2" t="n"/>
    </row>
    <row r="983" ht="15.75" customHeight="1" s="57">
      <c r="A983" s="2" t="n"/>
      <c r="B983" s="2" t="n"/>
      <c r="C983" s="2" t="n"/>
      <c r="D983" s="2" t="n"/>
      <c r="E983" s="2" t="n"/>
      <c r="F983" s="2" t="n"/>
    </row>
    <row r="984" ht="15.75" customHeight="1" s="57">
      <c r="A984" s="2" t="n"/>
      <c r="B984" s="2" t="n"/>
      <c r="C984" s="2" t="n"/>
      <c r="D984" s="2" t="n"/>
      <c r="E984" s="2" t="n"/>
      <c r="F984" s="2" t="n"/>
    </row>
    <row r="985" ht="15.75" customHeight="1" s="57">
      <c r="A985" s="2" t="n"/>
      <c r="B985" s="2" t="n"/>
      <c r="C985" s="2" t="n"/>
      <c r="D985" s="2" t="n"/>
      <c r="E985" s="2" t="n"/>
      <c r="F985" s="2" t="n"/>
    </row>
    <row r="986" ht="15.75" customHeight="1" s="57">
      <c r="A986" s="2" t="n"/>
      <c r="B986" s="2" t="n"/>
      <c r="C986" s="2" t="n"/>
      <c r="D986" s="2" t="n"/>
      <c r="E986" s="2" t="n"/>
      <c r="F986" s="2" t="n"/>
    </row>
    <row r="987" ht="15.75" customHeight="1" s="57">
      <c r="A987" s="2" t="n"/>
      <c r="B987" s="2" t="n"/>
      <c r="C987" s="2" t="n"/>
      <c r="D987" s="2" t="n"/>
      <c r="E987" s="2" t="n"/>
      <c r="F987" s="2" t="n"/>
    </row>
    <row r="988" ht="15.75" customHeight="1" s="57">
      <c r="A988" s="2" t="n"/>
      <c r="B988" s="2" t="n"/>
      <c r="C988" s="2" t="n"/>
      <c r="D988" s="2" t="n"/>
      <c r="E988" s="2" t="n"/>
      <c r="F988" s="2" t="n"/>
    </row>
    <row r="989" ht="15.75" customHeight="1" s="57">
      <c r="A989" s="2" t="n"/>
      <c r="B989" s="2" t="n"/>
      <c r="C989" s="2" t="n"/>
      <c r="D989" s="2" t="n"/>
      <c r="E989" s="2" t="n"/>
      <c r="F989" s="2" t="n"/>
    </row>
    <row r="990" ht="15.75" customHeight="1" s="57">
      <c r="A990" s="2" t="n"/>
      <c r="B990" s="2" t="n"/>
      <c r="C990" s="2" t="n"/>
      <c r="D990" s="2" t="n"/>
      <c r="E990" s="2" t="n"/>
      <c r="F990" s="2" t="n"/>
    </row>
    <row r="991" ht="15.75" customHeight="1" s="57">
      <c r="A991" s="2" t="n"/>
      <c r="B991" s="2" t="n"/>
      <c r="C991" s="2" t="n"/>
      <c r="D991" s="2" t="n"/>
      <c r="E991" s="2" t="n"/>
      <c r="F991" s="2" t="n"/>
    </row>
    <row r="992" ht="15.75" customHeight="1" s="57">
      <c r="A992" s="2" t="n"/>
      <c r="B992" s="2" t="n"/>
      <c r="C992" s="2" t="n"/>
      <c r="D992" s="2" t="n"/>
      <c r="E992" s="2" t="n"/>
      <c r="F992" s="2" t="n"/>
    </row>
    <row r="993" ht="15.75" customHeight="1" s="57">
      <c r="A993" s="2" t="n"/>
      <c r="B993" s="2" t="n"/>
      <c r="C993" s="2" t="n"/>
      <c r="D993" s="2" t="n"/>
      <c r="E993" s="2" t="n"/>
      <c r="F993" s="2" t="n"/>
    </row>
    <row r="994" ht="15.75" customHeight="1" s="57">
      <c r="A994" s="2" t="n"/>
      <c r="B994" s="2" t="n"/>
      <c r="C994" s="2" t="n"/>
      <c r="D994" s="2" t="n"/>
      <c r="E994" s="2" t="n"/>
      <c r="F994" s="2" t="n"/>
    </row>
    <row r="995" ht="15.75" customHeight="1" s="57">
      <c r="A995" s="2" t="n"/>
      <c r="B995" s="2" t="n"/>
      <c r="C995" s="2" t="n"/>
      <c r="D995" s="2" t="n"/>
      <c r="E995" s="2" t="n"/>
      <c r="F995" s="2" t="n"/>
    </row>
    <row r="996" ht="15.75" customHeight="1" s="57">
      <c r="A996" s="2" t="n"/>
      <c r="B996" s="2" t="n"/>
      <c r="C996" s="2" t="n"/>
      <c r="D996" s="2" t="n"/>
      <c r="E996" s="2" t="n"/>
      <c r="F996" s="2" t="n"/>
    </row>
    <row r="997" ht="15.75" customHeight="1" s="57">
      <c r="A997" s="2" t="n"/>
      <c r="B997" s="2" t="n"/>
      <c r="C997" s="2" t="n"/>
      <c r="D997" s="2" t="n"/>
      <c r="E997" s="2" t="n"/>
      <c r="F997" s="2" t="n"/>
    </row>
    <row r="998" ht="15.75" customHeight="1" s="57">
      <c r="A998" s="2" t="n"/>
      <c r="B998" s="2" t="n"/>
      <c r="C998" s="2" t="n"/>
      <c r="D998" s="2" t="n"/>
      <c r="E998" s="2" t="n"/>
      <c r="F998" s="2" t="n"/>
    </row>
    <row r="999" ht="15.75" customHeight="1" s="57">
      <c r="A999" s="2" t="n"/>
      <c r="B999" s="2" t="n"/>
      <c r="C999" s="2" t="n"/>
      <c r="D999" s="2" t="n"/>
      <c r="E999" s="2" t="n"/>
      <c r="F999" s="2" t="n"/>
    </row>
    <row r="1000" ht="15.75" customHeight="1" s="57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57" min="1" max="2"/>
    <col width="24" customWidth="1" style="57" min="3" max="3"/>
    <col width="14" customWidth="1" style="57" min="4" max="4"/>
    <col width="12" customWidth="1" style="57" min="5" max="6"/>
    <col width="16" customWidth="1" style="57" min="7" max="7"/>
    <col width="13" customWidth="1" style="57" min="8" max="8"/>
    <col width="16" customWidth="1" style="57" min="9" max="9"/>
    <col width="12" customWidth="1" style="57" min="10" max="10"/>
    <col width="53" customWidth="1" style="57" min="11" max="11"/>
  </cols>
  <sheetData>
    <row r="1" ht="25.5" customHeight="1" s="57">
      <c r="A1" s="53" t="inlineStr">
        <is>
          <t>Date</t>
        </is>
      </c>
      <c r="B1" s="53" t="inlineStr">
        <is>
          <t>Symbol</t>
        </is>
      </c>
      <c r="C1" s="53" t="inlineStr">
        <is>
          <t>Company Name</t>
        </is>
      </c>
      <c r="D1" s="53" t="inlineStr">
        <is>
          <t>Entry Price</t>
        </is>
      </c>
      <c r="E1" s="53" t="inlineStr">
        <is>
          <t>Stop Loss</t>
        </is>
      </c>
      <c r="F1" s="53" t="inlineStr">
        <is>
          <t>Target</t>
        </is>
      </c>
      <c r="G1" s="53" t="inlineStr">
        <is>
          <t>Initial Alloc</t>
        </is>
      </c>
      <c r="H1" s="53" t="inlineStr">
        <is>
          <t>Status</t>
        </is>
      </c>
      <c r="I1" s="53" t="inlineStr">
        <is>
          <t>Current Price</t>
        </is>
      </c>
      <c r="J1" s="53" t="inlineStr">
        <is>
          <t>P&amp;L (INR)</t>
        </is>
      </c>
      <c r="K1" s="53" t="inlineStr">
        <is>
          <t>Notes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57">
      <c r="A2" s="54" t="inlineStr">
        <is>
          <t>2026-07-24</t>
        </is>
      </c>
      <c r="B2" s="54" t="inlineStr">
        <is>
          <t>SUNPHARMA</t>
        </is>
      </c>
      <c r="C2" s="55" t="inlineStr">
        <is>
          <t>Sun Pharmaceutical</t>
        </is>
      </c>
      <c r="D2" s="56" t="n">
        <v>1954</v>
      </c>
      <c r="E2" s="56" t="n">
        <v>1890.88</v>
      </c>
      <c r="F2" s="56" t="n">
        <v>2080.24</v>
      </c>
      <c r="G2" s="56" t="n">
        <v>2000</v>
      </c>
      <c r="H2" s="54" t="inlineStr">
        <is>
          <t>MONITORING</t>
        </is>
      </c>
      <c r="I2" s="56" t="n">
        <v>1954</v>
      </c>
      <c r="J2" s="56" t="n">
        <v>0</v>
      </c>
      <c r="K2" s="55" t="inlineStr">
        <is>
          <t>Paper trade for momentum score tracking (96.4/100)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57">
      <c r="A3" s="54" t="inlineStr">
        <is>
          <t>2026-07-24</t>
        </is>
      </c>
      <c r="B3" s="54" t="inlineStr">
        <is>
          <t>BAJAJ-AUTO</t>
        </is>
      </c>
      <c r="C3" s="55" t="inlineStr">
        <is>
          <t>Bajaj Auto Limited</t>
        </is>
      </c>
      <c r="D3" s="56" t="n">
        <v>11283.5</v>
      </c>
      <c r="E3" s="56" t="n">
        <v>10780.43</v>
      </c>
      <c r="F3" s="56" t="n">
        <v>12289.64</v>
      </c>
      <c r="G3" s="56" t="n">
        <v>2000</v>
      </c>
      <c r="H3" s="54" t="inlineStr">
        <is>
          <t>MONITORING</t>
        </is>
      </c>
      <c r="I3" s="56" t="n">
        <v>11283.5</v>
      </c>
      <c r="J3" s="56" t="n">
        <v>0</v>
      </c>
      <c r="K3" s="55" t="inlineStr">
        <is>
          <t>Paper trade for momentum score tracking (88.8/100)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57">
      <c r="A4" s="54" t="inlineStr">
        <is>
          <t>2026-07-24</t>
        </is>
      </c>
      <c r="B4" s="54" t="inlineStr">
        <is>
          <t>HEROMOTOCO</t>
        </is>
      </c>
      <c r="C4" s="55" t="inlineStr">
        <is>
          <t>Hero MotoCorp</t>
        </is>
      </c>
      <c r="D4" s="56" t="n">
        <v>5098.8</v>
      </c>
      <c r="E4" s="56" t="n">
        <v>4900.54</v>
      </c>
      <c r="F4" s="56" t="n">
        <v>5495.31</v>
      </c>
      <c r="G4" s="56" t="n">
        <v>2000</v>
      </c>
      <c r="H4" s="54" t="inlineStr">
        <is>
          <t>MONITORING</t>
        </is>
      </c>
      <c r="I4" s="56" t="n">
        <v>5098.8</v>
      </c>
      <c r="J4" s="56" t="n">
        <v>0</v>
      </c>
      <c r="K4" s="55" t="inlineStr">
        <is>
          <t>Paper trade for momentum score tracking (88.8/100)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9.5" customHeight="1" s="57">
      <c r="A5" s="54" t="inlineStr">
        <is>
          <t>2026-07-24</t>
        </is>
      </c>
      <c r="B5" s="54" t="inlineStr">
        <is>
          <t>SIEMENS</t>
        </is>
      </c>
      <c r="C5" s="55" t="inlineStr">
        <is>
          <t>Siemens Limited</t>
        </is>
      </c>
      <c r="D5" s="56" t="n">
        <v>3686.3</v>
      </c>
      <c r="E5" s="56" t="n">
        <v>3491.06</v>
      </c>
      <c r="F5" s="56" t="n">
        <v>4076.79</v>
      </c>
      <c r="G5" s="56" t="n">
        <v>2000</v>
      </c>
      <c r="H5" s="54" t="inlineStr">
        <is>
          <t>MONITORING</t>
        </is>
      </c>
      <c r="I5" s="56" t="n">
        <v>3686.3</v>
      </c>
      <c r="J5" s="56" t="n">
        <v>0</v>
      </c>
      <c r="K5" s="55" t="inlineStr">
        <is>
          <t>Paper trade for momentum score tracking (88.2/100)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9.5" customHeight="1" s="57">
      <c r="A6" s="54" t="inlineStr">
        <is>
          <t>2026-07-24</t>
        </is>
      </c>
      <c r="B6" s="54" t="inlineStr">
        <is>
          <t>HAL</t>
        </is>
      </c>
      <c r="C6" s="55" t="inlineStr">
        <is>
          <t>Hindustan Aeronautics</t>
        </is>
      </c>
      <c r="D6" s="56" t="n">
        <v>4592.5</v>
      </c>
      <c r="E6" s="56" t="n">
        <v>4418.04</v>
      </c>
      <c r="F6" s="56" t="n">
        <v>4941.41</v>
      </c>
      <c r="G6" s="56" t="n">
        <v>2000</v>
      </c>
      <c r="H6" s="54" t="inlineStr">
        <is>
          <t>MONITORING</t>
        </is>
      </c>
      <c r="I6" s="56" t="n">
        <v>4592.5</v>
      </c>
      <c r="J6" s="56" t="n">
        <v>0</v>
      </c>
      <c r="K6" s="55" t="inlineStr">
        <is>
          <t>Paper trade for momentum score tracking (85.2/100)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57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57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57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57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57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57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5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57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57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57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57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57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57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57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57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57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5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57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57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57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5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57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57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57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57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5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5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5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5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5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5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5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5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5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5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5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5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5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5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5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5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5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5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5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5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5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5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5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5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5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5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5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5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5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5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5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5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5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5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5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5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5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5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5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5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5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5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5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5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5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5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5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5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5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5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5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5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5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5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5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5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5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5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5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5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5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5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5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5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5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5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5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5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5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5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5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5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5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5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5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5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5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5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5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5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5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5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5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5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5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5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5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5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5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5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5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5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5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5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5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5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5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5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5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5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5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5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5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5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5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5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5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5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5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5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5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5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5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5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5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5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5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5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5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5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5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5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5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5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5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5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5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5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5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5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5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5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5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5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5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5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5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5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5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5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5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5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5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5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5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5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5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5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5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5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5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5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5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5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5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5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5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5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5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5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5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5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5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5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5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5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5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5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5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 ht="15.75" customHeight="1" s="5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 ht="15.75" customHeight="1" s="5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 ht="15.75" customHeight="1" s="5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 ht="15.75" customHeight="1" s="5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 ht="15.75" customHeight="1" s="5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 ht="15.75" customHeight="1" s="5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 ht="15.75" customHeight="1" s="5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 ht="15.75" customHeight="1" s="5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 ht="15.75" customHeight="1" s="5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 ht="15.75" customHeight="1" s="5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 ht="15.75" customHeight="1" s="5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 ht="15.75" customHeight="1" s="5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 ht="15.75" customHeight="1" s="5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 ht="15.75" customHeight="1" s="5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 ht="15.75" customHeight="1" s="5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 ht="15.75" customHeight="1" s="5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 ht="15.75" customHeight="1" s="5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 ht="15.75" customHeight="1" s="5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 ht="15.75" customHeight="1" s="5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 ht="15.75" customHeight="1" s="5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 ht="15.75" customHeight="1" s="5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 ht="15.75" customHeight="1" s="5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 ht="15.75" customHeight="1" s="5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 ht="15.75" customHeight="1" s="5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 ht="15.75" customHeight="1" s="5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 ht="15.75" customHeight="1" s="5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 ht="15.75" customHeight="1" s="5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 ht="15.75" customHeight="1" s="5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 ht="15.75" customHeight="1" s="5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 ht="15.75" customHeight="1" s="5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 ht="15.75" customHeight="1" s="5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 ht="15.75" customHeight="1" s="5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 ht="15.75" customHeight="1" s="5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 ht="15.75" customHeight="1" s="5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 ht="15.75" customHeight="1" s="5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 ht="15.75" customHeight="1" s="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 ht="15.75" customHeight="1" s="5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 ht="15.75" customHeight="1" s="5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 ht="15.75" customHeight="1" s="5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 ht="15.75" customHeight="1" s="5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 ht="15.75" customHeight="1" s="5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 ht="15.75" customHeight="1" s="5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 ht="15.75" customHeight="1" s="5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 ht="15.75" customHeight="1" s="5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 ht="15.75" customHeight="1" s="5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 ht="15.75" customHeight="1" s="5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 ht="15.75" customHeight="1" s="5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 ht="15.75" customHeight="1" s="5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 ht="15.75" customHeight="1" s="5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 ht="15.75" customHeight="1" s="5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 ht="15.75" customHeight="1" s="5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 ht="15.75" customHeight="1" s="5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 ht="15.75" customHeight="1" s="5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 ht="15.75" customHeight="1" s="5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 ht="15.75" customHeight="1" s="5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 ht="15.75" customHeight="1" s="5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 ht="15.75" customHeight="1" s="5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 ht="15.75" customHeight="1" s="5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 ht="15.75" customHeight="1" s="5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 ht="15.75" customHeight="1" s="5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 ht="15.75" customHeight="1" s="5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 ht="15.75" customHeight="1" s="5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 ht="15.75" customHeight="1" s="5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 ht="15.75" customHeight="1" s="5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 ht="15.75" customHeight="1" s="5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 ht="15.75" customHeight="1" s="5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 ht="15.75" customHeight="1" s="5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 ht="15.75" customHeight="1" s="5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 ht="15.75" customHeight="1" s="5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 ht="15.75" customHeight="1" s="5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 ht="15.75" customHeight="1" s="5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 ht="15.75" customHeight="1" s="5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 ht="15.75" customHeight="1" s="5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 ht="15.75" customHeight="1" s="5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 ht="15.75" customHeight="1" s="5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 ht="15.75" customHeight="1" s="5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 ht="15.75" customHeight="1" s="5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 ht="15.75" customHeight="1" s="5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 ht="15.75" customHeight="1" s="5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 ht="15.75" customHeight="1" s="5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 ht="15.75" customHeight="1" s="5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 ht="15.75" customHeight="1" s="5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 ht="15.75" customHeight="1" s="5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 ht="15.75" customHeight="1" s="5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 ht="15.75" customHeight="1" s="5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 ht="15.75" customHeight="1" s="5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 ht="15.75" customHeight="1" s="5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 ht="15.75" customHeight="1" s="5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 ht="15.75" customHeight="1" s="5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 ht="15.75" customHeight="1" s="5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 ht="15.75" customHeight="1" s="5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 ht="15.75" customHeight="1" s="5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 ht="15.75" customHeight="1" s="5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 ht="15.75" customHeight="1" s="5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 ht="15.75" customHeight="1" s="5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 ht="15.75" customHeight="1" s="5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 ht="15.75" customHeight="1" s="5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 ht="15.75" customHeight="1" s="5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 ht="15.75" customHeight="1" s="5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 ht="15.75" customHeight="1" s="5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 ht="15.75" customHeight="1" s="5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 ht="15.75" customHeight="1" s="5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 ht="15.75" customHeight="1" s="5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 ht="15.75" customHeight="1" s="5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 ht="15.75" customHeight="1" s="5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 ht="15.75" customHeight="1" s="5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 ht="15.75" customHeight="1" s="5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 ht="15.75" customHeight="1" s="5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 ht="15.75" customHeight="1" s="5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 ht="15.75" customHeight="1" s="5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 ht="15.75" customHeight="1" s="5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 ht="15.75" customHeight="1" s="5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 ht="15.75" customHeight="1" s="5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 ht="15.75" customHeight="1" s="5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 ht="15.75" customHeight="1" s="5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 ht="15.75" customHeight="1" s="5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 ht="15.75" customHeight="1" s="5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 ht="15.75" customHeight="1" s="5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 ht="15.75" customHeight="1" s="5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 ht="15.75" customHeight="1" s="5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 ht="15.75" customHeight="1" s="5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 ht="15.75" customHeight="1" s="5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 ht="15.75" customHeight="1" s="5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 ht="15.75" customHeight="1" s="5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 ht="15.75" customHeight="1" s="5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 ht="15.75" customHeight="1" s="5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 ht="15.75" customHeight="1" s="5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 ht="15.75" customHeight="1" s="5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 ht="15.75" customHeight="1" s="5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 ht="15.75" customHeight="1" s="5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 ht="15.75" customHeight="1" s="5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 ht="15.75" customHeight="1" s="5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 ht="15.75" customHeight="1" s="5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 ht="15.75" customHeight="1" s="5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 ht="15.75" customHeight="1" s="5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 ht="15.75" customHeight="1" s="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 ht="15.75" customHeight="1" s="5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 ht="15.75" customHeight="1" s="5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 ht="15.75" customHeight="1" s="5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 ht="15.75" customHeight="1" s="5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 ht="15.75" customHeight="1" s="5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 ht="15.75" customHeight="1" s="5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 ht="15.75" customHeight="1" s="5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 ht="15.75" customHeight="1" s="5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 ht="15.75" customHeight="1" s="5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 ht="15.75" customHeight="1" s="5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 ht="15.75" customHeight="1" s="5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 ht="15.75" customHeight="1" s="5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 ht="15.75" customHeight="1" s="5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 ht="15.75" customHeight="1" s="5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 ht="15.75" customHeight="1" s="5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 ht="15.75" customHeight="1" s="5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 ht="15.75" customHeight="1" s="5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 ht="15.75" customHeight="1" s="5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 ht="15.75" customHeight="1" s="5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 ht="15.75" customHeight="1" s="5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 ht="15.75" customHeight="1" s="5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 ht="15.75" customHeight="1" s="5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 ht="15.75" customHeight="1" s="5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 ht="15.75" customHeight="1" s="5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 ht="15.75" customHeight="1" s="5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 ht="15.75" customHeight="1" s="5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 ht="15.75" customHeight="1" s="5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 ht="15.75" customHeight="1" s="5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 ht="15.75" customHeight="1" s="5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 ht="15.75" customHeight="1" s="5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 ht="15.75" customHeight="1" s="5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 ht="15.75" customHeight="1" s="5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 ht="15.75" customHeight="1" s="5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 ht="15.75" customHeight="1" s="5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 ht="15.75" customHeight="1" s="5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 ht="15.75" customHeight="1" s="5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 ht="15.75" customHeight="1" s="5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 ht="15.75" customHeight="1" s="5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 ht="15.75" customHeight="1" s="5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 ht="15.75" customHeight="1" s="5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 ht="15.75" customHeight="1" s="5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 ht="15.75" customHeight="1" s="5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 ht="15.75" customHeight="1" s="5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 ht="15.75" customHeight="1" s="5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 ht="15.75" customHeight="1" s="5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 ht="15.75" customHeight="1" s="5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 ht="15.75" customHeight="1" s="5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 ht="15.75" customHeight="1" s="5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 ht="15.75" customHeight="1" s="5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 ht="15.75" customHeight="1" s="5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 ht="15.75" customHeight="1" s="5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 ht="15.75" customHeight="1" s="5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 ht="15.75" customHeight="1" s="5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 ht="15.75" customHeight="1" s="5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 ht="15.75" customHeight="1" s="5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 ht="15.75" customHeight="1" s="5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 ht="15.75" customHeight="1" s="5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 ht="15.75" customHeight="1" s="5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 ht="15.75" customHeight="1" s="5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 ht="15.75" customHeight="1" s="5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 ht="15.75" customHeight="1" s="5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 ht="15.75" customHeight="1" s="5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 ht="15.75" customHeight="1" s="5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 ht="15.75" customHeight="1" s="5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 ht="15.75" customHeight="1" s="5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 ht="15.75" customHeight="1" s="5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 ht="15.75" customHeight="1" s="5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 ht="15.75" customHeight="1" s="5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 ht="15.75" customHeight="1" s="5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 ht="15.75" customHeight="1" s="5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 ht="15.75" customHeight="1" s="5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 ht="15.75" customHeight="1" s="5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 ht="15.75" customHeight="1" s="5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 ht="15.75" customHeight="1" s="5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 ht="15.75" customHeight="1" s="5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 ht="15.75" customHeight="1" s="5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 ht="15.75" customHeight="1" s="5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 ht="15.75" customHeight="1" s="5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 ht="15.75" customHeight="1" s="5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 ht="15.75" customHeight="1" s="5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 ht="15.75" customHeight="1" s="5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 ht="15.75" customHeight="1" s="5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 ht="15.75" customHeight="1" s="5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 ht="15.75" customHeight="1" s="5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 ht="15.75" customHeight="1" s="5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 ht="15.75" customHeight="1" s="5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 ht="15.75" customHeight="1" s="5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 ht="15.75" customHeight="1" s="5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 ht="15.75" customHeight="1" s="5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 ht="15.75" customHeight="1" s="5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 ht="15.75" customHeight="1" s="5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 ht="15.75" customHeight="1" s="5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 ht="15.75" customHeight="1" s="5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 ht="15.75" customHeight="1" s="5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 ht="15.75" customHeight="1" s="5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 ht="15.75" customHeight="1" s="5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 ht="15.75" customHeight="1" s="5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 ht="15.75" customHeight="1" s="5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 ht="15.75" customHeight="1" s="5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 ht="15.75" customHeight="1" s="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 ht="15.75" customHeight="1" s="5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 ht="15.75" customHeight="1" s="5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 ht="15.75" customHeight="1" s="5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 ht="15.75" customHeight="1" s="5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 ht="15.75" customHeight="1" s="5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 ht="15.75" customHeight="1" s="5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 ht="15.75" customHeight="1" s="5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 ht="15.75" customHeight="1" s="5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 ht="15.75" customHeight="1" s="5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 ht="15.75" customHeight="1" s="5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 ht="15.75" customHeight="1" s="5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 ht="15.75" customHeight="1" s="5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 ht="15.75" customHeight="1" s="5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 ht="15.75" customHeight="1" s="5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 ht="15.75" customHeight="1" s="5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 ht="15.75" customHeight="1" s="5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 ht="15.75" customHeight="1" s="5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 ht="15.75" customHeight="1" s="5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 ht="15.75" customHeight="1" s="5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 ht="15.75" customHeight="1" s="5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 ht="15.75" customHeight="1" s="5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 ht="15.75" customHeight="1" s="5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 ht="15.75" customHeight="1" s="5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 ht="15.75" customHeight="1" s="5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 ht="15.75" customHeight="1" s="5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 ht="15.75" customHeight="1" s="5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 ht="15.75" customHeight="1" s="5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 ht="15.75" customHeight="1" s="5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 ht="15.75" customHeight="1" s="5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 ht="15.75" customHeight="1" s="5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 ht="15.75" customHeight="1" s="5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 ht="15.75" customHeight="1" s="5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 ht="15.75" customHeight="1" s="5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 ht="15.75" customHeight="1" s="5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 ht="15.75" customHeight="1" s="5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 ht="15.75" customHeight="1" s="5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 ht="15.75" customHeight="1" s="5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 ht="15.75" customHeight="1" s="5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 ht="15.75" customHeight="1" s="5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 ht="15.75" customHeight="1" s="5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 ht="15.75" customHeight="1" s="5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 ht="15.75" customHeight="1" s="5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 ht="15.75" customHeight="1" s="5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 ht="15.75" customHeight="1" s="5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 ht="15.75" customHeight="1" s="5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 ht="15.75" customHeight="1" s="5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 ht="15.75" customHeight="1" s="5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 ht="15.75" customHeight="1" s="5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 ht="15.75" customHeight="1" s="5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 ht="15.75" customHeight="1" s="5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 ht="15.75" customHeight="1" s="5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 ht="15.75" customHeight="1" s="5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 ht="15.75" customHeight="1" s="5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 ht="15.75" customHeight="1" s="5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 ht="15.75" customHeight="1" s="5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 ht="15.75" customHeight="1" s="5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 ht="15.75" customHeight="1" s="5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 ht="15.75" customHeight="1" s="5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 ht="15.75" customHeight="1" s="5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 ht="15.75" customHeight="1" s="5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 ht="15.75" customHeight="1" s="5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 ht="15.75" customHeight="1" s="5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 ht="15.75" customHeight="1" s="5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 ht="15.75" customHeight="1" s="5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 ht="15.75" customHeight="1" s="5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 ht="15.75" customHeight="1" s="5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 ht="15.75" customHeight="1" s="5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 ht="15.75" customHeight="1" s="5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 ht="15.75" customHeight="1" s="5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 ht="15.75" customHeight="1" s="5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 ht="15.75" customHeight="1" s="5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 ht="15.75" customHeight="1" s="5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 ht="15.75" customHeight="1" s="5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 ht="15.75" customHeight="1" s="5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 ht="15.75" customHeight="1" s="5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 ht="15.75" customHeight="1" s="5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 ht="15.75" customHeight="1" s="5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 ht="15.75" customHeight="1" s="5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 ht="15.75" customHeight="1" s="5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 ht="15.75" customHeight="1" s="5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 ht="15.75" customHeight="1" s="5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 ht="15.75" customHeight="1" s="5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 ht="15.75" customHeight="1" s="5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 ht="15.75" customHeight="1" s="5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 ht="15.75" customHeight="1" s="5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 ht="15.75" customHeight="1" s="5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 ht="15.75" customHeight="1" s="5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 ht="15.75" customHeight="1" s="5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 ht="15.75" customHeight="1" s="5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 ht="15.75" customHeight="1" s="5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 ht="15.75" customHeight="1" s="5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 ht="15.75" customHeight="1" s="5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 ht="15.75" customHeight="1" s="5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 ht="15.75" customHeight="1" s="5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 ht="15.75" customHeight="1" s="5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 ht="15.75" customHeight="1" s="5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 ht="15.75" customHeight="1" s="5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 ht="15.75" customHeight="1" s="5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 ht="15.75" customHeight="1" s="5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 ht="15.75" customHeight="1" s="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 ht="15.75" customHeight="1" s="5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 ht="15.75" customHeight="1" s="5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 ht="15.75" customHeight="1" s="5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 ht="15.75" customHeight="1" s="5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 ht="15.75" customHeight="1" s="5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 ht="15.75" customHeight="1" s="5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 ht="15.75" customHeight="1" s="5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 ht="15.75" customHeight="1" s="5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 ht="15.75" customHeight="1" s="5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 ht="15.75" customHeight="1" s="5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 ht="15.75" customHeight="1" s="5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 ht="15.75" customHeight="1" s="5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 ht="15.75" customHeight="1" s="5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 ht="15.75" customHeight="1" s="5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 ht="15.75" customHeight="1" s="5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 ht="15.75" customHeight="1" s="5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 ht="15.75" customHeight="1" s="5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 ht="15.75" customHeight="1" s="5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 ht="15.75" customHeight="1" s="5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 ht="15.75" customHeight="1" s="5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 ht="15.75" customHeight="1" s="5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 ht="15.75" customHeight="1" s="5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 ht="15.75" customHeight="1" s="5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 ht="15.75" customHeight="1" s="5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 ht="15.75" customHeight="1" s="5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 ht="15.75" customHeight="1" s="5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 ht="15.75" customHeight="1" s="5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 ht="15.75" customHeight="1" s="5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 ht="15.75" customHeight="1" s="5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 ht="15.75" customHeight="1" s="5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 ht="15.75" customHeight="1" s="5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 ht="15.75" customHeight="1" s="5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 ht="15.75" customHeight="1" s="5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 ht="15.75" customHeight="1" s="5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 ht="15.75" customHeight="1" s="5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 ht="15.75" customHeight="1" s="5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 ht="15.75" customHeight="1" s="5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 ht="15.75" customHeight="1" s="5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 ht="15.75" customHeight="1" s="5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 ht="15.75" customHeight="1" s="5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 ht="15.75" customHeight="1" s="5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 ht="15.75" customHeight="1" s="5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 ht="15.75" customHeight="1" s="5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 ht="15.75" customHeight="1" s="5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 ht="15.75" customHeight="1" s="5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 ht="15.75" customHeight="1" s="5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 ht="15.75" customHeight="1" s="5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 ht="15.75" customHeight="1" s="5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 ht="15.75" customHeight="1" s="5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 ht="15.75" customHeight="1" s="5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 ht="15.75" customHeight="1" s="5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 ht="15.75" customHeight="1" s="5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 ht="15.75" customHeight="1" s="5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 ht="15.75" customHeight="1" s="5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 ht="15.75" customHeight="1" s="5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 ht="15.75" customHeight="1" s="5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 ht="15.75" customHeight="1" s="5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 ht="15.75" customHeight="1" s="5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 ht="15.75" customHeight="1" s="5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 ht="15.75" customHeight="1" s="5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 ht="15.75" customHeight="1" s="5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 ht="15.75" customHeight="1" s="5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 ht="15.75" customHeight="1" s="5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 ht="15.75" customHeight="1" s="5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 ht="15.75" customHeight="1" s="5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 ht="15.75" customHeight="1" s="5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 ht="15.75" customHeight="1" s="5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 ht="15.75" customHeight="1" s="5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 ht="15.75" customHeight="1" s="5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 ht="15.75" customHeight="1" s="5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 ht="15.75" customHeight="1" s="5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 ht="15.75" customHeight="1" s="5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 ht="15.75" customHeight="1" s="5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 ht="15.75" customHeight="1" s="5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 ht="15.75" customHeight="1" s="5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 ht="15.75" customHeight="1" s="5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 ht="15.75" customHeight="1" s="5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 ht="15.75" customHeight="1" s="5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 ht="15.75" customHeight="1" s="5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 ht="15.75" customHeight="1" s="5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 ht="15.75" customHeight="1" s="5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 ht="15.75" customHeight="1" s="5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 ht="15.75" customHeight="1" s="5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 ht="15.75" customHeight="1" s="5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 ht="15.75" customHeight="1" s="5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 ht="15.75" customHeight="1" s="5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 ht="15.75" customHeight="1" s="5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 ht="15.75" customHeight="1" s="5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 ht="15.75" customHeight="1" s="5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 ht="15.75" customHeight="1" s="5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 ht="15.75" customHeight="1" s="5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 ht="15.75" customHeight="1" s="5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 ht="15.75" customHeight="1" s="5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 ht="15.75" customHeight="1" s="5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 ht="15.75" customHeight="1" s="5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 ht="15.75" customHeight="1" s="5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 ht="15.75" customHeight="1" s="5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 ht="15.75" customHeight="1" s="5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 ht="15.75" customHeight="1" s="5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 ht="15.75" customHeight="1" s="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 ht="15.75" customHeight="1" s="5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 ht="15.75" customHeight="1" s="5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 ht="15.75" customHeight="1" s="5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 ht="15.75" customHeight="1" s="5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 ht="15.75" customHeight="1" s="5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 ht="15.75" customHeight="1" s="5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 ht="15.75" customHeight="1" s="5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 ht="15.75" customHeight="1" s="5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 ht="15.75" customHeight="1" s="5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 ht="15.75" customHeight="1" s="5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 ht="15.75" customHeight="1" s="5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 ht="15.75" customHeight="1" s="5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 ht="15.75" customHeight="1" s="5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 ht="15.75" customHeight="1" s="5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 ht="15.75" customHeight="1" s="5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 ht="15.75" customHeight="1" s="5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 ht="15.75" customHeight="1" s="5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 ht="15.75" customHeight="1" s="5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 ht="15.75" customHeight="1" s="5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 ht="15.75" customHeight="1" s="5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 ht="15.75" customHeight="1" s="5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 ht="15.75" customHeight="1" s="5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 ht="15.75" customHeight="1" s="5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 ht="15.75" customHeight="1" s="5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 ht="15.75" customHeight="1" s="5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 ht="15.75" customHeight="1" s="5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 ht="15.75" customHeight="1" s="5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 ht="15.75" customHeight="1" s="5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 ht="15.75" customHeight="1" s="5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 ht="15.75" customHeight="1" s="5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 ht="15.75" customHeight="1" s="5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 ht="15.75" customHeight="1" s="5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 ht="15.75" customHeight="1" s="5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 ht="15.75" customHeight="1" s="5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 ht="15.75" customHeight="1" s="5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 ht="15.75" customHeight="1" s="5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 ht="15.75" customHeight="1" s="5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 ht="15.75" customHeight="1" s="5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 ht="15.75" customHeight="1" s="5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 ht="15.75" customHeight="1" s="5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 ht="15.75" customHeight="1" s="5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 ht="15.75" customHeight="1" s="5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 ht="15.75" customHeight="1" s="5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 ht="15.75" customHeight="1" s="5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 ht="15.75" customHeight="1" s="5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 ht="15.75" customHeight="1" s="5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 ht="15.75" customHeight="1" s="5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 ht="15.75" customHeight="1" s="5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 ht="15.75" customHeight="1" s="5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 ht="15.75" customHeight="1" s="5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 ht="15.75" customHeight="1" s="5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 ht="15.75" customHeight="1" s="5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 ht="15.75" customHeight="1" s="5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 ht="15.75" customHeight="1" s="5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 ht="15.75" customHeight="1" s="5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 ht="15.75" customHeight="1" s="5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 ht="15.75" customHeight="1" s="5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 ht="15.75" customHeight="1" s="5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 ht="15.75" customHeight="1" s="5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 ht="15.75" customHeight="1" s="5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 ht="15.75" customHeight="1" s="5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 ht="15.75" customHeight="1" s="5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 ht="15.75" customHeight="1" s="5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 ht="15.75" customHeight="1" s="5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 ht="15.75" customHeight="1" s="5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 ht="15.75" customHeight="1" s="5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 ht="15.75" customHeight="1" s="5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 ht="15.75" customHeight="1" s="5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 ht="15.75" customHeight="1" s="5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 ht="15.75" customHeight="1" s="5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 ht="15.75" customHeight="1" s="5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 ht="15.75" customHeight="1" s="5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 ht="15.75" customHeight="1" s="5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 ht="15.75" customHeight="1" s="5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 ht="15.75" customHeight="1" s="5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 ht="15.75" customHeight="1" s="5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 ht="15.75" customHeight="1" s="5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 ht="15.75" customHeight="1" s="5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 ht="15.75" customHeight="1" s="5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 ht="15.75" customHeight="1" s="5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 ht="15.75" customHeight="1" s="5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 ht="15.75" customHeight="1" s="5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 ht="15.75" customHeight="1" s="5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 ht="15.75" customHeight="1" s="5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 ht="15.75" customHeight="1" s="5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 ht="15.75" customHeight="1" s="5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 ht="15.75" customHeight="1" s="5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 ht="15.75" customHeight="1" s="5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 ht="15.75" customHeight="1" s="5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 ht="15.75" customHeight="1" s="5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 ht="15.75" customHeight="1" s="5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 ht="15.75" customHeight="1" s="5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 ht="15.75" customHeight="1" s="5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 ht="15.75" customHeight="1" s="5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 ht="15.75" customHeight="1" s="5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 ht="15.75" customHeight="1" s="5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 ht="15.75" customHeight="1" s="5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 ht="15.75" customHeight="1" s="5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 ht="15.75" customHeight="1" s="5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 ht="15.75" customHeight="1" s="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 ht="15.75" customHeight="1" s="5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 ht="15.75" customHeight="1" s="5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 ht="15.75" customHeight="1" s="5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 ht="15.75" customHeight="1" s="5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 ht="15.75" customHeight="1" s="5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 ht="15.75" customHeight="1" s="5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 ht="15.75" customHeight="1" s="5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 ht="15.75" customHeight="1" s="5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 ht="15.75" customHeight="1" s="5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 ht="15.75" customHeight="1" s="5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 ht="15.75" customHeight="1" s="5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 ht="15.75" customHeight="1" s="5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 ht="15.75" customHeight="1" s="5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 ht="15.75" customHeight="1" s="5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 ht="15.75" customHeight="1" s="5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 ht="15.75" customHeight="1" s="5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 ht="15.75" customHeight="1" s="5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 ht="15.75" customHeight="1" s="5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 ht="15.75" customHeight="1" s="5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 ht="15.75" customHeight="1" s="5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 ht="15.75" customHeight="1" s="5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 ht="15.75" customHeight="1" s="5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 ht="15.75" customHeight="1" s="5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 ht="15.75" customHeight="1" s="5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 ht="15.75" customHeight="1" s="5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 ht="15.75" customHeight="1" s="5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 ht="15.75" customHeight="1" s="5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 ht="15.75" customHeight="1" s="5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 ht="15.75" customHeight="1" s="5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 ht="15.75" customHeight="1" s="5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 ht="15.75" customHeight="1" s="5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 ht="15.75" customHeight="1" s="5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 ht="15.75" customHeight="1" s="5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 ht="15.75" customHeight="1" s="5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 ht="15.75" customHeight="1" s="5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 ht="15.75" customHeight="1" s="5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 ht="15.75" customHeight="1" s="5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 ht="15.75" customHeight="1" s="5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 ht="15.75" customHeight="1" s="5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 ht="15.75" customHeight="1" s="5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 ht="15.75" customHeight="1" s="5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 ht="15.75" customHeight="1" s="5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 ht="15.75" customHeight="1" s="5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 ht="15.75" customHeight="1" s="5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 ht="15.75" customHeight="1" s="5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 ht="15.75" customHeight="1" s="5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 ht="15.75" customHeight="1" s="5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 ht="15.75" customHeight="1" s="5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 ht="15.75" customHeight="1" s="5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 ht="15.75" customHeight="1" s="5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 ht="15.75" customHeight="1" s="5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 ht="15.75" customHeight="1" s="5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 ht="15.75" customHeight="1" s="5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 ht="15.75" customHeight="1" s="5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 ht="15.75" customHeight="1" s="5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 ht="15.75" customHeight="1" s="5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 ht="15.75" customHeight="1" s="5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 ht="15.75" customHeight="1" s="5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 ht="15.75" customHeight="1" s="5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 ht="15.75" customHeight="1" s="5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 ht="15.75" customHeight="1" s="5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 ht="15.75" customHeight="1" s="5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 ht="15.75" customHeight="1" s="5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 ht="15.75" customHeight="1" s="5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 ht="15.75" customHeight="1" s="5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 ht="15.75" customHeight="1" s="5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 ht="15.75" customHeight="1" s="5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 ht="15.75" customHeight="1" s="5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 ht="15.75" customHeight="1" s="5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 ht="15.75" customHeight="1" s="5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 ht="15.75" customHeight="1" s="5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 ht="15.75" customHeight="1" s="5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 ht="15.75" customHeight="1" s="5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 ht="15.75" customHeight="1" s="5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 ht="15.75" customHeight="1" s="5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 ht="15.75" customHeight="1" s="5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 ht="15.75" customHeight="1" s="5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 ht="15.75" customHeight="1" s="5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 ht="15.75" customHeight="1" s="5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 ht="15.75" customHeight="1" s="5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 ht="15.75" customHeight="1" s="5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 ht="15.75" customHeight="1" s="5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 ht="15.75" customHeight="1" s="5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 ht="15.75" customHeight="1" s="5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 ht="15.75" customHeight="1" s="5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 ht="15.75" customHeight="1" s="5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 ht="15.75" customHeight="1" s="5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 ht="15.75" customHeight="1" s="5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 ht="15.75" customHeight="1" s="5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 ht="15.75" customHeight="1" s="5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 ht="15.75" customHeight="1" s="5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 ht="15.75" customHeight="1" s="5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 ht="15.75" customHeight="1" s="5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 ht="15.75" customHeight="1" s="5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 ht="15.75" customHeight="1" s="5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 ht="15.75" customHeight="1" s="5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 ht="15.75" customHeight="1" s="5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 ht="15.75" customHeight="1" s="5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 ht="15.75" customHeight="1" s="5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 ht="15.75" customHeight="1" s="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 ht="15.75" customHeight="1" s="5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 ht="15.75" customHeight="1" s="5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 ht="15.75" customHeight="1" s="5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 ht="15.75" customHeight="1" s="5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 ht="15.75" customHeight="1" s="5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 ht="15.75" customHeight="1" s="5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 ht="15.75" customHeight="1" s="5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 ht="15.75" customHeight="1" s="5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 ht="15.75" customHeight="1" s="5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 ht="15.75" customHeight="1" s="5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 ht="15.75" customHeight="1" s="5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 ht="15.75" customHeight="1" s="5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 ht="15.75" customHeight="1" s="5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 ht="15.75" customHeight="1" s="5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 ht="15.75" customHeight="1" s="5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 ht="15.75" customHeight="1" s="5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 ht="15.75" customHeight="1" s="5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 ht="15.75" customHeight="1" s="5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 ht="15.75" customHeight="1" s="5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 ht="15.75" customHeight="1" s="5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 ht="15.75" customHeight="1" s="5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 ht="15.75" customHeight="1" s="5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 ht="15.75" customHeight="1" s="5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 ht="15.75" customHeight="1" s="5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 ht="15.75" customHeight="1" s="5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 ht="15.75" customHeight="1" s="5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 ht="15.75" customHeight="1" s="5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 ht="15.75" customHeight="1" s="5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 ht="15.75" customHeight="1" s="5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 ht="15.75" customHeight="1" s="5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 ht="15.75" customHeight="1" s="5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 ht="15.75" customHeight="1" s="5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 ht="15.75" customHeight="1" s="5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 ht="15.75" customHeight="1" s="5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 ht="15.75" customHeight="1" s="5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 ht="15.75" customHeight="1" s="5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 ht="15.75" customHeight="1" s="5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 ht="15.75" customHeight="1" s="5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 ht="15.75" customHeight="1" s="5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 ht="15.75" customHeight="1" s="5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 ht="15.75" customHeight="1" s="5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 ht="15.75" customHeight="1" s="5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 ht="15.75" customHeight="1" s="5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 ht="15.75" customHeight="1" s="5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 ht="15.75" customHeight="1" s="5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 ht="15.75" customHeight="1" s="5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 ht="15.75" customHeight="1" s="5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 ht="15.75" customHeight="1" s="5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 ht="15.75" customHeight="1" s="5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 ht="15.75" customHeight="1" s="5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 ht="15.75" customHeight="1" s="5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 ht="15.75" customHeight="1" s="5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 ht="15.75" customHeight="1" s="5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 ht="15.75" customHeight="1" s="5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 ht="15.75" customHeight="1" s="5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 ht="15.75" customHeight="1" s="5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 ht="15.75" customHeight="1" s="5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 ht="15.75" customHeight="1" s="5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 ht="15.75" customHeight="1" s="5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 ht="15.75" customHeight="1" s="5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 ht="15.75" customHeight="1" s="5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 ht="15.75" customHeight="1" s="5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 ht="15.75" customHeight="1" s="5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 ht="15.75" customHeight="1" s="5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 ht="15.75" customHeight="1" s="5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 ht="15.75" customHeight="1" s="5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 ht="15.75" customHeight="1" s="5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 ht="15.75" customHeight="1" s="5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 ht="15.75" customHeight="1" s="5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 ht="15.75" customHeight="1" s="5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 ht="15.75" customHeight="1" s="5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 ht="15.75" customHeight="1" s="5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 ht="15.75" customHeight="1" s="5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 ht="15.75" customHeight="1" s="5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 ht="15.75" customHeight="1" s="5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 ht="15.75" customHeight="1" s="5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 ht="15.75" customHeight="1" s="5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 ht="15.75" customHeight="1" s="5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 ht="15.75" customHeight="1" s="5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 ht="15.75" customHeight="1" s="5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 ht="15.75" customHeight="1" s="5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 ht="15.75" customHeight="1" s="5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 ht="15.75" customHeight="1" s="5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 ht="15.75" customHeight="1" s="5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 ht="15.75" customHeight="1" s="5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 ht="15.75" customHeight="1" s="5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 ht="15.75" customHeight="1" s="5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 ht="15.75" customHeight="1" s="5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 ht="15.75" customHeight="1" s="5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 ht="15.75" customHeight="1" s="5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 ht="15.75" customHeight="1" s="5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 ht="15.75" customHeight="1" s="5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 ht="15.75" customHeight="1" s="5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 ht="15.75" customHeight="1" s="5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 ht="15.75" customHeight="1" s="5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 ht="15.75" customHeight="1" s="5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 ht="15.75" customHeight="1" s="5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 ht="15.75" customHeight="1" s="5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 ht="15.75" customHeight="1" s="5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 ht="15.75" customHeight="1" s="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 ht="15.75" customHeight="1" s="5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 ht="15.75" customHeight="1" s="5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 ht="15.75" customHeight="1" s="5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 ht="15.75" customHeight="1" s="5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 ht="15.75" customHeight="1" s="5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 ht="15.75" customHeight="1" s="5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 ht="15.75" customHeight="1" s="5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 ht="15.75" customHeight="1" s="5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 ht="15.75" customHeight="1" s="5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 ht="15.75" customHeight="1" s="5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 ht="15.75" customHeight="1" s="5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 ht="15.75" customHeight="1" s="5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 ht="15.75" customHeight="1" s="5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 ht="15.75" customHeight="1" s="5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 ht="15.75" customHeight="1" s="5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 ht="15.75" customHeight="1" s="5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 ht="15.75" customHeight="1" s="5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 ht="15.75" customHeight="1" s="5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 ht="15.75" customHeight="1" s="5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 ht="15.75" customHeight="1" s="5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 ht="15.75" customHeight="1" s="5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 ht="15.75" customHeight="1" s="5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 ht="15.75" customHeight="1" s="5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 ht="15.75" customHeight="1" s="5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 ht="15.75" customHeight="1" s="5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 ht="15.75" customHeight="1" s="5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 ht="15.75" customHeight="1" s="5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 ht="15.75" customHeight="1" s="5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 ht="15.75" customHeight="1" s="5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 ht="15.75" customHeight="1" s="5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 ht="15.75" customHeight="1" s="5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 ht="15.75" customHeight="1" s="5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 ht="15.75" customHeight="1" s="5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 ht="15.75" customHeight="1" s="5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 ht="15.75" customHeight="1" s="5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 ht="15.75" customHeight="1" s="5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 ht="15.75" customHeight="1" s="5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 ht="15.75" customHeight="1" s="5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 ht="15.75" customHeight="1" s="5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 ht="15.75" customHeight="1" s="5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 ht="15.75" customHeight="1" s="5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 ht="15.75" customHeight="1" s="5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 ht="15.75" customHeight="1" s="5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sheetData>
    <row r="1">
      <c r="A1" s="0" t="inlineStr">
        <is>
          <t>Date</t>
        </is>
      </c>
      <c r="B1" s="0" t="inlineStr">
        <is>
          <t>Cumulative PnL</t>
        </is>
      </c>
    </row>
    <row r="2">
      <c r="A2" s="0" t="inlineStr">
        <is>
          <t>2026-07-21</t>
        </is>
      </c>
      <c r="B2" s="0" t="n">
        <v>-4.400000000000091</v>
      </c>
    </row>
    <row r="3">
      <c r="A3" s="0" t="inlineStr">
        <is>
          <t>2026-08-04</t>
        </is>
      </c>
      <c r="B3" s="0" t="n">
        <v>-22.30000000000018</v>
      </c>
    </row>
    <row r="4">
      <c r="A4" s="0" t="inlineStr">
        <is>
          <t>2026-08-05</t>
        </is>
      </c>
      <c r="B4" s="0" t="n">
        <v>104.7999999999997</v>
      </c>
    </row>
    <row r="5">
      <c r="A5" s="0" t="inlineStr">
        <is>
          <t>2026-08-06</t>
        </is>
      </c>
      <c r="B5" s="0" t="n">
        <v>103.8499999999997</v>
      </c>
    </row>
    <row r="6">
      <c r="A6" s="0" t="inlineStr">
        <is>
          <t>2026-08-10</t>
        </is>
      </c>
      <c r="B6" s="0" t="n">
        <v>119.6399999999998</v>
      </c>
    </row>
    <row r="7">
      <c r="A7" s="0" t="inlineStr">
        <is>
          <t>2026-08-12</t>
        </is>
      </c>
      <c r="B7" s="0" t="n">
        <v>120.9499999999996</v>
      </c>
    </row>
    <row r="8">
      <c r="A8" s="0" t="inlineStr">
        <is>
          <t>2026-08-13</t>
        </is>
      </c>
      <c r="B8" s="0" t="n">
        <v>180.6499999999997</v>
      </c>
    </row>
    <row r="9">
      <c r="A9" s="0" t="inlineStr">
        <is>
          <t>2026-08-14</t>
        </is>
      </c>
      <c r="B9" s="0" t="n">
        <v>145.6499999999997</v>
      </c>
    </row>
    <row r="10">
      <c r="A10" s="0" t="inlineStr">
        <is>
          <t>2026-08-18</t>
        </is>
      </c>
      <c r="B10" s="0" t="n">
        <v>92.88999999999982</v>
      </c>
    </row>
    <row r="11">
      <c r="A11" s="0" t="inlineStr">
        <is>
          <t>2026-08-20</t>
        </is>
      </c>
      <c r="B11" s="0" t="n">
        <v>96.93999999999977</v>
      </c>
    </row>
    <row r="12">
      <c r="A12" s="0" t="inlineStr">
        <is>
          <t>2026-08-21</t>
        </is>
      </c>
      <c r="B12" s="0" t="n">
        <v>6.999999999999716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2026-07-21T07:18:24Z</dcterms:created>
  <dcterms:modified xmlns:dcterms="http://purl.org/dc/terms/" xmlns:xsi="http://www.w3.org/2001/XMLSchema-instance" xsi:type="dcterms:W3CDTF">2026-10-26T21:13:13Z</dcterms:modified>
</cp:coreProperties>
</file>