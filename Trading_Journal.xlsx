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2026-09-04 15:02:38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836.1500244140625</v>
      </c>
      <c r="H4" s="88">
        <f>E4*G4</f>
        <v/>
      </c>
      <c r="I4" s="89">
        <f>H4-(E4*F4)</f>
        <v/>
      </c>
      <c r="J4" s="90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488.2999877929688</v>
      </c>
      <c r="H5" s="88">
        <f>E5*G5</f>
        <v/>
      </c>
      <c r="I5" s="89">
        <f>H5-(E5*F5)</f>
        <v/>
      </c>
      <c r="J5" s="90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66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69.73000335693359</v>
      </c>
      <c r="H6" s="88">
        <f>E6*G6</f>
        <v/>
      </c>
      <c r="I6" s="89">
        <f>H6-(E6*F6)</f>
        <v/>
      </c>
      <c r="J6" s="90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67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199.9499969482422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354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8.220000267028809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554.0499877929688</v>
      </c>
      <c r="H11" s="88">
        <f>E11*G11</f>
        <v/>
      </c>
      <c r="I11" s="89">
        <f>H11-(E11*F11)</f>
        <v/>
      </c>
      <c r="J11" s="90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66" t="n">
        <v>18993.73999977112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928.9000244140625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>
        <f>B5 - SUMIF(Capital!B:B, "WITHDRAWAL", Capital!C:C) + B6 - B11</f>
        <v/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258.9599914550781</v>
      </c>
      <c r="H13" s="88">
        <f>E13*G13</f>
        <v/>
      </c>
      <c r="I13" s="89">
        <f>H13-(E13*F13)</f>
        <v/>
      </c>
      <c r="J13" s="90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9.083333333333334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8.029411764705882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2026-09-02</t>
        </is>
      </c>
      <c r="B115" s="2" t="inlineStr">
        <is>
          <t>COHANCE</t>
        </is>
      </c>
      <c r="C115" s="2" t="inlineStr">
        <is>
          <t>COHANCE</t>
        </is>
      </c>
      <c r="D115" s="2" t="inlineStr">
        <is>
          <t>100/100</t>
        </is>
      </c>
      <c r="E115" s="7" t="n">
        <v>460</v>
      </c>
      <c r="F115" s="7" t="n">
        <v>424.8999938964844</v>
      </c>
      <c r="G115" s="7" t="n">
        <v>547.7500152587891</v>
      </c>
      <c r="H115" s="2" t="inlineStr">
        <is>
          <t>1:2.5</t>
        </is>
      </c>
      <c r="I115" s="2" t="n">
        <v>0</v>
      </c>
      <c r="J115" s="7" t="n">
        <v>0</v>
      </c>
      <c r="K115" s="2" t="inlineStr">
        <is>
          <t>PENDING</t>
        </is>
      </c>
      <c r="L115" s="2" t="inlineStr">
        <is>
          <t>Swing Scanner (STATE 3: Capitulation Bottom)</t>
        </is>
      </c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2026-09-02</t>
        </is>
      </c>
      <c r="B116" s="2" t="inlineStr">
        <is>
          <t>METROPOLIS</t>
        </is>
      </c>
      <c r="C116" s="2" t="inlineStr">
        <is>
          <t>Metropolis Healthcare Limited</t>
        </is>
      </c>
      <c r="D116" s="2" t="inlineStr">
        <is>
          <t>98/100</t>
        </is>
      </c>
      <c r="E116" s="7" t="n">
        <v>582.25</v>
      </c>
      <c r="F116" s="7" t="n">
        <v>551.1428571428571</v>
      </c>
      <c r="G116" s="7" t="n">
        <v>660.0178571428571</v>
      </c>
      <c r="H116" s="2" t="inlineStr">
        <is>
          <t>1:2.5</t>
        </is>
      </c>
      <c r="I116" s="2" t="n">
        <v>0</v>
      </c>
      <c r="J116" s="7" t="n">
        <v>0</v>
      </c>
      <c r="K116" s="2" t="inlineStr">
        <is>
          <t>PENDING</t>
        </is>
      </c>
      <c r="L116" s="2" t="inlineStr">
        <is>
          <t>Swing Scanner (STATE 3: Capitulation Bottom)</t>
        </is>
      </c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2026-09-02</t>
        </is>
      </c>
      <c r="B117" s="2" t="inlineStr">
        <is>
          <t>GARFIBRES</t>
        </is>
      </c>
      <c r="C117" s="2" t="inlineStr">
        <is>
          <t>Garware Technical Fibres Limited</t>
        </is>
      </c>
      <c r="D117" s="2" t="inlineStr">
        <is>
          <t>98/100</t>
        </is>
      </c>
      <c r="E117" s="7" t="n">
        <v>842.7000122070312</v>
      </c>
      <c r="F117" s="7" t="n">
        <v>781.5461229472841</v>
      </c>
      <c r="G117" s="7" t="n">
        <v>995.5847353563992</v>
      </c>
      <c r="H117" s="2" t="inlineStr">
        <is>
          <t>1:2.5</t>
        </is>
      </c>
      <c r="I117" s="2" t="n">
        <v>0</v>
      </c>
      <c r="J117" s="7" t="n">
        <v>0</v>
      </c>
      <c r="K117" s="2" t="inlineStr">
        <is>
          <t>PENDING</t>
        </is>
      </c>
      <c r="L117" s="2" t="inlineStr">
        <is>
          <t>Swing Scanner (STATE 3: Capitulation Bottom)</t>
        </is>
      </c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2026-09-02</t>
        </is>
      </c>
      <c r="B118" s="2" t="inlineStr">
        <is>
          <t>ANTHEM</t>
        </is>
      </c>
      <c r="C118" s="2" t="inlineStr">
        <is>
          <t>ANTHEM</t>
        </is>
      </c>
      <c r="D118" s="2" t="inlineStr">
        <is>
          <t>98/100</t>
        </is>
      </c>
      <c r="E118" s="7" t="n">
        <v>924.5</v>
      </c>
      <c r="F118" s="7" t="n">
        <v>871.1000017438616</v>
      </c>
      <c r="G118" s="7" t="n">
        <v>1057.999995640346</v>
      </c>
      <c r="H118" s="2" t="inlineStr">
        <is>
          <t>1:2.5</t>
        </is>
      </c>
      <c r="I118" s="2" t="n">
        <v>0</v>
      </c>
      <c r="J118" s="7" t="n">
        <v>0</v>
      </c>
      <c r="K118" s="2" t="inlineStr">
        <is>
          <t>PENDING</t>
        </is>
      </c>
      <c r="L118" s="2" t="inlineStr">
        <is>
          <t>Swing Scanner (STATE 3: Capitulation Bottom)</t>
        </is>
      </c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2026-09-02</t>
        </is>
      </c>
      <c r="B119" s="2" t="inlineStr">
        <is>
          <t>BHAGERIA</t>
        </is>
      </c>
      <c r="C119" s="2" t="inlineStr">
        <is>
          <t>Bhageria Industries Limited</t>
        </is>
      </c>
      <c r="D119" s="2" t="inlineStr">
        <is>
          <t>97/100</t>
        </is>
      </c>
      <c r="E119" s="7" t="n">
        <v>263.2000122070312</v>
      </c>
      <c r="F119" s="7" t="n">
        <v>243.0571550641741</v>
      </c>
      <c r="G119" s="7" t="n">
        <v>313.5571550641741</v>
      </c>
      <c r="H119" s="2" t="inlineStr">
        <is>
          <t>1:2.5</t>
        </is>
      </c>
      <c r="I119" s="2" t="n">
        <v>0</v>
      </c>
      <c r="J119" s="7" t="n">
        <v>0</v>
      </c>
      <c r="K119" s="2" t="inlineStr">
        <is>
          <t>PENDING</t>
        </is>
      </c>
      <c r="L119" s="2" t="inlineStr">
        <is>
          <t>Swing Scanner (STATE 3: Capitulation Bottom)</t>
        </is>
      </c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2026-09-02</t>
        </is>
      </c>
      <c r="B120" s="2" t="inlineStr">
        <is>
          <t>ULTRACEMCO</t>
        </is>
      </c>
      <c r="C120" s="2" t="inlineStr">
        <is>
          <t>UltraTech Cement Limited</t>
        </is>
      </c>
      <c r="D120" s="2" t="inlineStr">
        <is>
          <t>100/100</t>
        </is>
      </c>
      <c r="E120" s="7" t="n">
        <v>11393</v>
      </c>
      <c r="F120" s="7" t="n">
        <v>11202.8</v>
      </c>
      <c r="G120" s="7" t="n">
        <v>11868.5</v>
      </c>
      <c r="H120" s="2" t="inlineStr">
        <is>
          <t>1:2.5</t>
        </is>
      </c>
      <c r="I120" s="2" t="n">
        <v>0</v>
      </c>
      <c r="J120" s="7" t="n">
        <v>0</v>
      </c>
      <c r="K120" s="2" t="inlineStr">
        <is>
          <t>PENDING</t>
        </is>
      </c>
      <c r="L120" s="2" t="inlineStr">
        <is>
          <t>Intraday Scanner (STATE 3: Capitulation Bottom)</t>
        </is>
      </c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2026-09-02</t>
        </is>
      </c>
      <c r="B121" s="2" t="inlineStr">
        <is>
          <t>GRASIM</t>
        </is>
      </c>
      <c r="C121" s="2" t="inlineStr">
        <is>
          <t>Grasim Industries Limited</t>
        </is>
      </c>
      <c r="D121" s="2" t="inlineStr">
        <is>
          <t>100/100</t>
        </is>
      </c>
      <c r="E121" s="7" t="n">
        <v>3294.9</v>
      </c>
      <c r="F121" s="7" t="n">
        <v>3252.3</v>
      </c>
      <c r="G121" s="7" t="n">
        <v>3401.4</v>
      </c>
      <c r="H121" s="2" t="inlineStr">
        <is>
          <t>1:2.5</t>
        </is>
      </c>
      <c r="I121" s="2" t="n">
        <v>0</v>
      </c>
      <c r="J121" s="7" t="n">
        <v>0</v>
      </c>
      <c r="K121" s="2" t="inlineStr">
        <is>
          <t>PENDING</t>
        </is>
      </c>
      <c r="L121" s="2" t="inlineStr">
        <is>
          <t>Intraday Scanner (STATE 3: Capitulation Bottom)</t>
        </is>
      </c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2026-09-02</t>
        </is>
      </c>
      <c r="B122" s="2" t="inlineStr">
        <is>
          <t>BRITANNIA</t>
        </is>
      </c>
      <c r="C122" s="2" t="inlineStr">
        <is>
          <t>Britannia Industries Limited</t>
        </is>
      </c>
      <c r="D122" s="2" t="inlineStr">
        <is>
          <t>100/100</t>
        </is>
      </c>
      <c r="E122" s="7" t="n">
        <v>5154</v>
      </c>
      <c r="F122" s="7" t="n">
        <v>5059.8</v>
      </c>
      <c r="G122" s="7" t="n">
        <v>5389.5</v>
      </c>
      <c r="H122" s="2" t="inlineStr">
        <is>
          <t>1:2.5</t>
        </is>
      </c>
      <c r="I122" s="2" t="n">
        <v>0</v>
      </c>
      <c r="J122" s="7" t="n">
        <v>0</v>
      </c>
      <c r="K122" s="2" t="inlineStr">
        <is>
          <t>PENDING</t>
        </is>
      </c>
      <c r="L122" s="2" t="inlineStr">
        <is>
          <t>Intraday Scanner (STATE 3: Capitulation Bottom)</t>
        </is>
      </c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2026-09-02</t>
        </is>
      </c>
      <c r="B123" s="2" t="inlineStr">
        <is>
          <t>TITAN</t>
        </is>
      </c>
      <c r="C123" s="2" t="inlineStr">
        <is>
          <t>Titan Company Limited</t>
        </is>
      </c>
      <c r="D123" s="2" t="inlineStr">
        <is>
          <t>100/100</t>
        </is>
      </c>
      <c r="E123" s="7" t="n">
        <v>5074</v>
      </c>
      <c r="F123" s="7" t="n">
        <v>5011.7</v>
      </c>
      <c r="G123" s="7" t="n">
        <v>5229.8</v>
      </c>
      <c r="H123" s="2" t="inlineStr">
        <is>
          <t>1:2.5</t>
        </is>
      </c>
      <c r="I123" s="2" t="n">
        <v>0</v>
      </c>
      <c r="J123" s="7" t="n">
        <v>0</v>
      </c>
      <c r="K123" s="2" t="inlineStr">
        <is>
          <t>PENDING</t>
        </is>
      </c>
      <c r="L123" s="2" t="inlineStr">
        <is>
          <t>Intraday Scanner (STATE 3: Capitulation Bottom)</t>
        </is>
      </c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2026-09-02</t>
        </is>
      </c>
      <c r="B124" s="2" t="inlineStr">
        <is>
          <t>TATAELXSI</t>
        </is>
      </c>
      <c r="C124" s="2" t="inlineStr">
        <is>
          <t>Tata Elxsi Limited</t>
        </is>
      </c>
      <c r="D124" s="2" t="inlineStr">
        <is>
          <t>100/100</t>
        </is>
      </c>
      <c r="E124" s="7" t="n">
        <v>3609</v>
      </c>
      <c r="F124" s="7" t="n">
        <v>3557.2</v>
      </c>
      <c r="G124" s="7" t="n">
        <v>3738.5</v>
      </c>
      <c r="H124" s="2" t="inlineStr">
        <is>
          <t>1:2.5</t>
        </is>
      </c>
      <c r="I124" s="2" t="n">
        <v>0</v>
      </c>
      <c r="J124" s="7" t="n">
        <v>0</v>
      </c>
      <c r="K124" s="2" t="inlineStr">
        <is>
          <t>PENDING</t>
        </is>
      </c>
      <c r="L124" s="2" t="inlineStr">
        <is>
          <t>Intraday Scanner (STATE 3: Capitulation Bottom)</t>
        </is>
      </c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2026-09-03</t>
        </is>
      </c>
      <c r="B125" s="2" t="inlineStr">
        <is>
          <t>OIL</t>
        </is>
      </c>
      <c r="C125" s="2" t="inlineStr">
        <is>
          <t>Oil India Limited</t>
        </is>
      </c>
      <c r="D125" s="2" t="inlineStr">
        <is>
          <t>100/100</t>
        </is>
      </c>
      <c r="E125" s="7" t="n">
        <v>498.1499938964844</v>
      </c>
      <c r="F125" s="7" t="n">
        <v>473.0499877929688</v>
      </c>
      <c r="G125" s="7" t="n">
        <v>560.9000091552734</v>
      </c>
      <c r="H125" s="2" t="inlineStr">
        <is>
          <t>1:2.5</t>
        </is>
      </c>
      <c r="I125" s="2" t="n">
        <v>0</v>
      </c>
      <c r="J125" s="7" t="n">
        <v>0</v>
      </c>
      <c r="K125" s="2" t="inlineStr">
        <is>
          <t>PENDING</t>
        </is>
      </c>
      <c r="L125" s="2" t="inlineStr">
        <is>
          <t>Swing Scanner (STATE 3: Capitulation Bottom)</t>
        </is>
      </c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2026-09-03</t>
        </is>
      </c>
      <c r="B126" s="2" t="inlineStr">
        <is>
          <t>CAPLIPOINT</t>
        </is>
      </c>
      <c r="C126" s="2" t="inlineStr">
        <is>
          <t>Caplin Point Laboratories Limited</t>
        </is>
      </c>
      <c r="D126" s="2" t="inlineStr">
        <is>
          <t>100/100</t>
        </is>
      </c>
      <c r="E126" s="7" t="n">
        <v>2720.5</v>
      </c>
      <c r="F126" s="7" t="n">
        <v>2553.928571428572</v>
      </c>
      <c r="G126" s="7" t="n">
        <v>3136.928571428572</v>
      </c>
      <c r="H126" s="2" t="inlineStr">
        <is>
          <t>1:2.5</t>
        </is>
      </c>
      <c r="I126" s="2" t="n">
        <v>0</v>
      </c>
      <c r="J126" s="7" t="n">
        <v>0</v>
      </c>
      <c r="K126" s="2" t="inlineStr">
        <is>
          <t>PENDING</t>
        </is>
      </c>
      <c r="L126" s="2" t="inlineStr">
        <is>
          <t>Swing Scanner (STATE 3: Capitulation Bottom)</t>
        </is>
      </c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2026-09-03</t>
        </is>
      </c>
      <c r="B127" s="2" t="inlineStr">
        <is>
          <t>CLEAN</t>
        </is>
      </c>
      <c r="C127" s="2" t="inlineStr">
        <is>
          <t>Clean Science and Technology Limited</t>
        </is>
      </c>
      <c r="D127" s="2" t="inlineStr">
        <is>
          <t>98/100</t>
        </is>
      </c>
      <c r="E127" s="7" t="n">
        <v>863.1500244140625</v>
      </c>
      <c r="F127" s="7" t="n">
        <v>817.1928623744419</v>
      </c>
      <c r="G127" s="7" t="n">
        <v>978.0429295131138</v>
      </c>
      <c r="H127" s="2" t="inlineStr">
        <is>
          <t>1:2.5</t>
        </is>
      </c>
      <c r="I127" s="2" t="n">
        <v>0</v>
      </c>
      <c r="J127" s="7" t="n">
        <v>0</v>
      </c>
      <c r="K127" s="2" t="inlineStr">
        <is>
          <t>PENDING</t>
        </is>
      </c>
      <c r="L127" s="2" t="inlineStr">
        <is>
          <t>Swing Scanner (STATE 3: Capitulation Bottom)</t>
        </is>
      </c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2026-09-03</t>
        </is>
      </c>
      <c r="B128" s="2" t="inlineStr">
        <is>
          <t>ANTHEM</t>
        </is>
      </c>
      <c r="C128" s="2" t="inlineStr">
        <is>
          <t>ANTHEM</t>
        </is>
      </c>
      <c r="D128" s="2" t="inlineStr">
        <is>
          <t>98/100</t>
        </is>
      </c>
      <c r="E128" s="7" t="n">
        <v>934.5</v>
      </c>
      <c r="F128" s="7" t="n">
        <v>878.8071550641741</v>
      </c>
      <c r="G128" s="7" t="n">
        <v>1073.732112339565</v>
      </c>
      <c r="H128" s="2" t="inlineStr">
        <is>
          <t>1:2.5</t>
        </is>
      </c>
      <c r="I128" s="2" t="n">
        <v>0</v>
      </c>
      <c r="J128" s="7" t="n">
        <v>0</v>
      </c>
      <c r="K128" s="2" t="inlineStr">
        <is>
          <t>PENDING</t>
        </is>
      </c>
      <c r="L128" s="2" t="inlineStr">
        <is>
          <t>Swing Scanner (STATE 3: Capitulation Bottom)</t>
        </is>
      </c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2026-09-03</t>
        </is>
      </c>
      <c r="B129" s="2" t="inlineStr">
        <is>
          <t>BEML</t>
        </is>
      </c>
      <c r="C129" s="2" t="inlineStr">
        <is>
          <t>BEML Limited</t>
        </is>
      </c>
      <c r="D129" s="2" t="inlineStr">
        <is>
          <t>98/100</t>
        </is>
      </c>
      <c r="E129" s="7" t="n">
        <v>2032.400024414062</v>
      </c>
      <c r="F129" s="7" t="n">
        <v>1916.242885044643</v>
      </c>
      <c r="G129" s="7" t="n">
        <v>2322.792872837611</v>
      </c>
      <c r="H129" s="2" t="inlineStr">
        <is>
          <t>1:2.5</t>
        </is>
      </c>
      <c r="I129" s="2" t="n">
        <v>0</v>
      </c>
      <c r="J129" s="7" t="n">
        <v>0</v>
      </c>
      <c r="K129" s="2" t="inlineStr">
        <is>
          <t>PENDING</t>
        </is>
      </c>
      <c r="L129" s="2" t="inlineStr">
        <is>
          <t>Swing Scanner (STATE 3: Capitulation Bottom)</t>
        </is>
      </c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2026-09-03</t>
        </is>
      </c>
      <c r="B130" s="2" t="inlineStr">
        <is>
          <t>ASIANPAINT</t>
        </is>
      </c>
      <c r="C130" s="2" t="inlineStr">
        <is>
          <t>Asian Paints Limited</t>
        </is>
      </c>
      <c r="D130" s="2" t="inlineStr">
        <is>
          <t>100/100</t>
        </is>
      </c>
      <c r="E130" s="7" t="n">
        <v>2541.6</v>
      </c>
      <c r="F130" s="7" t="n">
        <v>2498.75</v>
      </c>
      <c r="G130" s="7" t="n">
        <v>2648.7</v>
      </c>
      <c r="H130" s="2" t="inlineStr">
        <is>
          <t>1:2.5</t>
        </is>
      </c>
      <c r="I130" s="2" t="n">
        <v>0</v>
      </c>
      <c r="J130" s="7" t="n">
        <v>0</v>
      </c>
      <c r="K130" s="2" t="inlineStr">
        <is>
          <t>PENDING</t>
        </is>
      </c>
      <c r="L130" s="2" t="inlineStr">
        <is>
          <t>Intraday Scanner (STATE 3: Capitulation Bottom)</t>
        </is>
      </c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2026-09-03</t>
        </is>
      </c>
      <c r="B131" s="2" t="inlineStr">
        <is>
          <t>TATACHEM</t>
        </is>
      </c>
      <c r="C131" s="2" t="inlineStr">
        <is>
          <t>Tata Chemicals Limited</t>
        </is>
      </c>
      <c r="D131" s="2" t="inlineStr">
        <is>
          <t>100/100</t>
        </is>
      </c>
      <c r="E131" s="7" t="n">
        <v>641.35</v>
      </c>
      <c r="F131" s="7" t="n">
        <v>626.75</v>
      </c>
      <c r="G131" s="7" t="n">
        <v>677.9</v>
      </c>
      <c r="H131" s="2" t="inlineStr">
        <is>
          <t>1:2.5</t>
        </is>
      </c>
      <c r="I131" s="2" t="n">
        <v>0</v>
      </c>
      <c r="J131" s="7" t="n">
        <v>0</v>
      </c>
      <c r="K131" s="2" t="inlineStr">
        <is>
          <t>PENDING</t>
        </is>
      </c>
      <c r="L131" s="2" t="inlineStr">
        <is>
          <t>Intraday Scanner (STATE 3: Capitulation Bottom)</t>
        </is>
      </c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2026-09-03</t>
        </is>
      </c>
      <c r="B132" s="2" t="inlineStr">
        <is>
          <t>MASTEK</t>
        </is>
      </c>
      <c r="C132" s="2" t="inlineStr">
        <is>
          <t>Mastek Limited</t>
        </is>
      </c>
      <c r="D132" s="2" t="inlineStr">
        <is>
          <t>100/100</t>
        </is>
      </c>
      <c r="E132" s="7" t="n">
        <v>1792.6</v>
      </c>
      <c r="F132" s="7" t="n">
        <v>1697.45</v>
      </c>
      <c r="G132" s="7" t="n">
        <v>2030.4</v>
      </c>
      <c r="H132" s="2" t="inlineStr">
        <is>
          <t>1:2.5</t>
        </is>
      </c>
      <c r="I132" s="2" t="n">
        <v>0</v>
      </c>
      <c r="J132" s="7" t="n">
        <v>0</v>
      </c>
      <c r="K132" s="2" t="inlineStr">
        <is>
          <t>PENDING</t>
        </is>
      </c>
      <c r="L132" s="2" t="inlineStr">
        <is>
          <t>Intraday Scanner (STATE 3: Capitulation Bottom)</t>
        </is>
      </c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2026-09-03</t>
        </is>
      </c>
      <c r="B133" s="2" t="inlineStr">
        <is>
          <t>BRIGADE</t>
        </is>
      </c>
      <c r="C133" s="2" t="inlineStr">
        <is>
          <t>Brigade Enterprises Limited</t>
        </is>
      </c>
      <c r="D133" s="2" t="inlineStr">
        <is>
          <t>100/100</t>
        </is>
      </c>
      <c r="E133" s="7" t="n">
        <v>712.3</v>
      </c>
      <c r="F133" s="7" t="n">
        <v>680</v>
      </c>
      <c r="G133" s="7" t="n">
        <v>793.05</v>
      </c>
      <c r="H133" s="2" t="inlineStr">
        <is>
          <t>1:2.5</t>
        </is>
      </c>
      <c r="I133" s="2" t="n">
        <v>0</v>
      </c>
      <c r="J133" s="7" t="n">
        <v>0</v>
      </c>
      <c r="K133" s="2" t="inlineStr">
        <is>
          <t>PENDING</t>
        </is>
      </c>
      <c r="L133" s="2" t="inlineStr">
        <is>
          <t>Intraday Scanner (STATE 3: Capitulation Bottom)</t>
        </is>
      </c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2026-09-03</t>
        </is>
      </c>
      <c r="B134" s="2" t="inlineStr">
        <is>
          <t>UNOMINDA</t>
        </is>
      </c>
      <c r="C134" s="2" t="inlineStr">
        <is>
          <t>Uno Minda Limited</t>
        </is>
      </c>
      <c r="D134" s="2" t="inlineStr">
        <is>
          <t>94/100</t>
        </is>
      </c>
      <c r="E134" s="7" t="n">
        <v>1269</v>
      </c>
      <c r="F134" s="7" t="n">
        <v>1245.6</v>
      </c>
      <c r="G134" s="7" t="n">
        <v>1327.5</v>
      </c>
      <c r="H134" s="2" t="inlineStr">
        <is>
          <t>1:2.5</t>
        </is>
      </c>
      <c r="I134" s="2" t="n">
        <v>0</v>
      </c>
      <c r="J134" s="7" t="n">
        <v>0</v>
      </c>
      <c r="K134" s="2" t="inlineStr">
        <is>
          <t>PENDING</t>
        </is>
      </c>
      <c r="L134" s="2" t="inlineStr">
        <is>
          <t>Intraday Scanner (STATE 3: Capitulation Bottom)</t>
        </is>
      </c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2026-09-04</t>
        </is>
      </c>
      <c r="B135" s="2" t="inlineStr">
        <is>
          <t>ATLANTAELE</t>
        </is>
      </c>
      <c r="C135" s="2" t="inlineStr">
        <is>
          <t>ATLANTAELE</t>
        </is>
      </c>
      <c r="D135" s="2" t="inlineStr">
        <is>
          <t>98/100</t>
        </is>
      </c>
      <c r="E135" s="7" t="n">
        <v>1886.400024414062</v>
      </c>
      <c r="F135" s="7" t="n">
        <v>1701.257149832589</v>
      </c>
      <c r="G135" s="7" t="n">
        <v>2349.257210867745</v>
      </c>
      <c r="H135" s="2" t="inlineStr">
        <is>
          <t>1:2.5</t>
        </is>
      </c>
      <c r="I135" s="2" t="n">
        <v>0</v>
      </c>
      <c r="J135" s="7" t="n">
        <v>0</v>
      </c>
      <c r="K135" s="2" t="inlineStr">
        <is>
          <t>PENDING</t>
        </is>
      </c>
      <c r="L135" s="2" t="inlineStr">
        <is>
          <t>Swing Scanner (STATE 3: Capitulation Bottom)</t>
        </is>
      </c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2026-09-04</t>
        </is>
      </c>
      <c r="B136" s="2" t="inlineStr">
        <is>
          <t>CENTENKA</t>
        </is>
      </c>
      <c r="C136" s="2" t="inlineStr">
        <is>
          <t>Century Enka Limited</t>
        </is>
      </c>
      <c r="D136" s="2" t="inlineStr">
        <is>
          <t>98/100</t>
        </is>
      </c>
      <c r="E136" s="7" t="n">
        <v>616.6500244140625</v>
      </c>
      <c r="F136" s="7" t="n">
        <v>577.2143031529018</v>
      </c>
      <c r="G136" s="7" t="n">
        <v>715.2393275669643</v>
      </c>
      <c r="H136" s="2" t="inlineStr">
        <is>
          <t>1:2.5</t>
        </is>
      </c>
      <c r="I136" s="2" t="n">
        <v>0</v>
      </c>
      <c r="J136" s="7" t="n">
        <v>0</v>
      </c>
      <c r="K136" s="2" t="inlineStr">
        <is>
          <t>PENDING</t>
        </is>
      </c>
      <c r="L136" s="2" t="inlineStr">
        <is>
          <t>Swing Scanner (STATE 3: Capitulation Bottom)</t>
        </is>
      </c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2026-09-04</t>
        </is>
      </c>
      <c r="B137" s="2" t="inlineStr">
        <is>
          <t>SOLARINDS</t>
        </is>
      </c>
      <c r="C137" s="2" t="inlineStr">
        <is>
          <t>Solar Industries India Limited</t>
        </is>
      </c>
      <c r="D137" s="2" t="inlineStr">
        <is>
          <t>98/100</t>
        </is>
      </c>
      <c r="E137" s="7" t="n">
        <v>21500</v>
      </c>
      <c r="F137" s="7" t="n">
        <v>20424.28571428571</v>
      </c>
      <c r="G137" s="7" t="n">
        <v>24189.28571428571</v>
      </c>
      <c r="H137" s="2" t="inlineStr">
        <is>
          <t>1:2.5</t>
        </is>
      </c>
      <c r="I137" s="2" t="n">
        <v>0</v>
      </c>
      <c r="J137" s="7" t="n">
        <v>0</v>
      </c>
      <c r="K137" s="2" t="inlineStr">
        <is>
          <t>PENDING</t>
        </is>
      </c>
      <c r="L137" s="2" t="inlineStr">
        <is>
          <t>Swing Scanner (STATE 3: Capitulation Bottom)</t>
        </is>
      </c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2026-09-04</t>
        </is>
      </c>
      <c r="B138" s="2" t="inlineStr">
        <is>
          <t>BESTAGRO</t>
        </is>
      </c>
      <c r="C138" s="2" t="inlineStr">
        <is>
          <t>Best Agrolife Limited</t>
        </is>
      </c>
      <c r="D138" s="2" t="inlineStr">
        <is>
          <t>98/100</t>
        </is>
      </c>
      <c r="E138" s="7" t="n">
        <v>20.34000015258789</v>
      </c>
      <c r="F138" s="7" t="n">
        <v>18.74428558349609</v>
      </c>
      <c r="G138" s="7" t="n">
        <v>24.32928657531738</v>
      </c>
      <c r="H138" s="2" t="inlineStr">
        <is>
          <t>1:2.5</t>
        </is>
      </c>
      <c r="I138" s="2" t="n">
        <v>2</v>
      </c>
      <c r="J138" s="7" t="n">
        <v>40.68000030517578</v>
      </c>
      <c r="K138" s="2" t="inlineStr">
        <is>
          <t>PENDING</t>
        </is>
      </c>
      <c r="L138" s="2" t="inlineStr">
        <is>
          <t>Swing Scanner (STATE 3: Capitulation Bottom)</t>
        </is>
      </c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inlineStr">
        <is>
          <t>2026-09-04</t>
        </is>
      </c>
      <c r="B139" s="2" t="inlineStr">
        <is>
          <t>AHCL</t>
        </is>
      </c>
      <c r="C139" s="2" t="inlineStr">
        <is>
          <t>AHCL</t>
        </is>
      </c>
      <c r="D139" s="2" t="inlineStr">
        <is>
          <t>98/100</t>
        </is>
      </c>
      <c r="E139" s="7" t="n">
        <v>15.60000038146973</v>
      </c>
      <c r="F139" s="7" t="n">
        <v>14.36285740988595</v>
      </c>
      <c r="G139" s="7" t="n">
        <v>18.69285781042916</v>
      </c>
      <c r="H139" s="2" t="inlineStr">
        <is>
          <t>1:2.5</t>
        </is>
      </c>
      <c r="I139" s="2" t="n">
        <v>3</v>
      </c>
      <c r="J139" s="7" t="n">
        <v>46.80000114440918</v>
      </c>
      <c r="K139" s="2" t="inlineStr">
        <is>
          <t>PENDING</t>
        </is>
      </c>
      <c r="L139" s="2" t="inlineStr">
        <is>
          <t>Swing Scanner (STATE 3: Capitulation Bottom)</t>
        </is>
      </c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inlineStr">
        <is>
          <t>2026-09-04</t>
        </is>
      </c>
      <c r="B140" s="2" t="inlineStr">
        <is>
          <t>SCHNEIDER</t>
        </is>
      </c>
      <c r="C140" s="2" t="inlineStr">
        <is>
          <t>Schneider Electric Infrastructure Limited</t>
        </is>
      </c>
      <c r="D140" s="2" t="inlineStr">
        <is>
          <t>100/100</t>
        </is>
      </c>
      <c r="E140" s="7" t="n">
        <v>1232.4</v>
      </c>
      <c r="F140" s="7" t="n">
        <v>1203.7</v>
      </c>
      <c r="G140" s="7" t="n">
        <v>1304.1</v>
      </c>
      <c r="H140" s="2" t="inlineStr">
        <is>
          <t>1:2.5</t>
        </is>
      </c>
      <c r="I140" s="2" t="n">
        <v>0</v>
      </c>
      <c r="J140" s="7" t="n">
        <v>0</v>
      </c>
      <c r="K140" s="2" t="inlineStr">
        <is>
          <t>PENDING</t>
        </is>
      </c>
      <c r="L140" s="2" t="inlineStr">
        <is>
          <t>Intraday Scanner (STATE 3: Capitulation Bottom)</t>
        </is>
      </c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inlineStr">
        <is>
          <t>2026-09-04</t>
        </is>
      </c>
      <c r="B141" s="2" t="inlineStr">
        <is>
          <t>HEG</t>
        </is>
      </c>
      <c r="C141" s="2" t="inlineStr">
        <is>
          <t>HEG Limited</t>
        </is>
      </c>
      <c r="D141" s="2" t="inlineStr">
        <is>
          <t>100/100</t>
        </is>
      </c>
      <c r="E141" s="7" t="n">
        <v>725.4</v>
      </c>
      <c r="F141" s="7" t="n">
        <v>708.05</v>
      </c>
      <c r="G141" s="7" t="n">
        <v>768.8</v>
      </c>
      <c r="H141" s="2" t="inlineStr">
        <is>
          <t>1:2.5</t>
        </is>
      </c>
      <c r="I141" s="2" t="n">
        <v>0</v>
      </c>
      <c r="J141" s="7" t="n">
        <v>0</v>
      </c>
      <c r="K141" s="2" t="inlineStr">
        <is>
          <t>PENDING</t>
        </is>
      </c>
      <c r="L141" s="2" t="inlineStr">
        <is>
          <t>Intraday Scanner (STATE 3: Capitulation Bottom)</t>
        </is>
      </c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inlineStr">
        <is>
          <t>2026-09-04</t>
        </is>
      </c>
      <c r="B142" s="2" t="inlineStr">
        <is>
          <t>SJVN</t>
        </is>
      </c>
      <c r="C142" s="2" t="inlineStr">
        <is>
          <t>SJVN Limited</t>
        </is>
      </c>
      <c r="D142" s="2" t="inlineStr">
        <is>
          <t>100/100</t>
        </is>
      </c>
      <c r="E142" s="7" t="n">
        <v>65.5</v>
      </c>
      <c r="F142" s="7" t="n">
        <v>64.8</v>
      </c>
      <c r="G142" s="7" t="n">
        <v>67.2</v>
      </c>
      <c r="H142" s="2" t="inlineStr">
        <is>
          <t>1:2.4</t>
        </is>
      </c>
      <c r="I142" s="2" t="n">
        <v>0</v>
      </c>
      <c r="J142" s="7" t="n">
        <v>0</v>
      </c>
      <c r="K142" s="2" t="inlineStr">
        <is>
          <t>PENDING</t>
        </is>
      </c>
      <c r="L142" s="2" t="inlineStr">
        <is>
          <t>Intraday Scanner (STATE 3: Capitulation Bottom)</t>
        </is>
      </c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inlineStr">
        <is>
          <t>2026-09-04</t>
        </is>
      </c>
      <c r="B143" s="2" t="inlineStr">
        <is>
          <t>KEC</t>
        </is>
      </c>
      <c r="C143" s="2" t="inlineStr">
        <is>
          <t>KEC International Limited</t>
        </is>
      </c>
      <c r="D143" s="2" t="inlineStr">
        <is>
          <t>98/100</t>
        </is>
      </c>
      <c r="E143" s="7" t="n">
        <v>410.1</v>
      </c>
      <c r="F143" s="7" t="n">
        <v>402.65</v>
      </c>
      <c r="G143" s="7" t="n">
        <v>428.7</v>
      </c>
      <c r="H143" s="2" t="inlineStr">
        <is>
          <t>1:2.5</t>
        </is>
      </c>
      <c r="I143" s="2" t="n">
        <v>0</v>
      </c>
      <c r="J143" s="7" t="n">
        <v>0</v>
      </c>
      <c r="K143" s="2" t="inlineStr">
        <is>
          <t>PENDING</t>
        </is>
      </c>
      <c r="L143" s="2" t="inlineStr">
        <is>
          <t>Intraday Scanner (STATE 3: Capitulation Bottom)</t>
        </is>
      </c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inlineStr">
        <is>
          <t>2026-09-04</t>
        </is>
      </c>
      <c r="B144" s="2" t="inlineStr">
        <is>
          <t>RATNAMANI</t>
        </is>
      </c>
      <c r="C144" s="2" t="inlineStr">
        <is>
          <t>Ratnamani Metals &amp; Tubes Limited</t>
        </is>
      </c>
      <c r="D144" s="2" t="inlineStr">
        <is>
          <t>92/100</t>
        </is>
      </c>
      <c r="E144" s="7" t="n">
        <v>2727</v>
      </c>
      <c r="F144" s="7" t="n">
        <v>2664.1</v>
      </c>
      <c r="G144" s="7" t="n">
        <v>2884.2</v>
      </c>
      <c r="H144" s="2" t="inlineStr">
        <is>
          <t>1:2.5</t>
        </is>
      </c>
      <c r="I144" s="2" t="n">
        <v>0</v>
      </c>
      <c r="J144" s="7" t="n">
        <v>0</v>
      </c>
      <c r="K144" s="2" t="inlineStr">
        <is>
          <t>PENDING</t>
        </is>
      </c>
      <c r="L144" s="2" t="inlineStr">
        <is>
          <t>Intraday Scanner (STATE 3: Capitulation Bottom)</t>
        </is>
      </c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s="0" t="inlineStr">
        <is>
          <t>Date</t>
        </is>
      </c>
      <c r="B1" s="0" t="inlineStr">
        <is>
          <t>Cumulative PnL</t>
        </is>
      </c>
    </row>
    <row r="2">
      <c r="A2" s="0" t="inlineStr">
        <is>
          <t>2026-07-21</t>
        </is>
      </c>
      <c r="B2" s="0" t="n">
        <v>-4.400000000000091</v>
      </c>
    </row>
    <row r="3">
      <c r="A3" s="0" t="inlineStr">
        <is>
          <t>2026-08-04</t>
        </is>
      </c>
      <c r="B3" s="0" t="n">
        <v>-22.30000000000018</v>
      </c>
    </row>
    <row r="4">
      <c r="A4" s="0" t="inlineStr">
        <is>
          <t>2026-08-05</t>
        </is>
      </c>
      <c r="B4" s="0" t="n">
        <v>104.7999999999997</v>
      </c>
    </row>
    <row r="5">
      <c r="A5" s="0" t="inlineStr">
        <is>
          <t>2026-08-06</t>
        </is>
      </c>
      <c r="B5" s="0" t="n">
        <v>103.8499999999997</v>
      </c>
    </row>
    <row r="6">
      <c r="A6" s="0" t="inlineStr">
        <is>
          <t>2026-08-10</t>
        </is>
      </c>
      <c r="B6" s="0" t="n">
        <v>119.6399999999998</v>
      </c>
    </row>
    <row r="7">
      <c r="A7" s="0" t="inlineStr">
        <is>
          <t>2026-08-12</t>
        </is>
      </c>
      <c r="B7" s="0" t="n">
        <v>120.9499999999996</v>
      </c>
    </row>
    <row r="8">
      <c r="A8" s="0" t="inlineStr">
        <is>
          <t>2026-08-13</t>
        </is>
      </c>
      <c r="B8" s="0" t="n">
        <v>180.6499999999997</v>
      </c>
    </row>
    <row r="9">
      <c r="A9" s="0" t="inlineStr">
        <is>
          <t>2026-08-14</t>
        </is>
      </c>
      <c r="B9" s="0" t="n">
        <v>145.6499999999997</v>
      </c>
    </row>
    <row r="10">
      <c r="A10" s="0" t="inlineStr">
        <is>
          <t>2026-08-18</t>
        </is>
      </c>
      <c r="B10" s="0" t="n">
        <v>92.88999999999982</v>
      </c>
    </row>
    <row r="11">
      <c r="A11" s="0" t="inlineStr">
        <is>
          <t>2026-08-20</t>
        </is>
      </c>
      <c r="B11" s="0" t="n">
        <v>96.93999999999977</v>
      </c>
    </row>
    <row r="12">
      <c r="A12" s="0" t="inlineStr">
        <is>
          <t>2026-08-21</t>
        </is>
      </c>
      <c r="B12" s="0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2026-09-04T19:07:56Z</dcterms:modified>
</cp:coreProperties>
</file>