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4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7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Total Investment Allocation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Dashboard!$AA$4:$AA$12</f>
            </strRef>
          </cat>
          <val>
            <numRef>
              <f>Dashboard!$AB$4:$AB$12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HelperData!$A$2:$A$11</f>
            </strRef>
          </cat>
          <val>
            <numRef>
              <f>HelperData!$B$2:$B$11</f>
              <numCache/>
            </numRef>
          </val>
          <smooth val="0"/>
        </ser>
        <axId val="1730825427"/>
        <axId val="1124433074"/>
      </lineChart>
      <catAx>
        <axId val="173082542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4433074"/>
        <lblOffset val="100"/>
      </catAx>
      <valAx>
        <axId val="112443307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0825427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2</col>
      <colOff>552450</colOff>
      <row>16</row>
      <rowOff>19050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7</col>
      <colOff>1200150</colOff>
      <row>16</row>
      <rowOff>19050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5" customWidth="1" style="57" min="4" max="13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2026-08-21 16:55:34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25" t="n"/>
      <c r="D3" s="9" t="inlineStr">
        <is>
          <t>Symbol</t>
        </is>
      </c>
      <c r="E3" s="9" t="inlineStr">
        <is>
          <t>Qty</t>
        </is>
      </c>
      <c r="F3" s="9" t="inlineStr">
        <is>
          <t>Buy Price</t>
        </is>
      </c>
      <c r="G3" s="9" t="inlineStr">
        <is>
          <t>Target Price</t>
        </is>
      </c>
      <c r="H3" s="9" t="inlineStr">
        <is>
          <t>Current Price</t>
        </is>
      </c>
      <c r="I3" s="9" t="inlineStr">
        <is>
          <t>Invested</t>
        </is>
      </c>
      <c r="J3" s="9" t="inlineStr">
        <is>
          <t>Live Value</t>
        </is>
      </c>
      <c r="K3" s="9" t="inlineStr">
        <is>
          <t>Unrealized PnL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25" t="n"/>
      <c r="D4" s="29" t="inlineStr">
        <is>
          <t>CLEAN</t>
        </is>
      </c>
      <c r="E4" s="30" t="n">
        <v>4</v>
      </c>
      <c r="F4" s="31" t="n">
        <v>806.25</v>
      </c>
      <c r="G4" s="31" t="n">
        <v>896.2857142857143</v>
      </c>
      <c r="H4" s="31" t="n">
        <v>825.5</v>
      </c>
      <c r="I4" s="31" t="n">
        <v>3225</v>
      </c>
      <c r="J4" s="32" t="n">
        <v>3302</v>
      </c>
      <c r="K4" s="33" t="n">
        <v>77</v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65" t="inlineStr">
        <is>
          <t>Total Net Capital Deposited</t>
        </is>
      </c>
      <c r="B5" s="66">
        <f>SUMIF(Capital!B:B, "DEPOSIT", Capital!C:C)</f>
        <v/>
      </c>
      <c r="C5" s="25" t="n"/>
      <c r="D5" s="29" t="inlineStr">
        <is>
          <t>OIL</t>
        </is>
      </c>
      <c r="E5" s="30" t="n">
        <v>4</v>
      </c>
      <c r="F5" s="31" t="n">
        <v>473</v>
      </c>
      <c r="G5" s="31" t="n">
        <v>525.25</v>
      </c>
      <c r="H5" s="31" t="n">
        <v>475</v>
      </c>
      <c r="I5" s="31" t="n">
        <v>1892</v>
      </c>
      <c r="J5" s="32" t="n">
        <v>1900</v>
      </c>
      <c r="K5" s="33" t="n">
        <v>8</v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65" t="inlineStr">
        <is>
          <t>Lifetime Realized PnL</t>
        </is>
      </c>
      <c r="B6" s="66">
        <f>SUM(Ledger!M:M)</f>
        <v/>
      </c>
      <c r="C6" s="25" t="n"/>
      <c r="D6" s="29" t="inlineStr">
        <is>
          <t>JAIBALAJI</t>
        </is>
      </c>
      <c r="E6" s="30" t="n">
        <v>8</v>
      </c>
      <c r="F6" s="31" t="n">
        <v>68.87</v>
      </c>
      <c r="G6" s="31" t="n">
        <v>81.37</v>
      </c>
      <c r="H6" s="31" t="n">
        <v>63.56999969482422</v>
      </c>
      <c r="I6" s="31" t="n">
        <v>550.96</v>
      </c>
      <c r="J6" s="37" t="n">
        <v>508.5599975585938</v>
      </c>
      <c r="K6" s="38" t="n">
        <v>-42.40000244140629</v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65" t="inlineStr">
        <is>
          <t>Lifetime Realized P/L Percentage</t>
        </is>
      </c>
      <c r="B7" s="67">
        <f>B6/B5</f>
        <v/>
      </c>
      <c r="C7" s="25" t="n"/>
      <c r="D7" s="29" t="inlineStr">
        <is>
          <t>IOLCP</t>
        </is>
      </c>
      <c r="E7" s="30" t="n">
        <v>10</v>
      </c>
      <c r="F7" s="31" t="n">
        <v>166.02</v>
      </c>
      <c r="G7" s="31" t="n">
        <v>197.93</v>
      </c>
      <c r="H7" s="31" t="n">
        <v>169.5200042724609</v>
      </c>
      <c r="I7" s="31" t="n">
        <v>1660.2</v>
      </c>
      <c r="J7" s="32" t="n">
        <v>1695.200042724609</v>
      </c>
      <c r="K7" s="33" t="n">
        <v>35.00004272460933</v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65" t="inlineStr">
        <is>
          <t>Current Total Portfolio Value</t>
        </is>
      </c>
      <c r="B8" s="66">
        <f>B13+B12</f>
        <v/>
      </c>
      <c r="C8" s="25" t="n"/>
      <c r="D8" s="29" t="inlineStr">
        <is>
          <t>HAPPSTMNDS</t>
        </is>
      </c>
      <c r="E8" s="30" t="n">
        <v>3</v>
      </c>
      <c r="F8" s="31" t="n">
        <v>426.8</v>
      </c>
      <c r="G8" s="31" t="n">
        <v>500</v>
      </c>
      <c r="H8" s="31" t="n">
        <v>444.5499877929688</v>
      </c>
      <c r="I8" s="31" t="n">
        <v>1280.4</v>
      </c>
      <c r="J8" s="32" t="n">
        <v>1333.649963378906</v>
      </c>
      <c r="K8" s="33" t="n">
        <v>53.24996337890616</v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BHARATSE (6 Qty, ₹1,472)</t>
        </is>
      </c>
      <c r="AB8" s="6" t="n">
        <v>1471.5</v>
      </c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25" t="n"/>
      <c r="D9" s="29" t="inlineStr">
        <is>
          <t>ZEEMEDIA</t>
        </is>
      </c>
      <c r="E9" s="30" t="n">
        <v>150</v>
      </c>
      <c r="F9" s="31" t="n">
        <v>9.699999999999999</v>
      </c>
      <c r="G9" s="31" t="n">
        <v>15</v>
      </c>
      <c r="H9" s="31" t="n">
        <v>9.380000114440918</v>
      </c>
      <c r="I9" s="31" t="n">
        <v>1455</v>
      </c>
      <c r="J9" s="37" t="n">
        <v>1407.000017166138</v>
      </c>
      <c r="K9" s="38" t="n">
        <v>-47.9999828338623</v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HAPPSTMNDS (3 Qty, ₹1,280)</t>
        </is>
      </c>
      <c r="AB9" s="6" t="n">
        <v>1280.4</v>
      </c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25" t="n"/>
      <c r="D10" s="29" t="inlineStr">
        <is>
          <t>GAYAPROJ-BE</t>
        </is>
      </c>
      <c r="E10" s="30" t="n">
        <v>100</v>
      </c>
      <c r="F10" s="31" t="n">
        <v>21.8</v>
      </c>
      <c r="G10" s="31" t="n">
        <v>26.55</v>
      </c>
      <c r="H10" s="31" t="n">
        <v>21.8</v>
      </c>
      <c r="I10" s="31" t="n">
        <v>2180</v>
      </c>
      <c r="J10" s="32" t="n">
        <v>2180</v>
      </c>
      <c r="K10" s="33" t="n">
        <v>0</v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ZEEMEDIA (150 Qty, ₹1,455)</t>
        </is>
      </c>
      <c r="AB10" s="6" t="n">
        <v>1455</v>
      </c>
    </row>
    <row r="11">
      <c r="A11" s="65" t="inlineStr">
        <is>
          <t>Capital Deployed in Open Trades</t>
        </is>
      </c>
      <c r="B11" s="66">
        <f>SUMPRODUCT((Ledger!N2:N5000="OPEN")*(Ledger!E2:E5000)*(Ledger!D2:D5000))</f>
        <v/>
      </c>
      <c r="C11" s="25" t="n"/>
      <c r="D11" s="29" t="inlineStr">
        <is>
          <t>THELEELA</t>
        </is>
      </c>
      <c r="E11" s="30" t="n">
        <v>4</v>
      </c>
      <c r="F11" s="31" t="n">
        <v>539.3</v>
      </c>
      <c r="G11" s="31" t="n">
        <v>640.46</v>
      </c>
      <c r="H11" s="31" t="n">
        <v>561.7000122070312</v>
      </c>
      <c r="I11" s="31" t="n">
        <v>2157.2</v>
      </c>
      <c r="J11" s="32" t="n">
        <v>2246.800048828125</v>
      </c>
      <c r="K11" s="33" t="n">
        <v>89.60004882812518</v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GAYAPROJ-BE (100 Qty, ₹2,180)</t>
        </is>
      </c>
      <c r="AB11" s="6" t="n">
        <v>2180</v>
      </c>
    </row>
    <row r="12">
      <c r="A12" s="65" t="inlineStr">
        <is>
          <t>Current Value of Active Trades</t>
        </is>
      </c>
      <c r="B12" s="66" t="n">
        <v>19075.00999641418</v>
      </c>
      <c r="C12" s="25" t="n"/>
      <c r="D12" s="29" t="inlineStr">
        <is>
          <t>KFINTECH</t>
        </is>
      </c>
      <c r="E12" s="30" t="n">
        <v>2</v>
      </c>
      <c r="F12" s="31" t="n">
        <v>963</v>
      </c>
      <c r="G12" s="31" t="n">
        <v>1086.64</v>
      </c>
      <c r="H12" s="31" t="n">
        <v>980</v>
      </c>
      <c r="I12" s="31" t="n">
        <v>1926</v>
      </c>
      <c r="J12" s="32" t="n">
        <v>1960</v>
      </c>
      <c r="K12" s="33" t="n">
        <v>34</v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THELEELA (4 Qty, ₹2,157)</t>
        </is>
      </c>
      <c r="AB12" s="6" t="n">
        <v>2157.2</v>
      </c>
    </row>
    <row r="13">
      <c r="A13" s="65" t="inlineStr">
        <is>
          <t>Capital Available for Trading</t>
        </is>
      </c>
      <c r="B13" s="66">
        <f>B5 - SUMIF(Capital!B:B, "WITHDRAWAL", Capital!C:C) + B6 - B11</f>
        <v/>
      </c>
      <c r="C13" s="25" t="n"/>
      <c r="D13" s="29" t="inlineStr">
        <is>
          <t>BOROLTD</t>
        </is>
      </c>
      <c r="E13" s="30" t="n">
        <v>10</v>
      </c>
      <c r="F13" s="31" t="n">
        <v>258</v>
      </c>
      <c r="G13" s="31" t="n">
        <v>295.15</v>
      </c>
      <c r="H13" s="31" t="n">
        <v>254.1799926757812</v>
      </c>
      <c r="I13" s="31" t="n">
        <v>2580</v>
      </c>
      <c r="J13" s="37" t="n">
        <v>2541.799926757812</v>
      </c>
      <c r="K13" s="38" t="n">
        <v>-38.2000732421875</v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65" t="inlineStr">
        <is>
          <t>Total Wins</t>
        </is>
      </c>
      <c r="B14" s="68">
        <f>COUNTIF(Ledger!N:N, "WIN")</f>
        <v/>
      </c>
      <c r="C14" s="25" t="n"/>
      <c r="D14" s="43" t="n"/>
      <c r="E14" s="30" t="n"/>
      <c r="F14" s="31" t="n"/>
      <c r="G14" s="31" t="n"/>
      <c r="H14" s="31" t="n"/>
      <c r="I14" s="31" t="n"/>
      <c r="J14" s="44" t="n"/>
      <c r="K14" s="44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65" t="inlineStr">
        <is>
          <t>Total Losses</t>
        </is>
      </c>
      <c r="B15" s="68">
        <f>COUNTIF(Ledger!N:N, "LOSS")</f>
        <v/>
      </c>
      <c r="C15" s="25" t="n"/>
      <c r="D15" s="43" t="n"/>
      <c r="E15" s="25" t="n"/>
      <c r="F15" s="25" t="n"/>
      <c r="G15" s="25" t="n"/>
      <c r="H15" s="31" t="n"/>
      <c r="I15" s="31" t="n"/>
      <c r="J15" s="44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69" t="inlineStr">
        <is>
          <t>Total Taxes Paid to Zerodha</t>
        </is>
      </c>
      <c r="B16" s="66">
        <f>SUMIF(Capital!D:D, "*Brokerage &amp; taxes*", Capital!C:C)</f>
        <v/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25" t="n"/>
      <c r="D17" s="25" t="n"/>
      <c r="E17" s="25" t="n"/>
      <c r="F17" s="25" t="n"/>
      <c r="G17" s="25" t="n"/>
      <c r="H17" s="25" t="n"/>
      <c r="I17" s="25" t="n"/>
      <c r="J17" s="25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65" t="inlineStr">
        <is>
          <t>Swing Realized PnL</t>
        </is>
      </c>
      <c r="B19" s="66">
        <f>SUMIFS(Ledger!M:M, Ledger!P:P, "SWING")</f>
        <v/>
      </c>
      <c r="C19" s="25" t="n"/>
      <c r="D19" s="25" t="n"/>
      <c r="E19" s="25" t="n"/>
      <c r="F19" s="25" t="n"/>
      <c r="G19" s="25" t="n"/>
      <c r="H19" s="25" t="n"/>
      <c r="I19" s="25" t="n"/>
      <c r="J19" s="25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25" t="n"/>
      <c r="D20" s="25" t="n"/>
      <c r="E20" s="25" t="n"/>
      <c r="F20" s="25" t="n"/>
      <c r="G20" s="25" t="n"/>
      <c r="H20" s="25" t="n"/>
      <c r="I20" s="25" t="n"/>
      <c r="J20" s="25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69" t="inlineStr">
        <is>
          <t>Swing Active Positions</t>
        </is>
      </c>
      <c r="B21" s="68">
        <f>COUNTIFS(Ledger!P:P, "SWING", Ledger!N:N, "OPEN")</f>
        <v/>
      </c>
      <c r="C21" s="25" t="n"/>
      <c r="D21" s="25" t="n"/>
      <c r="E21" s="25" t="n"/>
      <c r="F21" s="25" t="n"/>
      <c r="G21" s="25" t="n"/>
      <c r="H21" s="25" t="n"/>
      <c r="I21" s="25" t="n"/>
      <c r="J21" s="25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25" t="n"/>
      <c r="D22" s="25" t="n"/>
      <c r="E22" s="25" t="n"/>
      <c r="F22" s="25" t="n"/>
      <c r="G22" s="25" t="n"/>
      <c r="H22" s="25" t="n"/>
      <c r="I22" s="25" t="n"/>
      <c r="J22" s="25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25" t="n"/>
      <c r="D24" s="25" t="n"/>
      <c r="E24" s="25" t="n"/>
      <c r="F24" s="25" t="n"/>
      <c r="G24" s="25" t="n"/>
      <c r="H24" s="25" t="n"/>
      <c r="I24" s="25" t="n"/>
      <c r="J24" s="25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25" t="n"/>
      <c r="D25" s="25" t="n"/>
      <c r="E25" s="25" t="n"/>
      <c r="F25" s="25" t="n"/>
      <c r="G25" s="25" t="n"/>
      <c r="H25" s="25" t="n"/>
      <c r="I25" s="25" t="n"/>
      <c r="J25" s="25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69" t="inlineStr">
        <is>
          <t>Intraday Active Positions</t>
        </is>
      </c>
      <c r="B26" s="68">
        <f>COUNTIFS(Ledger!P:P, "INTRADAY", Ledger!N:N, "OPEN")</f>
        <v/>
      </c>
      <c r="C26" s="25" t="n"/>
      <c r="D26" s="25" t="n"/>
      <c r="E26" s="25" t="n"/>
      <c r="F26" s="25" t="n"/>
      <c r="G26" s="25" t="n"/>
      <c r="H26" s="25" t="n"/>
      <c r="I26" s="25" t="n"/>
      <c r="J26" s="25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25" t="n"/>
      <c r="D27" s="25" t="n"/>
      <c r="E27" s="25" t="n"/>
      <c r="F27" s="25" t="n"/>
      <c r="G27" s="25" t="n"/>
      <c r="H27" s="25" t="n"/>
      <c r="I27" s="25" t="n"/>
      <c r="J27" s="25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65" t="inlineStr">
        <is>
          <t>Average Days to Exit a Trade</t>
        </is>
      </c>
      <c r="B28" s="71" t="n">
        <v>5.194444444444445</v>
      </c>
      <c r="C28" s="25" t="n"/>
      <c r="D28" s="25" t="n"/>
      <c r="E28" s="25" t="n"/>
      <c r="F28" s="25" t="n"/>
      <c r="G28" s="25" t="n"/>
      <c r="H28" s="25" t="n"/>
      <c r="I28" s="25" t="n"/>
      <c r="J28" s="25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65" t="inlineStr">
        <is>
          <t>Average Trades per Day</t>
        </is>
      </c>
      <c r="B29" s="71" t="n">
        <v>2.4</v>
      </c>
      <c r="C29" s="25" t="n"/>
      <c r="D29" s="25" t="n"/>
      <c r="E29" s="25" t="n"/>
      <c r="F29" s="25" t="n"/>
      <c r="G29" s="25" t="n"/>
      <c r="H29" s="25" t="n"/>
      <c r="I29" s="25" t="n"/>
      <c r="J29" s="25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65" t="inlineStr">
        <is>
          <t>Average Unique Holdings per Day</t>
        </is>
      </c>
      <c r="B30" s="71" t="n">
        <v>7.208333333333333</v>
      </c>
      <c r="C30" s="25" t="n"/>
      <c r="D30" s="25" t="n"/>
      <c r="E30" s="25" t="n"/>
      <c r="F30" s="25" t="n"/>
      <c r="G30" s="25" t="n"/>
      <c r="H30" s="25" t="n"/>
      <c r="I30" s="25" t="n"/>
      <c r="J30" s="25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5" t="inlineStr">
        <is>
          <t>Average Profit % per trade</t>
        </is>
      </c>
      <c r="B31" s="67" t="n">
        <v>0.06422336099808393</v>
      </c>
      <c r="C31" s="25" t="n"/>
      <c r="D31" s="25" t="n"/>
      <c r="E31" s="25" t="n"/>
      <c r="F31" s="25" t="n"/>
      <c r="G31" s="25" t="n"/>
      <c r="H31" s="25" t="n"/>
      <c r="I31" s="25" t="n"/>
      <c r="J31" s="25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5" t="inlineStr">
        <is>
          <t>Average Loss % per trade</t>
        </is>
      </c>
      <c r="B32" s="67" t="n">
        <v>-0.03977667713730747</v>
      </c>
      <c r="C32" s="25" t="n"/>
      <c r="D32" s="25" t="n"/>
      <c r="E32" s="25" t="n"/>
      <c r="F32" s="25" t="n"/>
      <c r="G32" s="25" t="n"/>
      <c r="H32" s="25" t="n"/>
      <c r="I32" s="25" t="n"/>
      <c r="J32" s="25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25" t="n"/>
      <c r="D33" s="25" t="n"/>
      <c r="E33" s="25" t="n"/>
      <c r="F33" s="25" t="n"/>
      <c r="G33" s="25" t="n"/>
      <c r="H33" s="25" t="n"/>
      <c r="I33" s="25" t="n"/>
      <c r="J33" s="25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13" t="inlineStr">
        <is>
          <t>SUNPHARMA</t>
        </is>
      </c>
      <c r="B2" s="13" t="inlineStr">
        <is>
          <t>SUNPHARMA</t>
        </is>
      </c>
      <c r="C2" s="13" t="inlineStr">
        <is>
          <t>2026-07-21</t>
        </is>
      </c>
      <c r="D2" s="13" t="n">
        <v>1</v>
      </c>
      <c r="E2" s="14" t="n">
        <v>1951</v>
      </c>
      <c r="F2" s="14" t="n">
        <v>1963.199951171875</v>
      </c>
      <c r="G2" s="14" t="n">
        <v>-12.199951171875</v>
      </c>
      <c r="H2" s="14" t="n">
        <v>2091.543361767483</v>
      </c>
      <c r="I2" s="14" t="n">
        <v>1899.028245874071</v>
      </c>
      <c r="J2" s="13" t="inlineStr">
        <is>
          <t>1:2.7</t>
        </is>
      </c>
      <c r="K2" s="13" t="inlineStr">
        <is>
          <t>2026-07-21</t>
        </is>
      </c>
      <c r="L2" s="14" t="n">
        <v>1960</v>
      </c>
      <c r="M2" s="14">
        <f>IF(OR(N2="WIN", N2="LOSS"), (L2-E2)*D2, 0)</f>
        <v/>
      </c>
      <c r="N2" s="13" t="inlineStr">
        <is>
          <t>WIN</t>
        </is>
      </c>
      <c r="O2" s="13" t="inlineStr">
        <is>
          <t>Auto-synced from Zerodha account | Auto-synced sell from Zerodha account</t>
        </is>
      </c>
      <c r="P2" s="15" t="inlineStr">
        <is>
          <t>SWING</t>
        </is>
      </c>
      <c r="Q2" s="2" t="n"/>
      <c r="R2" s="2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13" t="inlineStr">
        <is>
          <t>JSWSTEEL</t>
        </is>
      </c>
      <c r="B3" s="13" t="inlineStr">
        <is>
          <t>JSWSTEEL</t>
        </is>
      </c>
      <c r="C3" s="13" t="inlineStr">
        <is>
          <t>2026-07-21</t>
        </is>
      </c>
      <c r="D3" s="13" t="n">
        <v>1</v>
      </c>
      <c r="E3" s="14" t="n">
        <v>1266.4</v>
      </c>
      <c r="F3" s="14" t="n">
        <v>1268.099975585938</v>
      </c>
      <c r="G3" s="14" t="n">
        <v>-1.699975585937864</v>
      </c>
      <c r="H3" s="14" t="n">
        <v>1369.684246737149</v>
      </c>
      <c r="I3" s="14" t="n">
        <v>1217.307840010332</v>
      </c>
      <c r="J3" s="13" t="inlineStr">
        <is>
          <t>1:2.1</t>
        </is>
      </c>
      <c r="K3" s="13" t="inlineStr">
        <is>
          <t>2026-07-21</t>
        </is>
      </c>
      <c r="L3" s="14" t="n">
        <v>1267.1</v>
      </c>
      <c r="M3" s="14">
        <f>IF(OR(N3="WIN", N3="LOSS"), (L3-E3)*D3, 0)</f>
        <v/>
      </c>
      <c r="N3" s="13" t="inlineStr">
        <is>
          <t>WIN</t>
        </is>
      </c>
      <c r="O3" s="13" t="inlineStr">
        <is>
          <t>Auto-synced from Zerodha account | Auto-synced sell from Zerodha account</t>
        </is>
      </c>
      <c r="P3" s="15" t="inlineStr">
        <is>
          <t>SWING</t>
        </is>
      </c>
      <c r="Q3" s="2" t="n"/>
      <c r="R3" s="2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TECHM</t>
        </is>
      </c>
      <c r="B4" s="17" t="inlineStr">
        <is>
          <t>TECHM</t>
        </is>
      </c>
      <c r="C4" s="17" t="inlineStr">
        <is>
          <t>2026-07-21</t>
        </is>
      </c>
      <c r="D4" s="17" t="n">
        <v>1</v>
      </c>
      <c r="E4" s="18" t="n">
        <v>1589.1</v>
      </c>
      <c r="F4" s="18" t="n">
        <v>1582.699951171875</v>
      </c>
      <c r="G4" s="18" t="n">
        <v>6.400048828124909</v>
      </c>
      <c r="H4" s="18" t="n">
        <v>1785.968673647753</v>
      </c>
      <c r="I4" s="18" t="n">
        <v>1481.065589933936</v>
      </c>
      <c r="J4" s="17" t="inlineStr">
        <is>
          <t>1:1.8</t>
        </is>
      </c>
      <c r="K4" s="17" t="inlineStr">
        <is>
          <t>2026-07-21</t>
        </is>
      </c>
      <c r="L4" s="18" t="n">
        <v>1575</v>
      </c>
      <c r="M4" s="18">
        <f>IF(OR(N4="WIN", N4="LOSS"), (L4-E4)*D4, 0)</f>
        <v/>
      </c>
      <c r="N4" s="17" t="inlineStr">
        <is>
          <t>LOSS</t>
        </is>
      </c>
      <c r="O4" s="17" t="inlineStr">
        <is>
          <t>Auto-synced from Zerodha account | Auto-synced sell from Zerodha account</t>
        </is>
      </c>
      <c r="P4" s="19" t="inlineStr">
        <is>
          <t>SWING</t>
        </is>
      </c>
      <c r="Q4" s="2" t="n"/>
      <c r="R4" s="2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13" t="inlineStr">
        <is>
          <t>SONACOMS</t>
        </is>
      </c>
      <c r="B5" s="13" t="inlineStr">
        <is>
          <t>SONACOMS</t>
        </is>
      </c>
      <c r="C5" s="13" t="inlineStr">
        <is>
          <t>2026-07-22</t>
        </is>
      </c>
      <c r="D5" s="13" t="n">
        <v>2</v>
      </c>
      <c r="E5" s="14" t="n">
        <v>734.7</v>
      </c>
      <c r="F5" s="14" t="n">
        <v>730.4500122070312</v>
      </c>
      <c r="G5" s="14" t="n">
        <v>4.249987792968795</v>
      </c>
      <c r="H5" s="14" t="n">
        <v>800.5786220005581</v>
      </c>
      <c r="I5" s="14" t="n">
        <v>695.3857073102679</v>
      </c>
      <c r="J5" s="13" t="inlineStr">
        <is>
          <t>1:1.7</t>
        </is>
      </c>
      <c r="K5" s="15" t="inlineStr">
        <is>
          <t>2026-08-05</t>
        </is>
      </c>
      <c r="L5" s="14" t="n">
        <v>798.25</v>
      </c>
      <c r="M5" s="14">
        <f>IF(OR(N5="WIN", N5="LOSS"), (L5-E5)*D5, 0)</f>
        <v/>
      </c>
      <c r="N5" s="13" t="inlineStr">
        <is>
          <t>WIN</t>
        </is>
      </c>
      <c r="O5" s="13" t="inlineStr">
        <is>
          <t>Auto-synced from Zerodha account | [2026-07-28] State 4 (Cash Only): Hold position, maintain pre-set stop-loss, do not average down. | Auto-synced sell from Zerodha account</t>
        </is>
      </c>
      <c r="P5" s="15" t="inlineStr">
        <is>
          <t>SWING</t>
        </is>
      </c>
      <c r="Q5" s="2" t="n"/>
      <c r="R5" s="2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20" t="inlineStr">
        <is>
          <t>JSWSTEEL</t>
        </is>
      </c>
      <c r="B6" s="20" t="inlineStr">
        <is>
          <t>JSW Steel Limited</t>
        </is>
      </c>
      <c r="C6" s="21" t="inlineStr">
        <is>
          <t>2026-07-22</t>
        </is>
      </c>
      <c r="D6" s="22" t="n">
        <v>1</v>
      </c>
      <c r="E6" s="23" t="n">
        <v>1265.1</v>
      </c>
      <c r="F6" s="23" t="n">
        <v>1265.1</v>
      </c>
      <c r="G6" s="23" t="n">
        <v>0</v>
      </c>
      <c r="H6" s="23" t="n">
        <v>1368.16</v>
      </c>
      <c r="I6" s="23" t="n">
        <v>1217.31</v>
      </c>
      <c r="J6" s="21" t="inlineStr">
        <is>
          <t>1:2.1</t>
        </is>
      </c>
      <c r="K6" s="22" t="inlineStr">
        <is>
          <t>2026-08-13</t>
        </is>
      </c>
      <c r="L6" s="23" t="n">
        <v>1269.1</v>
      </c>
      <c r="M6" s="23">
        <f>IF(OR(N6="WIN", N6="LOSS"), (L6-E6)*D6, 0)</f>
        <v/>
      </c>
      <c r="N6" s="21" t="inlineStr">
        <is>
          <t>WIN</t>
        </is>
      </c>
      <c r="O6" s="20" t="inlineStr">
        <is>
          <t>Auto-synced from Zerodha account | [2026-07-28] State 4 (Cash Only): Hold position, maintain pre-set stop-loss, do not average down. | Auto-synced sell from Zerodha account</t>
        </is>
      </c>
      <c r="P6" s="15" t="inlineStr">
        <is>
          <t>SWING</t>
        </is>
      </c>
      <c r="Q6" s="2" t="n"/>
      <c r="R6" s="2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15" t="inlineStr">
        <is>
          <t>TECHM</t>
        </is>
      </c>
      <c r="B7" s="15" t="inlineStr">
        <is>
          <t>TECHM</t>
        </is>
      </c>
      <c r="C7" s="15" t="inlineStr">
        <is>
          <t>2026-07-27</t>
        </is>
      </c>
      <c r="D7" s="15" t="n">
        <v>1</v>
      </c>
      <c r="E7" s="14" t="n">
        <v>1579</v>
      </c>
      <c r="F7" s="14" t="n">
        <v>1593.900024414062</v>
      </c>
      <c r="G7" s="14" t="n">
        <v>-14.90002441406205</v>
      </c>
      <c r="H7" s="14" t="n">
        <v>1773.642944335938</v>
      </c>
      <c r="I7" s="14" t="n">
        <v>1504.028564453125</v>
      </c>
      <c r="J7" s="15" t="inlineStr">
        <is>
          <t>1:2.6</t>
        </is>
      </c>
      <c r="K7" s="15" t="inlineStr">
        <is>
          <t>2026-08-13</t>
        </is>
      </c>
      <c r="L7" s="14" t="n">
        <v>1634.7</v>
      </c>
      <c r="M7" s="14">
        <f>IF(OR(N7="WIN", N7="LOSS"), (L7-E7)*D7, 0)</f>
        <v/>
      </c>
      <c r="N7" s="15" t="inlineStr">
        <is>
          <t>WIN</t>
        </is>
      </c>
      <c r="O7" s="15" t="inlineStr">
        <is>
          <t>Auto-synced from Zerodha account | [2026-07-28] State 4 (Cash Only): Hold position, maintain pre-set stop-loss, do not average down. | Auto-synced sell from Zerodha account</t>
        </is>
      </c>
      <c r="P7" s="15" t="inlineStr">
        <is>
          <t>SWING</t>
        </is>
      </c>
      <c r="Q7" s="2" t="n"/>
      <c r="R7" s="2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15" t="inlineStr">
        <is>
          <t>BERGEPAINT</t>
        </is>
      </c>
      <c r="B8" s="15" t="inlineStr">
        <is>
          <t>Berger Paints India Limited</t>
        </is>
      </c>
      <c r="C8" s="15" t="inlineStr">
        <is>
          <t>2026-07-31</t>
        </is>
      </c>
      <c r="D8" s="15" t="n">
        <v>2</v>
      </c>
      <c r="E8" s="14" t="n">
        <v>519.13</v>
      </c>
      <c r="F8" s="14" t="n">
        <v>521.35</v>
      </c>
      <c r="G8" s="14" t="n">
        <v>-2.220000000000027</v>
      </c>
      <c r="H8" s="14" t="n">
        <v>574.85</v>
      </c>
      <c r="I8" s="14" t="n">
        <v>494.6</v>
      </c>
      <c r="J8" s="15" t="inlineStr">
        <is>
          <t>1:2.0</t>
        </is>
      </c>
      <c r="K8" s="15" t="inlineStr">
        <is>
          <t>2026-08-12</t>
        </is>
      </c>
      <c r="L8" s="14" t="n">
        <v>561.2</v>
      </c>
      <c r="M8" s="14">
        <f>IF(OR(N8="WIN", N8="LOSS"), (L8-E8)*D8, 0)</f>
        <v/>
      </c>
      <c r="N8" s="15" t="inlineStr">
        <is>
          <t>WIN</t>
        </is>
      </c>
      <c r="O8" s="15" t="inlineStr">
        <is>
          <t>Auto-synced from Zerodha holdings | Auto-synced sell from Zerodha account</t>
        </is>
      </c>
      <c r="P8" s="15" t="inlineStr">
        <is>
          <t>SWING</t>
        </is>
      </c>
      <c r="Q8" s="2" t="n"/>
      <c r="R8" s="2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19" t="inlineStr">
        <is>
          <t>ADVANCE</t>
        </is>
      </c>
      <c r="B9" s="19" t="inlineStr">
        <is>
          <t>Advanced Enzyme Technologies Limited</t>
        </is>
      </c>
      <c r="C9" s="19" t="inlineStr">
        <is>
          <t>2026-08-03</t>
        </is>
      </c>
      <c r="D9" s="19" t="n">
        <v>4</v>
      </c>
      <c r="E9" s="18" t="n">
        <v>127.8</v>
      </c>
      <c r="F9" s="18" t="n">
        <v>125.01</v>
      </c>
      <c r="G9" s="18" t="n">
        <v>2.789999999999992</v>
      </c>
      <c r="H9" s="18" t="n">
        <v>145.56</v>
      </c>
      <c r="I9" s="18" t="n">
        <v>114.74</v>
      </c>
      <c r="J9" s="19" t="inlineStr">
        <is>
          <t>1:2.0</t>
        </is>
      </c>
      <c r="K9" s="19" t="inlineStr">
        <is>
          <t>2026-08-12</t>
        </is>
      </c>
      <c r="L9" s="18" t="n">
        <v>118.2425</v>
      </c>
      <c r="M9" s="18">
        <f>IF(OR(N9="WIN", N9="LOSS"), (L9-E9)*D9, 0)</f>
        <v/>
      </c>
      <c r="N9" s="19" t="inlineStr">
        <is>
          <t>LOSS</t>
        </is>
      </c>
      <c r="O9" s="19" t="inlineStr">
        <is>
          <t>Buy actual fill price matching Zerodha (corrected from 125.01) | Auto-synced sell from Zerodha account</t>
        </is>
      </c>
      <c r="P9" s="19" t="inlineStr">
        <is>
          <t>SWING</t>
        </is>
      </c>
      <c r="Q9" s="2" t="n"/>
      <c r="R9" s="2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19" t="inlineStr">
        <is>
          <t>NESTLEIND</t>
        </is>
      </c>
      <c r="B10" s="19" t="inlineStr">
        <is>
          <t>NESTLEIND</t>
        </is>
      </c>
      <c r="C10" s="19" t="inlineStr">
        <is>
          <t>2026-08-04</t>
        </is>
      </c>
      <c r="D10" s="19" t="n">
        <v>1</v>
      </c>
      <c r="E10" s="18" t="n">
        <v>1530</v>
      </c>
      <c r="F10" s="18" t="n">
        <v>1530</v>
      </c>
      <c r="G10" s="18" t="n">
        <v>0</v>
      </c>
      <c r="H10" s="18" t="n">
        <v>1549.8</v>
      </c>
      <c r="I10" s="18" t="n">
        <v>1520.1</v>
      </c>
      <c r="J10" s="19" t="inlineStr">
        <is>
          <t>1:2.0</t>
        </is>
      </c>
      <c r="K10" s="19" t="inlineStr">
        <is>
          <t>2026-08-04</t>
        </is>
      </c>
      <c r="L10" s="18" t="n">
        <v>1520.1</v>
      </c>
      <c r="M10" s="18">
        <f>IF(OR(N10="WIN", N10="LOSS"), (L10-E10)*D10, 0)</f>
        <v/>
      </c>
      <c r="N10" s="19" t="inlineStr">
        <is>
          <t>LOSS</t>
        </is>
      </c>
      <c r="O10" s="19" t="inlineStr">
        <is>
          <t>Intraday placement. GTT Trigger: 330204955 | Position closed via Stop-Loss GTT trigger. Actual Buy Filled at INR 1523.00</t>
        </is>
      </c>
      <c r="P10" s="19" t="inlineStr">
        <is>
          <t>INTRADAY</t>
        </is>
      </c>
      <c r="Q10" s="2" t="n"/>
      <c r="R10" s="2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19" t="inlineStr">
        <is>
          <t>PIDILITIND</t>
        </is>
      </c>
      <c r="B11" s="19" t="inlineStr">
        <is>
          <t>PIDILITIND</t>
        </is>
      </c>
      <c r="C11" s="19" t="inlineStr">
        <is>
          <t>2026-08-04</t>
        </is>
      </c>
      <c r="D11" s="19" t="n">
        <v>1</v>
      </c>
      <c r="E11" s="18" t="n">
        <v>1642.5</v>
      </c>
      <c r="F11" s="18" t="n">
        <v>1642.5</v>
      </c>
      <c r="G11" s="18" t="n">
        <v>0</v>
      </c>
      <c r="H11" s="18" t="n">
        <v>1658.5</v>
      </c>
      <c r="I11" s="18" t="n">
        <v>1634.5</v>
      </c>
      <c r="J11" s="19" t="inlineStr">
        <is>
          <t>1:2.0</t>
        </is>
      </c>
      <c r="K11" s="19" t="inlineStr">
        <is>
          <t>2026-08-04</t>
        </is>
      </c>
      <c r="L11" s="18" t="n">
        <v>1634.5</v>
      </c>
      <c r="M11" s="18">
        <f>IF(OR(N11="WIN", N11="LOSS"), (L11-E11)*D11, 0)</f>
        <v/>
      </c>
      <c r="N11" s="19" t="inlineStr">
        <is>
          <t>LOSS</t>
        </is>
      </c>
      <c r="O11" s="19" t="inlineStr">
        <is>
          <t>Intraday placement. GTT Trigger: 330204926 | Position closed via Stop-Loss GTT trigger.</t>
        </is>
      </c>
      <c r="P11" s="19" t="inlineStr">
        <is>
          <t>INTRADAY</t>
        </is>
      </c>
      <c r="Q11" s="2" t="n"/>
      <c r="R11" s="2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15" t="inlineStr">
        <is>
          <t>VISAKAIND</t>
        </is>
      </c>
      <c r="B12" s="15" t="inlineStr">
        <is>
          <t>VISAKAIND</t>
        </is>
      </c>
      <c r="C12" s="15" t="inlineStr">
        <is>
          <t>2026-08-05</t>
        </is>
      </c>
      <c r="D12" s="15" t="n">
        <v>8</v>
      </c>
      <c r="E12" s="14" t="n">
        <v>86.98999999999999</v>
      </c>
      <c r="F12" s="14" t="n">
        <v>86.98999999999999</v>
      </c>
      <c r="G12" s="14" t="n">
        <v>0</v>
      </c>
      <c r="H12" s="14" t="n">
        <v>101.83</v>
      </c>
      <c r="I12" s="14" t="n">
        <v>79.56999999999999</v>
      </c>
      <c r="J12" s="15" t="inlineStr">
        <is>
          <t>1:2.0</t>
        </is>
      </c>
      <c r="K12" s="15" t="inlineStr">
        <is>
          <t>2026-08-10</t>
        </is>
      </c>
      <c r="L12" s="14" t="n">
        <v>103.24</v>
      </c>
      <c r="M12" s="14">
        <f>IF(OR(N12="WIN", N12="LOSS"), (L12-E12)*D12, 0)</f>
        <v/>
      </c>
      <c r="N12" s="15" t="inlineStr">
        <is>
          <t>WIN</t>
        </is>
      </c>
      <c r="O12" s="15" t="inlineStr">
        <is>
          <t>Swing AMO placement. GTT Trigger: 330406766 | Auto-synced sell from Zerodha account</t>
        </is>
      </c>
      <c r="P12" s="15" t="inlineStr">
        <is>
          <t>SWING</t>
        </is>
      </c>
      <c r="Q12" s="2" t="n"/>
      <c r="R12" s="2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19" t="inlineStr">
        <is>
          <t>EXCELSOFT</t>
        </is>
      </c>
      <c r="B13" s="19" t="inlineStr">
        <is>
          <t>EXCELSOFT</t>
        </is>
      </c>
      <c r="C13" s="19" t="inlineStr">
        <is>
          <t>2026-08-05</t>
        </is>
      </c>
      <c r="D13" s="19" t="n">
        <v>8</v>
      </c>
      <c r="E13" s="18" t="n">
        <v>82.5</v>
      </c>
      <c r="F13" s="18" t="n">
        <v>82.5</v>
      </c>
      <c r="G13" s="18" t="n">
        <v>0</v>
      </c>
      <c r="H13" s="18" t="n">
        <v>93.81</v>
      </c>
      <c r="I13" s="18" t="n">
        <v>77.58</v>
      </c>
      <c r="J13" s="19" t="inlineStr">
        <is>
          <t>1:2.0</t>
        </is>
      </c>
      <c r="K13" s="19" t="inlineStr">
        <is>
          <t>2026-08-10</t>
        </is>
      </c>
      <c r="L13" s="18" t="n">
        <v>77.58</v>
      </c>
      <c r="M13" s="18">
        <f>IF(OR(N13="WIN", N13="LOSS"), (L13-E13)*D13, 0)</f>
        <v/>
      </c>
      <c r="N13" s="19" t="inlineStr">
        <is>
          <t>LOSS</t>
        </is>
      </c>
      <c r="O13" s="19" t="inlineStr">
        <is>
          <t>Swing AMO placement. GTT Trigger: 330406774 | Auto-synced sell from Zerodha account</t>
        </is>
      </c>
      <c r="P13" s="19" t="inlineStr">
        <is>
          <t>SWING</t>
        </is>
      </c>
      <c r="Q13" s="2" t="n"/>
      <c r="R13" s="2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19" t="inlineStr">
        <is>
          <t>SONATSOFTW</t>
        </is>
      </c>
      <c r="B14" s="19" t="inlineStr">
        <is>
          <t>SONATSOFTW</t>
        </is>
      </c>
      <c r="C14" s="19" t="inlineStr">
        <is>
          <t>2026-08-05</t>
        </is>
      </c>
      <c r="D14" s="19" t="n">
        <v>3</v>
      </c>
      <c r="E14" s="18" t="n">
        <v>341.15</v>
      </c>
      <c r="F14" s="18" t="n">
        <v>341.15</v>
      </c>
      <c r="G14" s="18" t="n">
        <v>0</v>
      </c>
      <c r="H14" s="18" t="n">
        <v>405.1</v>
      </c>
      <c r="I14" s="18" t="n">
        <v>316.2</v>
      </c>
      <c r="J14" s="19" t="inlineStr">
        <is>
          <t>1:2.6</t>
        </is>
      </c>
      <c r="K14" s="19" t="inlineStr">
        <is>
          <t>2026-08-10</t>
        </is>
      </c>
      <c r="L14" s="18" t="n">
        <v>316.2</v>
      </c>
      <c r="M14" s="18">
        <f>IF(OR(N14="WIN", N14="LOSS"), (L14-E14)*D14, 0)</f>
        <v/>
      </c>
      <c r="N14" s="19" t="inlineStr">
        <is>
          <t>LOSS</t>
        </is>
      </c>
      <c r="O14" s="19" t="inlineStr">
        <is>
          <t>Swing Trade placement. GTT Trigger: 330502180 | Auto-synced sell from Zerodha account</t>
        </is>
      </c>
      <c r="P14" s="19" t="inlineStr">
        <is>
          <t>SWING</t>
        </is>
      </c>
      <c r="Q14" s="2" t="n"/>
      <c r="R14" s="2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19" t="inlineStr">
        <is>
          <t>IFGLEXPOR</t>
        </is>
      </c>
      <c r="B15" s="19" t="inlineStr">
        <is>
          <t>IFGLEXPOR</t>
        </is>
      </c>
      <c r="C15" s="19" t="inlineStr">
        <is>
          <t>2026-08-06</t>
        </is>
      </c>
      <c r="D15" s="19" t="n">
        <v>4</v>
      </c>
      <c r="E15" s="18" t="n">
        <v>219.6</v>
      </c>
      <c r="F15" s="18" t="n">
        <v>219.6</v>
      </c>
      <c r="G15" s="18" t="n">
        <v>0</v>
      </c>
      <c r="H15" s="18" t="n">
        <v>266.25</v>
      </c>
      <c r="I15" s="18" t="n">
        <v>219.6</v>
      </c>
      <c r="J15" s="19" t="inlineStr">
        <is>
          <t>1:2.0</t>
        </is>
      </c>
      <c r="K15" s="19" t="inlineStr">
        <is>
          <t>2026-08-18</t>
        </is>
      </c>
      <c r="L15" s="19" t="n">
        <v>218.97</v>
      </c>
      <c r="M15" s="18">
        <f>IF(OR(N15="WIN", N15="LOSS"), (L15-E15)*D15, 0)</f>
        <v/>
      </c>
      <c r="N15" s="19" t="inlineStr">
        <is>
          <t>LOSS</t>
        </is>
      </c>
      <c r="O15" s="19" t="inlineStr">
        <is>
          <t>Swing AMO placement. GTT Trigger: 330580516</t>
        </is>
      </c>
      <c r="P15" s="19" t="inlineStr">
        <is>
          <t>SWING</t>
        </is>
      </c>
      <c r="Q15" s="2" t="n"/>
      <c r="R15" s="2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15" t="inlineStr">
        <is>
          <t>SAPPHIRE</t>
        </is>
      </c>
      <c r="B16" s="15" t="inlineStr">
        <is>
          <t>SAPPHIRE</t>
        </is>
      </c>
      <c r="C16" s="15" t="inlineStr">
        <is>
          <t>2026-08-06</t>
        </is>
      </c>
      <c r="D16" s="15" t="n">
        <v>4</v>
      </c>
      <c r="E16" s="14" t="n">
        <v>202.5</v>
      </c>
      <c r="F16" s="14" t="n">
        <v>202.5</v>
      </c>
      <c r="G16" s="14" t="n">
        <v>0</v>
      </c>
      <c r="H16" s="14" t="n">
        <v>238.85</v>
      </c>
      <c r="I16" s="14" t="n">
        <v>184.35</v>
      </c>
      <c r="J16" s="15" t="inlineStr">
        <is>
          <t>1:2.0</t>
        </is>
      </c>
      <c r="K16" s="15" t="inlineStr">
        <is>
          <t>2026-08-12</t>
        </is>
      </c>
      <c r="L16" s="14" t="n">
        <v>236.75</v>
      </c>
      <c r="M16" s="14">
        <f>IF(OR(N16="WIN", N16="LOSS"), (L16-E16)*D16, 0)</f>
        <v/>
      </c>
      <c r="N16" s="15" t="inlineStr">
        <is>
          <t>WIN</t>
        </is>
      </c>
      <c r="O16" s="15" t="inlineStr">
        <is>
          <t>Swing AMO placement. GTT Trigger: 330580530 | Auto-synced sell from Zerodha account</t>
        </is>
      </c>
      <c r="P16" s="15" t="inlineStr">
        <is>
          <t>SWING</t>
        </is>
      </c>
      <c r="Q16" s="2" t="n"/>
      <c r="R16" s="2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19" t="inlineStr">
        <is>
          <t>AEROENTER</t>
        </is>
      </c>
      <c r="B17" s="19" t="inlineStr">
        <is>
          <t>AEROENTER</t>
        </is>
      </c>
      <c r="C17" s="19" t="inlineStr">
        <is>
          <t>2026-08-06</t>
        </is>
      </c>
      <c r="D17" s="19" t="n">
        <v>8</v>
      </c>
      <c r="E17" s="18" t="n">
        <v>132.01</v>
      </c>
      <c r="F17" s="18" t="n">
        <v>132.01</v>
      </c>
      <c r="G17" s="18" t="n">
        <v>0</v>
      </c>
      <c r="H17" s="18" t="n">
        <v>159.05</v>
      </c>
      <c r="I17" s="18" t="n">
        <v>118.7</v>
      </c>
      <c r="J17" s="19" t="inlineStr">
        <is>
          <t>1:2.0</t>
        </is>
      </c>
      <c r="K17" s="19" t="inlineStr">
        <is>
          <t>2026-08-18</t>
        </is>
      </c>
      <c r="L17" s="19" t="n">
        <v>125.73</v>
      </c>
      <c r="M17" s="18">
        <f>IF(OR(N17="WIN", N17="LOSS"), (L17-E17)*D17, 0)</f>
        <v/>
      </c>
      <c r="N17" s="19" t="inlineStr">
        <is>
          <t>LOSS</t>
        </is>
      </c>
      <c r="O17" s="19" t="inlineStr">
        <is>
          <t>Swing AMO placement. GTT Trigger: 330580552</t>
        </is>
      </c>
      <c r="P17" s="19" t="inlineStr">
        <is>
          <t>SWING</t>
        </is>
      </c>
      <c r="Q17" s="2" t="n"/>
      <c r="R17" s="2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19" t="inlineStr">
        <is>
          <t>TATASTEEL</t>
        </is>
      </c>
      <c r="B18" s="19" t="inlineStr">
        <is>
          <t>TATASTEEL</t>
        </is>
      </c>
      <c r="C18" s="19" t="inlineStr">
        <is>
          <t>2026-08-06</t>
        </is>
      </c>
      <c r="D18" s="19" t="n">
        <v>1</v>
      </c>
      <c r="E18" s="18" t="n">
        <v>192.6</v>
      </c>
      <c r="F18" s="18" t="n">
        <v>192.6</v>
      </c>
      <c r="G18" s="18" t="n">
        <v>0</v>
      </c>
      <c r="H18" s="18" t="n">
        <v>195.65</v>
      </c>
      <c r="I18" s="18" t="n">
        <v>191.65</v>
      </c>
      <c r="J18" s="19" t="inlineStr">
        <is>
          <t>1:2.0</t>
        </is>
      </c>
      <c r="K18" s="19" t="inlineStr">
        <is>
          <t>2026-08-06</t>
        </is>
      </c>
      <c r="L18" s="19" t="n">
        <v>191.65</v>
      </c>
      <c r="M18" s="18">
        <f>IF(OR(N18="WIN", N18="LOSS"), (L18-E18)*D18, 0)</f>
        <v/>
      </c>
      <c r="N18" s="19" t="inlineStr">
        <is>
          <t>LOSS</t>
        </is>
      </c>
      <c r="O18" s="19" t="inlineStr">
        <is>
          <t>Intraday AMO placement. GTT Trigger: 330580570 | Closed via GTT Stop Loss.</t>
        </is>
      </c>
      <c r="P18" s="19" t="inlineStr">
        <is>
          <t>INTRADAY</t>
        </is>
      </c>
      <c r="Q18" s="2" t="n"/>
      <c r="R18" s="2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19" t="inlineStr">
        <is>
          <t>HARSHA</t>
        </is>
      </c>
      <c r="B19" s="19" t="inlineStr">
        <is>
          <t>Harsha Engineers International Limited</t>
        </is>
      </c>
      <c r="C19" s="19" t="inlineStr">
        <is>
          <t>2026-08-11</t>
        </is>
      </c>
      <c r="D19" s="19" t="n">
        <v>3</v>
      </c>
      <c r="E19" s="18" t="n">
        <v>432.6</v>
      </c>
      <c r="F19" s="18" t="n">
        <v>432.6</v>
      </c>
      <c r="G19" s="18" t="n">
        <v>0</v>
      </c>
      <c r="H19" s="18" t="n">
        <v>480.15</v>
      </c>
      <c r="I19" s="18" t="n">
        <v>408.85</v>
      </c>
      <c r="J19" s="19" t="inlineStr">
        <is>
          <t>1:2.0</t>
        </is>
      </c>
      <c r="K19" s="19" t="inlineStr">
        <is>
          <t>2026-08-12</t>
        </is>
      </c>
      <c r="L19" s="19" t="n">
        <v>410.45</v>
      </c>
      <c r="M19" s="18">
        <f>IF(OR(N19="WIN", N19="LOSS"), (L19-E19)*D19, 0)</f>
        <v/>
      </c>
      <c r="N19" s="19" t="inlineStr">
        <is>
          <t>LOSS</t>
        </is>
      </c>
      <c r="O19" s="19" t="inlineStr">
        <is>
          <t>AMO Swing Trade. GTT Trigger: 331229921</t>
        </is>
      </c>
      <c r="P19" s="19" t="inlineStr">
        <is>
          <t>SWING</t>
        </is>
      </c>
      <c r="Q19" s="2" t="n"/>
      <c r="R19" s="2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19" t="inlineStr">
        <is>
          <t>CONFIPET</t>
        </is>
      </c>
      <c r="B20" s="19" t="inlineStr">
        <is>
          <t>Confidence Petroleum India Limited</t>
        </is>
      </c>
      <c r="C20" s="19" t="inlineStr">
        <is>
          <t>2026-08-11</t>
        </is>
      </c>
      <c r="D20" s="19" t="n">
        <v>10</v>
      </c>
      <c r="E20" s="18" t="n">
        <v>82.73999999999999</v>
      </c>
      <c r="F20" s="18" t="n">
        <v>82.73999999999999</v>
      </c>
      <c r="G20" s="18" t="n">
        <v>0</v>
      </c>
      <c r="H20" s="18" t="n">
        <v>99.31</v>
      </c>
      <c r="I20" s="18" t="n">
        <v>74.45</v>
      </c>
      <c r="J20" s="19" t="inlineStr">
        <is>
          <t>1:2.0</t>
        </is>
      </c>
      <c r="K20" s="19" t="inlineStr">
        <is>
          <t>2026-08-12</t>
        </is>
      </c>
      <c r="L20" s="18" t="n">
        <v>74.45</v>
      </c>
      <c r="M20" s="18">
        <f>IF(OR(N20="WIN", N20="LOSS"), (L20-E20)*D20, 0)</f>
        <v/>
      </c>
      <c r="N20" s="19" t="inlineStr">
        <is>
          <t>LOSS</t>
        </is>
      </c>
      <c r="O20" s="19" t="inlineStr">
        <is>
          <t>AMO Swing Trade. GTT Trigger: 10002 | Auto-synced sell from Zerodha account</t>
        </is>
      </c>
      <c r="P20" s="19" t="inlineStr">
        <is>
          <t>SWING</t>
        </is>
      </c>
      <c r="Q20" s="2" t="n"/>
      <c r="R20" s="2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19" t="inlineStr">
        <is>
          <t>BEL</t>
        </is>
      </c>
      <c r="B21" s="19" t="inlineStr">
        <is>
          <t>BEL</t>
        </is>
      </c>
      <c r="C21" s="19" t="inlineStr">
        <is>
          <t>2026-08-12</t>
        </is>
      </c>
      <c r="D21" s="19" t="n">
        <v>5</v>
      </c>
      <c r="E21" s="18" t="n">
        <v>405.85</v>
      </c>
      <c r="F21" s="18" t="n">
        <v>401.3500061035156</v>
      </c>
      <c r="G21" s="18" t="n">
        <v>4.499993896484398</v>
      </c>
      <c r="H21" s="18" t="n">
        <v>429.2642865862165</v>
      </c>
      <c r="I21" s="18" t="n">
        <v>387.3928658621652</v>
      </c>
      <c r="J21" s="19" t="inlineStr">
        <is>
          <t>1:1.3</t>
        </is>
      </c>
      <c r="K21" s="19" t="inlineStr">
        <is>
          <t>2026-08-12</t>
        </is>
      </c>
      <c r="L21" s="18" t="n">
        <v>399.4</v>
      </c>
      <c r="M21" s="18">
        <f>IF(OR(N21="WIN", N21="LOSS"), (L21-E21)*D21, 0)</f>
        <v/>
      </c>
      <c r="N21" s="19" t="inlineStr">
        <is>
          <t>LOSS</t>
        </is>
      </c>
      <c r="O21" s="19" t="inlineStr">
        <is>
          <t>Auto-synced from Zerodha account | Auto-synced sell from Zerodha account</t>
        </is>
      </c>
      <c r="P21" s="19" t="inlineStr">
        <is>
          <t>SWING</t>
        </is>
      </c>
      <c r="Q21" s="2" t="n"/>
      <c r="R21" s="2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19" t="inlineStr">
        <is>
          <t>MRPL</t>
        </is>
      </c>
      <c r="B23" s="19" t="inlineStr">
        <is>
          <t>MRPL</t>
        </is>
      </c>
      <c r="C23" s="19" t="inlineStr">
        <is>
          <t>2026-08-13</t>
        </is>
      </c>
      <c r="D23" s="19" t="n">
        <v>10</v>
      </c>
      <c r="E23" s="18" t="n">
        <v>174.7</v>
      </c>
      <c r="F23" s="18" t="n">
        <v>181.14</v>
      </c>
      <c r="G23" s="18" t="n">
        <v>-6.439999999999998</v>
      </c>
      <c r="H23" s="18" t="n">
        <v>213.09</v>
      </c>
      <c r="I23" s="18" t="n">
        <v>165.17</v>
      </c>
      <c r="J23" s="19" t="inlineStr">
        <is>
          <t>1:2.0</t>
        </is>
      </c>
      <c r="K23" s="19" t="inlineStr">
        <is>
          <t>2026-08-20</t>
        </is>
      </c>
      <c r="L23" s="19" t="n">
        <v>165.15</v>
      </c>
      <c r="M23" s="18">
        <f>IF(OR(N23="WIN", N23="LOSS"), (L23-E23)*D23, 0)</f>
        <v/>
      </c>
      <c r="N23" s="19" t="inlineStr">
        <is>
          <t>LOSS</t>
        </is>
      </c>
      <c r="O23" s="19" t="inlineStr">
        <is>
          <t>Auto-added SWING via AI recommendation. SL: 165.17, TP: 213.09 (Orders pending 5:30 AM due to Zerodha AMO maintenance).</t>
        </is>
      </c>
      <c r="P23" s="19" t="inlineStr">
        <is>
          <t>SWING</t>
        </is>
      </c>
      <c r="Q23" s="2" t="n"/>
      <c r="R23" s="2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15" t="inlineStr">
        <is>
          <t>LENSKART</t>
        </is>
      </c>
      <c r="B24" s="15" t="inlineStr">
        <is>
          <t>LENSKART</t>
        </is>
      </c>
      <c r="C24" s="15" t="inlineStr">
        <is>
          <t>2026-08-13</t>
        </is>
      </c>
      <c r="D24" s="15" t="n">
        <v>4</v>
      </c>
      <c r="E24" s="14" t="n">
        <v>605</v>
      </c>
      <c r="F24" s="14" t="n">
        <v>589.2</v>
      </c>
      <c r="G24" s="14" t="n">
        <v>15.79999999999995</v>
      </c>
      <c r="H24" s="14" t="n">
        <v>646.8099999999999</v>
      </c>
      <c r="I24" s="14" t="n">
        <v>560.39</v>
      </c>
      <c r="J24" s="15" t="inlineStr">
        <is>
          <t>1:2.0</t>
        </is>
      </c>
      <c r="K24" s="15" t="inlineStr">
        <is>
          <t>2026-08-20</t>
        </is>
      </c>
      <c r="L24" s="15" t="n">
        <v>646.8</v>
      </c>
      <c r="M24" s="14">
        <f>IF(OR(N24="WIN", N24="LOSS"), (L24-E24)*D24, 0)</f>
        <v/>
      </c>
      <c r="N24" s="15" t="inlineStr">
        <is>
          <t>WIN</t>
        </is>
      </c>
      <c r="O24" s="15" t="inlineStr">
        <is>
          <t>Auto-added SWING via AI recommendation. SL: 560.39, TP: 646.81 (Orders pending 5:30 AM due to Zerodha AMO maintenance).</t>
        </is>
      </c>
      <c r="P24" s="15" t="inlineStr">
        <is>
          <t>SWING</t>
        </is>
      </c>
      <c r="Q24" s="2" t="n"/>
      <c r="R24" s="2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15" t="inlineStr">
        <is>
          <t>AARTIIND</t>
        </is>
      </c>
      <c r="B26" s="15" t="inlineStr">
        <is>
          <t>AARTIIND</t>
        </is>
      </c>
      <c r="C26" s="15" t="inlineStr">
        <is>
          <t>2026-08-13</t>
        </is>
      </c>
      <c r="D26" s="15" t="n">
        <v>4</v>
      </c>
      <c r="E26" s="14" t="n">
        <v>536</v>
      </c>
      <c r="F26" s="14" t="n">
        <v>532.3</v>
      </c>
      <c r="G26" s="14" t="n">
        <v>3.700000000000045</v>
      </c>
      <c r="H26" s="14" t="n">
        <v>562.65</v>
      </c>
      <c r="I26" s="14" t="n">
        <v>517.1</v>
      </c>
      <c r="J26" s="15" t="inlineStr">
        <is>
          <t>1:2.0</t>
        </is>
      </c>
      <c r="K26" s="15" t="inlineStr">
        <is>
          <t>2026-08-14</t>
        </is>
      </c>
      <c r="L26" s="14" t="n">
        <v>539.25</v>
      </c>
      <c r="M26" s="14">
        <f>IF(OR(N26="WIN", N26="LOSS"), (L26-E26)*D26, 0)</f>
        <v/>
      </c>
      <c r="N26" s="15" t="inlineStr">
        <is>
          <t>WIN</t>
        </is>
      </c>
      <c r="O26" s="1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15" t="inlineStr">
        <is>
          <t>INTRADAY</t>
        </is>
      </c>
      <c r="Q26" s="2" t="n"/>
      <c r="R26" s="2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19" t="inlineStr">
        <is>
          <t>SCHNEIDER</t>
        </is>
      </c>
      <c r="B27" s="19" t="inlineStr">
        <is>
          <t>SCHNEIDER</t>
        </is>
      </c>
      <c r="C27" s="19" t="inlineStr">
        <is>
          <t>2026-08-13</t>
        </is>
      </c>
      <c r="D27" s="19" t="n">
        <v>2</v>
      </c>
      <c r="E27" s="18" t="n">
        <v>1425</v>
      </c>
      <c r="F27" s="18" t="n">
        <v>1435</v>
      </c>
      <c r="G27" s="18" t="n">
        <v>-10</v>
      </c>
      <c r="H27" s="18" t="n">
        <v>1502.9</v>
      </c>
      <c r="I27" s="18" t="n">
        <v>1401.05</v>
      </c>
      <c r="J27" s="19" t="inlineStr">
        <is>
          <t>1:2.0</t>
        </is>
      </c>
      <c r="K27" s="19" t="inlineStr">
        <is>
          <t>2026-08-14</t>
        </is>
      </c>
      <c r="L27" s="18" t="n">
        <v>1401</v>
      </c>
      <c r="M27" s="18">
        <f>IF(OR(N27="WIN", N27="LOSS"), (L27-E27)*D27, 0)</f>
        <v/>
      </c>
      <c r="N27" s="19" t="inlineStr">
        <is>
          <t>LOSS</t>
        </is>
      </c>
      <c r="O27" s="19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19" t="inlineStr">
        <is>
          <t>INTRADAY</t>
        </is>
      </c>
      <c r="Q27" s="2" t="n"/>
      <c r="R27" s="2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19" t="inlineStr">
        <is>
          <t>BHARATSE</t>
        </is>
      </c>
      <c r="B30" s="19" t="inlineStr">
        <is>
          <t>Bharat Seats Limited</t>
        </is>
      </c>
      <c r="C30" s="19" t="inlineStr">
        <is>
          <t>2026-08-14</t>
        </is>
      </c>
      <c r="D30" s="19" t="n">
        <v>6</v>
      </c>
      <c r="E30" s="18" t="n">
        <v>245.25</v>
      </c>
      <c r="F30" s="18" t="n">
        <v>245.25</v>
      </c>
      <c r="G30" s="18" t="n">
        <v>0</v>
      </c>
      <c r="H30" s="18" t="n">
        <v>297.64</v>
      </c>
      <c r="I30" s="18" t="n">
        <v>219.06</v>
      </c>
      <c r="J30" s="19" t="inlineStr">
        <is>
          <t>1:2.0</t>
        </is>
      </c>
      <c r="K30" s="19" t="inlineStr">
        <is>
          <t>2026-08-21</t>
        </is>
      </c>
      <c r="L30" s="18" t="n">
        <v>230.26</v>
      </c>
      <c r="M30" s="18">
        <f>IF(OR(N30="WIN", N30="LOSS"), (L30-E30)*D30, 0)</f>
        <v/>
      </c>
      <c r="N30" s="19" t="inlineStr">
        <is>
          <t>LOSS</t>
        </is>
      </c>
      <c r="O30" s="19" t="inlineStr">
        <is>
          <t>Swing trade setup. | Sold manually on 2026-08-20</t>
        </is>
      </c>
      <c r="P30" s="19" t="inlineStr">
        <is>
          <t>SWING</t>
        </is>
      </c>
      <c r="Q30" s="2" t="n"/>
      <c r="R30" s="2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42" t="inlineStr">
        <is>
          <t>APEX</t>
        </is>
      </c>
      <c r="B33" s="42" t="inlineStr">
        <is>
          <t>Apex Frozen</t>
        </is>
      </c>
      <c r="C33" s="42" t="inlineStr">
        <is>
          <t>2026-08-18</t>
        </is>
      </c>
      <c r="D33" s="42" t="n">
        <v>3</v>
      </c>
      <c r="E33" s="42" t="n">
        <v>422.55</v>
      </c>
      <c r="F33" s="42" t="n">
        <v>422.55</v>
      </c>
      <c r="G33" s="42" t="n">
        <v>0</v>
      </c>
      <c r="H33" s="42" t="n">
        <v>500</v>
      </c>
      <c r="I33" s="42" t="n">
        <v>400</v>
      </c>
      <c r="J33" s="19" t="n"/>
      <c r="K33" s="19" t="inlineStr">
        <is>
          <t>2026-08-20</t>
        </is>
      </c>
      <c r="L33" s="19" t="n">
        <v>400</v>
      </c>
      <c r="M33" s="19">
        <f>IF(OR(N33="WIN", N33="LOSS"), (L33-E33)*D33, 0)</f>
        <v/>
      </c>
      <c r="N33" s="42" t="inlineStr">
        <is>
          <t>LOSS</t>
        </is>
      </c>
      <c r="O33" s="19" t="n"/>
      <c r="P33" s="42" t="inlineStr">
        <is>
          <t>SWING</t>
        </is>
      </c>
      <c r="Q33" s="2" t="n"/>
      <c r="R33" s="2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57" min="1" max="6"/>
  </cols>
  <sheetData>
    <row r="1">
      <c r="A1" s="6" t="inlineStr">
        <is>
          <t>Date</t>
        </is>
      </c>
      <c r="B1" s="6" t="inlineStr">
        <is>
          <t>Cumulative PnL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n">
        <v>-4.400000000000091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2026-08-04</t>
        </is>
      </c>
      <c r="B3" s="6" t="n">
        <v>-22.30000000000018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2026-08-05</t>
        </is>
      </c>
      <c r="B4" s="6" t="n">
        <v>104.7999999999997</v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2026-08-06</t>
        </is>
      </c>
      <c r="B5" s="6" t="n">
        <v>103.8499999999997</v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2026-08-10</t>
        </is>
      </c>
      <c r="B6" s="6" t="n">
        <v>119.6399999999998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2026-08-12</t>
        </is>
      </c>
      <c r="B7" s="6" t="n">
        <v>120.9499999999996</v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2026-08-13</t>
        </is>
      </c>
      <c r="B8" s="6" t="n">
        <v>180.6499999999997</v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2026-08-14</t>
        </is>
      </c>
      <c r="B9" s="6" t="n">
        <v>145.6499999999997</v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2026-08-18</t>
        </is>
      </c>
      <c r="B10" s="6" t="n">
        <v>92.88999999999982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2026-08-20</t>
        </is>
      </c>
      <c r="B11" s="6" t="n">
        <v>96.93999999999977</v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2026-08-21T17:02:33Z</dcterms:modified>
</cp:coreProperties>
</file>