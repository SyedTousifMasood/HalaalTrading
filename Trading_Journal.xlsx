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edger" sheetId="2" state="visible" r:id="rId2"/>
    <sheet name="Lo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5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4A5568"/>
        <bgColor rgb="004A556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30" customHeight="1">
      <c r="A1" s="1" t="inlineStr">
        <is>
          <t>HSTS v1.0 Trading Dashboard</t>
        </is>
      </c>
    </row>
    <row r="3" ht="24" customHeight="1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Lifetime PnL</t>
        </is>
      </c>
      <c r="B4" s="4">
        <f>SUM(Ledger!L:L)</f>
        <v/>
      </c>
    </row>
    <row r="5">
      <c r="A5" s="3" t="inlineStr">
        <is>
          <t>Win Rate</t>
        </is>
      </c>
      <c r="B5" s="5">
        <f>IF((COUNTIF(Ledger!K:K, "WIN")+COUNTIF(Ledger!K:K, "LOSS"))&gt;0, COUNTIF(Ledger!K:K, "WIN")/(COUNTIF(Ledger!K:K, "WIN")+COUNTIF(Ledger!K:K, "LOSS")), 0)</f>
        <v/>
      </c>
    </row>
    <row r="6">
      <c r="A6" s="3" t="inlineStr">
        <is>
          <t>Total Completed Trades</t>
        </is>
      </c>
      <c r="B6" s="6">
        <f>COUNTIF(Ledger!K:K, "WIN") + COUNTIF(Ledger!K:K, "LOSS")</f>
        <v/>
      </c>
    </row>
    <row r="7">
      <c r="A7" s="3" t="inlineStr">
        <is>
          <t>Active Open Positions</t>
        </is>
      </c>
      <c r="B7" s="6">
        <f>COUNTIF(Ledger!K:K, "OPEN")</f>
        <v/>
      </c>
    </row>
    <row r="8">
      <c r="A8" s="3" t="inlineStr">
        <is>
          <t>Win Trades</t>
        </is>
      </c>
      <c r="B8" s="6">
        <f>COUNTIF(Ledger!K:K, "WIN")</f>
        <v/>
      </c>
    </row>
    <row r="9">
      <c r="A9" s="3" t="inlineStr">
        <is>
          <t>Loss Trades</t>
        </is>
      </c>
      <c r="B9" s="6">
        <f>COUNTIF(Ledger!K:K, "LOSS")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30" customWidth="1" min="14" max="14"/>
  </cols>
  <sheetData>
    <row r="1" ht="28" customHeight="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Exit Date</t>
        </is>
      </c>
      <c r="K1" s="2" t="inlineStr">
        <is>
          <t>Exit Price</t>
        </is>
      </c>
      <c r="L1" s="2" t="inlineStr">
        <is>
          <t>Realized PnL</t>
        </is>
      </c>
      <c r="M1" s="2" t="inlineStr">
        <is>
          <t>Status</t>
        </is>
      </c>
      <c r="N1" s="2" t="inlineStr">
        <is>
          <t>Notes</t>
        </is>
      </c>
    </row>
    <row r="2">
      <c r="A2" t="inlineStr">
        <is>
          <t>TCS</t>
        </is>
      </c>
      <c r="B2" t="inlineStr">
        <is>
          <t>Tata Consultancy Services</t>
        </is>
      </c>
      <c r="C2" t="inlineStr">
        <is>
          <t>2026-07-21</t>
        </is>
      </c>
      <c r="D2" t="n">
        <v>10</v>
      </c>
      <c r="E2" s="8" t="n">
        <v>2269</v>
      </c>
      <c r="F2" s="8" t="n">
        <v>2269</v>
      </c>
      <c r="G2" s="8" t="n">
        <v>0</v>
      </c>
      <c r="H2" s="8" t="n">
        <v>2547.092133087141</v>
      </c>
      <c r="I2" s="8" t="n">
        <v>2129.95393345643</v>
      </c>
      <c r="J2" t="inlineStr">
        <is>
          <t>2026-07-21</t>
        </is>
      </c>
      <c r="K2" s="8" t="n">
        <v>2540</v>
      </c>
      <c r="L2" s="8">
        <f>IF(M2="OPEN", 0, (K2-E2)*D2)</f>
        <v/>
      </c>
      <c r="M2" t="inlineStr">
        <is>
          <t>WIN</t>
        </is>
      </c>
      <c r="N2" t="inlineStr">
        <is>
          <t>Initial HSTS mock setup trade | Sold at target limit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80" customWidth="1" min="3" max="3"/>
  </cols>
  <sheetData>
    <row r="1">
      <c r="A1" s="7" t="inlineStr">
        <is>
          <t>Timestamp</t>
        </is>
      </c>
      <c r="B1" s="7" t="inlineStr">
        <is>
          <t>Level</t>
        </is>
      </c>
      <c r="C1" s="7" t="inlineStr">
        <is>
          <t>Message</t>
        </is>
      </c>
    </row>
    <row r="2">
      <c r="A2" t="inlineStr">
        <is>
          <t>2026-07-21 03:24:19</t>
        </is>
      </c>
      <c r="B2" t="inlineStr">
        <is>
          <t>INFO</t>
        </is>
      </c>
      <c r="C2" t="inlineStr">
        <is>
          <t>Recorded buy order: 10 shares of TCS at 2269.0</t>
        </is>
      </c>
    </row>
    <row r="3">
      <c r="A3" t="inlineStr">
        <is>
          <t>2026-07-21 03:24:31</t>
        </is>
      </c>
      <c r="B3" t="inlineStr">
        <is>
          <t>INFO</t>
        </is>
      </c>
      <c r="C3" t="inlineStr">
        <is>
          <t>Closed trade: TCS exited at 2540.0 (WIN)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2026-07-20T21:54:05Z</dcterms:created>
  <dcterms:modified xsi:type="dcterms:W3CDTF">2026-07-20T21:54:31Z</dcterms:modified>
</cp:coreProperties>
</file>