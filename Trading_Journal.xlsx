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9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0" fontId="24" fillId="12" borderId="0" pivotButton="0" quotePrefix="0" xfId="0"/>
    <xf numFmtId="164" fontId="0" fillId="0" borderId="0" pivotButton="0" quotePrefix="0" xfId="0"/>
    <xf numFmtId="0" fontId="0" fillId="15" borderId="0" applyAlignment="1" pivotButton="0" quotePrefix="0" xfId="0">
      <alignment vertical="bottom"/>
    </xf>
    <xf numFmtId="164" fontId="28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2026-08-20 09:22:13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825.7000122070312</v>
      </c>
      <c r="H4" s="89">
        <f>E4*G4</f>
        <v/>
      </c>
      <c r="I4" s="94">
        <f>H4-(E4*F4)</f>
        <v/>
      </c>
      <c r="J4" s="95">
        <f>IF(F4&gt;0, I4/(E4*F4), 0)</f>
        <v/>
      </c>
      <c r="K4" s="92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LENSKART</t>
        </is>
      </c>
      <c r="E5" s="88" t="n">
        <v>4</v>
      </c>
      <c r="F5" s="89" t="n">
        <v>605</v>
      </c>
      <c r="G5" s="89" t="n">
        <v>643.0999755859375</v>
      </c>
      <c r="H5" s="89">
        <f>E5*G5</f>
        <v/>
      </c>
      <c r="I5" s="94">
        <f>H5-(E5*F5)</f>
        <v/>
      </c>
      <c r="J5" s="95">
        <f>IF(F5&gt;0, I5/(E5*F5), 0)</f>
        <v/>
      </c>
      <c r="K5" s="92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3">
        <f>SUM(Ledger!M:M)</f>
        <v/>
      </c>
      <c r="C6" s="85" t="n"/>
      <c r="D6" s="87" t="inlineStr">
        <is>
          <t>OIL</t>
        </is>
      </c>
      <c r="E6" s="88" t="n">
        <v>4</v>
      </c>
      <c r="F6" s="89" t="n">
        <v>473</v>
      </c>
      <c r="G6" s="89" t="n">
        <v>470.9500122070312</v>
      </c>
      <c r="H6" s="89">
        <f>E6*G6</f>
        <v/>
      </c>
      <c r="I6" s="90">
        <f>H6-(E6*F6)</f>
        <v/>
      </c>
      <c r="J6" s="91">
        <f>IF(F6&gt;0, I6/(E6*F6), 0)</f>
        <v/>
      </c>
      <c r="K6" s="92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JAIBALAJI</t>
        </is>
      </c>
      <c r="E7" s="88" t="n">
        <v>8</v>
      </c>
      <c r="F7" s="89" t="n">
        <v>68.87</v>
      </c>
      <c r="G7" s="89" t="n">
        <v>66.69000244140625</v>
      </c>
      <c r="H7" s="89">
        <f>E7*G7</f>
        <v/>
      </c>
      <c r="I7" s="90">
        <f>H7-(E7*F7)</f>
        <v/>
      </c>
      <c r="J7" s="91">
        <f>IF(F7&gt;0, I7/(E7*F7), 0)</f>
        <v/>
      </c>
      <c r="K7" s="92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IOLCP</t>
        </is>
      </c>
      <c r="E8" s="88" t="n">
        <v>10</v>
      </c>
      <c r="F8" s="89" t="n">
        <v>166.02</v>
      </c>
      <c r="G8" s="89" t="n">
        <v>161.2599945068359</v>
      </c>
      <c r="H8" s="89">
        <f>E8*G8</f>
        <v/>
      </c>
      <c r="I8" s="90">
        <f>H8-(E8*F8)</f>
        <v/>
      </c>
      <c r="J8" s="91">
        <f>IF(F8&gt;0, I8/(E8*F8), 0)</f>
        <v/>
      </c>
      <c r="K8" s="92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BHARATSE</t>
        </is>
      </c>
      <c r="E9" s="88" t="n">
        <v>6</v>
      </c>
      <c r="F9" s="89" t="n">
        <v>245.25</v>
      </c>
      <c r="G9" s="89" t="n">
        <v>229.4400024414062</v>
      </c>
      <c r="H9" s="89">
        <f>E9*G9</f>
        <v/>
      </c>
      <c r="I9" s="90">
        <f>H9-(E9*F9)</f>
        <v/>
      </c>
      <c r="J9" s="91">
        <f>IF(F9&gt;0, I9/(E9*F9), 0)</f>
        <v/>
      </c>
      <c r="K9" s="92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HAPPSTMNDS</t>
        </is>
      </c>
      <c r="E10" s="88" t="n">
        <v>3</v>
      </c>
      <c r="F10" s="89" t="n">
        <v>426.8</v>
      </c>
      <c r="G10" s="89" t="n">
        <v>414.7000122070312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SUMPRODUCT((Ledger!N2:N5000="OPEN")*(Ledger!E2:E5000)*(Ledger!D2:D5000))</f>
        <v/>
      </c>
      <c r="C11" s="85" t="n"/>
      <c r="D11" s="87" t="inlineStr">
        <is>
          <t>ZEEMEDIA</t>
        </is>
      </c>
      <c r="E11" s="88" t="n">
        <v>150</v>
      </c>
      <c r="F11" s="89" t="n">
        <v>9.699999999999999</v>
      </c>
      <c r="G11" s="89" t="n">
        <v>9.25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109" t="n">
        <v>16093.36001586914</v>
      </c>
      <c r="C12" s="85" t="n"/>
      <c r="D12" s="87" t="inlineStr">
        <is>
          <t>GAYAPROJ-BE</t>
        </is>
      </c>
      <c r="E12" s="88" t="n">
        <v>100</v>
      </c>
      <c r="F12" s="89" t="n">
        <v>21.8</v>
      </c>
      <c r="G12" s="89" t="n">
        <v>21.8</v>
      </c>
      <c r="H12" s="89">
        <f>E12*G12</f>
        <v/>
      </c>
      <c r="I12" s="94">
        <f>H12-(E12*F12)</f>
        <v/>
      </c>
      <c r="J12" s="95">
        <f>IF(F12&gt;0, I12/(E12*F12), 0)</f>
        <v/>
      </c>
      <c r="K12" s="92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3258.8</v>
      </c>
      <c r="C13" s="85" t="n"/>
      <c r="D13" s="97" t="inlineStr">
        <is>
          <t>Total Portfolio</t>
        </is>
      </c>
      <c r="E13" s="98" t="inlineStr"/>
      <c r="F13" s="99" t="inlineStr"/>
      <c r="G13" s="99" t="inlineStr"/>
      <c r="H13" s="100">
        <f>SUM(H4:H12)</f>
        <v/>
      </c>
      <c r="I13" s="100">
        <f>SUM(I4:I12)</f>
        <v/>
      </c>
      <c r="J13" s="101">
        <f>IF((H13-I13)&gt;0, I13/(H13-I13), 0)</f>
        <v/>
      </c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9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101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5.451612903225806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2.538461538461538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7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-0.03594414797372594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1438.077878787879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7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80" t="inlineStr">
        <is>
          <t>IFGLEXPOR</t>
        </is>
      </c>
      <c r="B15" s="80" t="inlineStr">
        <is>
          <t>IFGLEXPOR</t>
        </is>
      </c>
      <c r="C15" s="80" t="inlineStr">
        <is>
          <t>2026-08-06</t>
        </is>
      </c>
      <c r="D15" s="80" t="n">
        <v>4</v>
      </c>
      <c r="E15" s="79" t="n">
        <v>219.6</v>
      </c>
      <c r="F15" s="79" t="n">
        <v>219.6</v>
      </c>
      <c r="G15" s="79" t="n">
        <v>0</v>
      </c>
      <c r="H15" s="79" t="n">
        <v>266.25</v>
      </c>
      <c r="I15" s="79" t="n">
        <v>219.6</v>
      </c>
      <c r="J15" s="80" t="inlineStr">
        <is>
          <t>1:2.0</t>
        </is>
      </c>
      <c r="K15" s="80" t="inlineStr">
        <is>
          <t>2026-08-18</t>
        </is>
      </c>
      <c r="L15" s="80" t="n">
        <v>218.97</v>
      </c>
      <c r="M15" s="79">
        <f>IF(OR(N16="WIN", N16="LOSS"), (L16-E16)*D16, 0)</f>
        <v/>
      </c>
      <c r="N15" s="80" t="inlineStr">
        <is>
          <t>LOSS</t>
        </is>
      </c>
      <c r="O15" s="80" t="inlineStr">
        <is>
          <t>Swing AMO placement. GTT Trigger: 330580516</t>
        </is>
      </c>
      <c r="P15" s="80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80" t="inlineStr">
        <is>
          <t>AEROENTER</t>
        </is>
      </c>
      <c r="B17" s="80" t="inlineStr">
        <is>
          <t>AEROENTER</t>
        </is>
      </c>
      <c r="C17" s="80" t="inlineStr">
        <is>
          <t>2026-08-06</t>
        </is>
      </c>
      <c r="D17" s="80" t="n">
        <v>8</v>
      </c>
      <c r="E17" s="79" t="n">
        <v>132.01</v>
      </c>
      <c r="F17" s="79" t="n">
        <v>132.01</v>
      </c>
      <c r="G17" s="79" t="n">
        <v>0</v>
      </c>
      <c r="H17" s="79" t="n">
        <v>159.05</v>
      </c>
      <c r="I17" s="79" t="n">
        <v>118.7</v>
      </c>
      <c r="J17" s="80" t="inlineStr">
        <is>
          <t>1:2.0</t>
        </is>
      </c>
      <c r="K17" s="80" t="inlineStr">
        <is>
          <t>2026-08-18</t>
        </is>
      </c>
      <c r="L17" s="80" t="n">
        <v>125.73</v>
      </c>
      <c r="M17" s="79">
        <f>IF(OR(N18="WIN", N18="LOSS"), (L18-E18)*D18, 0)</f>
        <v/>
      </c>
      <c r="N17" s="80" t="inlineStr">
        <is>
          <t>LOSS</t>
        </is>
      </c>
      <c r="O17" s="80" t="inlineStr">
        <is>
          <t>Swing AMO placement. GTT Trigger: 330580552</t>
        </is>
      </c>
      <c r="P17" s="80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80" t="inlineStr">
        <is>
          <t>MRPL</t>
        </is>
      </c>
      <c r="B23" s="80" t="inlineStr">
        <is>
          <t>MRPL</t>
        </is>
      </c>
      <c r="C23" s="80" t="inlineStr">
        <is>
          <t>2026-08-13</t>
        </is>
      </c>
      <c r="D23" s="80" t="n">
        <v>10</v>
      </c>
      <c r="E23" s="79" t="n">
        <v>174.7</v>
      </c>
      <c r="F23" s="79" t="n">
        <v>181.14</v>
      </c>
      <c r="G23" s="79" t="n">
        <v>-6.439999999999998</v>
      </c>
      <c r="H23" s="79" t="n">
        <v>213.09</v>
      </c>
      <c r="I23" s="79" t="n">
        <v>165.17</v>
      </c>
      <c r="J23" s="80" t="inlineStr">
        <is>
          <t>1:2.0</t>
        </is>
      </c>
      <c r="K23" s="80" t="n"/>
      <c r="L23" s="80" t="n"/>
      <c r="M23" s="79">
        <f>IF(OR(N23="WIN", N23="LOSS"), (L23-E23)*D23, 0)</f>
        <v/>
      </c>
      <c r="N23" s="80" t="inlineStr">
        <is>
          <t>LOSS</t>
        </is>
      </c>
      <c r="O23" s="80" t="inlineStr">
        <is>
          <t>Auto-added SWING via AI recommendation. SL: 165.17, TP: 213.09 (Orders pending 5:30 AM due to Zerodha AMO maintenance).</t>
        </is>
      </c>
      <c r="P23" s="80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10" t="n">
        <v>605</v>
      </c>
      <c r="F24" s="10" t="n">
        <v>589.2</v>
      </c>
      <c r="G24" s="10" t="n">
        <v>15.79999999999995</v>
      </c>
      <c r="H24" s="10" t="n">
        <v>646.8099999999999</v>
      </c>
      <c r="I24" s="10" t="n">
        <v>560.39</v>
      </c>
      <c r="J24" s="4" t="inlineStr">
        <is>
          <t>1:2.0</t>
        </is>
      </c>
      <c r="K24" s="4" t="n"/>
      <c r="L24" s="4" t="n"/>
      <c r="M24" s="10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0" t="inlineStr">
        <is>
          <t>HAPPSTMNDS</t>
        </is>
      </c>
      <c r="B31" s="0" t="inlineStr">
        <is>
          <t>Happiest Minds</t>
        </is>
      </c>
      <c r="C31" s="0" t="inlineStr">
        <is>
          <t>2026-08-18</t>
        </is>
      </c>
      <c r="D31" s="0" t="n">
        <v>3</v>
      </c>
      <c r="E31" s="0" t="n">
        <v>426.8</v>
      </c>
      <c r="F31" s="0" t="n">
        <v>426.8</v>
      </c>
      <c r="G31" s="0" t="inlineStr">
        <is>
          <t>HSTS</t>
        </is>
      </c>
      <c r="H31" s="0" t="n">
        <v>500</v>
      </c>
      <c r="I31" s="0" t="n">
        <v>400</v>
      </c>
      <c r="J31" s="4" t="n"/>
      <c r="K31" s="4" t="n"/>
      <c r="L31" s="4" t="n"/>
      <c r="M31" s="4" t="n"/>
      <c r="N31" s="0" t="inlineStr">
        <is>
          <t>OPEN</t>
        </is>
      </c>
      <c r="O31" s="4" t="n"/>
      <c r="P31" s="0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0" t="inlineStr">
        <is>
          <t>ZEEMEDIA</t>
        </is>
      </c>
      <c r="B32" s="0" t="inlineStr">
        <is>
          <t>Zee Media</t>
        </is>
      </c>
      <c r="C32" s="0" t="inlineStr">
        <is>
          <t>2026-08-18</t>
        </is>
      </c>
      <c r="D32" s="0" t="n">
        <v>150</v>
      </c>
      <c r="E32" s="0" t="n">
        <v>9.699999999999999</v>
      </c>
      <c r="F32" s="0" t="n">
        <v>9.699999999999999</v>
      </c>
      <c r="G32" s="0" t="inlineStr">
        <is>
          <t>HSTS</t>
        </is>
      </c>
      <c r="H32" s="0" t="n">
        <v>15</v>
      </c>
      <c r="I32" s="0" t="n">
        <v>8</v>
      </c>
      <c r="J32" s="4" t="n"/>
      <c r="K32" s="4" t="n"/>
      <c r="L32" s="4" t="n"/>
      <c r="M32" s="4" t="n"/>
      <c r="N32" s="0" t="inlineStr">
        <is>
          <t>OPEN</t>
        </is>
      </c>
      <c r="O32" s="4" t="n"/>
      <c r="P32" s="0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108" t="inlineStr">
        <is>
          <t>APEX</t>
        </is>
      </c>
      <c r="B33" s="108" t="inlineStr">
        <is>
          <t>Apex Frozen</t>
        </is>
      </c>
      <c r="C33" s="108" t="inlineStr">
        <is>
          <t>2026-08-18</t>
        </is>
      </c>
      <c r="D33" s="108" t="n">
        <v>3</v>
      </c>
      <c r="E33" s="108" t="n">
        <v>422.55</v>
      </c>
      <c r="F33" s="108" t="n">
        <v>422.55</v>
      </c>
      <c r="G33" s="108" t="inlineStr">
        <is>
          <t>HSTS</t>
        </is>
      </c>
      <c r="H33" s="108" t="n">
        <v>500</v>
      </c>
      <c r="I33" s="108" t="n">
        <v>400</v>
      </c>
      <c r="J33" s="80" t="n"/>
      <c r="K33" s="80" t="n"/>
      <c r="L33" s="80" t="n"/>
      <c r="M33" s="80" t="n"/>
      <c r="N33" s="108" t="inlineStr">
        <is>
          <t>LOSS</t>
        </is>
      </c>
      <c r="O33" s="80" t="n"/>
      <c r="P33" s="108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0" t="inlineStr">
        <is>
          <t>GAYAPROJ-BE</t>
        </is>
      </c>
      <c r="B34" s="0" t="inlineStr">
        <is>
          <t>Gayatri Projects</t>
        </is>
      </c>
      <c r="C34" s="0" t="inlineStr">
        <is>
          <t>2026-08-18</t>
        </is>
      </c>
      <c r="D34" s="0" t="n">
        <v>100</v>
      </c>
      <c r="E34" s="0" t="n">
        <v>21.8</v>
      </c>
      <c r="F34" s="0" t="n">
        <v>22.2</v>
      </c>
      <c r="G34" s="0" t="inlineStr">
        <is>
          <t>HSTS</t>
        </is>
      </c>
      <c r="H34" s="0" t="n">
        <v>26.55</v>
      </c>
      <c r="I34" s="0" t="n">
        <v>20</v>
      </c>
      <c r="J34" s="4" t="n"/>
      <c r="K34" s="4" t="n"/>
      <c r="L34" s="4" t="n"/>
      <c r="M34" s="4" t="n"/>
      <c r="N34" s="0" t="inlineStr">
        <is>
          <t>OPEN</t>
        </is>
      </c>
      <c r="O34" s="4" t="n"/>
      <c r="P34" s="0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n"/>
      <c r="B1001" s="60" t="n"/>
      <c r="C1001" s="60" t="n"/>
      <c r="D1001" s="60" t="n"/>
      <c r="F1001" s="60" t="n"/>
      <c r="G1001" s="60" t="n"/>
      <c r="M1001" s="60" t="n"/>
      <c r="N1001" s="4" t="n"/>
      <c r="O1001" s="4" t="n"/>
      <c r="P1001" s="4" t="n"/>
    </row>
    <row r="1002" ht="15.75" customHeight="1" s="61">
      <c r="A1002" s="60" t="n"/>
      <c r="B1002" s="60" t="n"/>
      <c r="C1002" s="60" t="n"/>
      <c r="D1002" s="60" t="n"/>
      <c r="F1002" s="60" t="n"/>
      <c r="G1002" s="60" t="n"/>
      <c r="M1002" s="60" t="n"/>
      <c r="N1002" s="4" t="n"/>
      <c r="O1002" s="4" t="n"/>
      <c r="P1002" s="4" t="n"/>
    </row>
    <row r="1003" ht="15.75" customHeight="1" s="61">
      <c r="A1003" s="60" t="n"/>
      <c r="B1003" s="60" t="n"/>
      <c r="C1003" s="60" t="n"/>
      <c r="D1003" s="60" t="n"/>
      <c r="F1003" s="60" t="n"/>
      <c r="G1003" s="60" t="n"/>
      <c r="M1003" s="60" t="n"/>
      <c r="N1003" s="4" t="n"/>
      <c r="O1003" s="4" t="n"/>
      <c r="P1003" s="4" t="n"/>
    </row>
    <row r="1004">
      <c r="A1004" s="0" t="n"/>
      <c r="B1004" s="0" t="n"/>
      <c r="C1004" s="0" t="n"/>
      <c r="D1004" s="0" t="n"/>
      <c r="E1004" s="0" t="n"/>
      <c r="F1004" s="0" t="n"/>
      <c r="G1004" s="0" t="n"/>
      <c r="H1004" s="0" t="n"/>
      <c r="I1004" s="0" t="n"/>
      <c r="N1004" s="0" t="n"/>
      <c r="P1004" s="0" t="n"/>
    </row>
    <row r="1005">
      <c r="A1005" s="0" t="n"/>
      <c r="B1005" s="0" t="n"/>
      <c r="C1005" s="0" t="n"/>
      <c r="D1005" s="0" t="n"/>
      <c r="E1005" s="0" t="n"/>
      <c r="F1005" s="0" t="n"/>
      <c r="G1005" s="0" t="n"/>
      <c r="H1005" s="0" t="n"/>
      <c r="I1005" s="0" t="n"/>
      <c r="N1005" s="0" t="n"/>
      <c r="P1005" s="0" t="n"/>
    </row>
    <row r="1006">
      <c r="A1006" s="0" t="n"/>
      <c r="B1006" s="0" t="n"/>
      <c r="C1006" s="0" t="n"/>
      <c r="D1006" s="0" t="n"/>
      <c r="E1006" s="0" t="n"/>
      <c r="F1006" s="0" t="n"/>
      <c r="G1006" s="0" t="n"/>
      <c r="H1006" s="0" t="n"/>
      <c r="I1006" s="0" t="n"/>
      <c r="N1006" s="0" t="n"/>
      <c r="P1006" s="0" t="n"/>
    </row>
    <row r="1007">
      <c r="A1007" s="0" t="n"/>
      <c r="B1007" s="0" t="n"/>
      <c r="C1007" s="0" t="n"/>
      <c r="D1007" s="0" t="n"/>
      <c r="E1007" s="0" t="n"/>
      <c r="F1007" s="0" t="n"/>
      <c r="G1007" s="0" t="n"/>
      <c r="H1007" s="0" t="n"/>
      <c r="I1007" s="0" t="n"/>
      <c r="N1007" s="0" t="n"/>
      <c r="P1007" s="0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5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  <row r="1015">
      <c r="A1015" s="0" t="inlineStr">
        <is>
          <t>2026-08-18</t>
        </is>
      </c>
      <c r="B1015" s="0" t="inlineStr">
        <is>
          <t>WITHDRAWAL</t>
        </is>
      </c>
      <c r="C1015" s="107" t="n">
        <v>2.62</v>
      </c>
      <c r="D1015" s="0" t="inlineStr">
        <is>
          <t>Brokerage &amp; taxes on GAYAPROJ-BE BUY (100 qty @ 21.80)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2026-08-20T03:52:13Z</dcterms:modified>
</cp:coreProperties>
</file>