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2026-08-17 12:02:42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1277.800048828125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H4/H14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1610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H5/H14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549.3499755859375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H6/H14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117.0599975585938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H7/H14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218.9700012207031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H8/H14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SAPPHIRE</t>
        </is>
      </c>
      <c r="E9" s="80" t="n">
        <v>4</v>
      </c>
      <c r="F9" s="81" t="n">
        <v>202.5</v>
      </c>
      <c r="G9" s="81" t="n">
        <v>234.6799926757812</v>
      </c>
      <c r="H9" s="81">
        <f>E9*G9</f>
        <v/>
      </c>
      <c r="I9" s="82">
        <f>H9-(E9*F9)</f>
        <v/>
      </c>
      <c r="J9" s="83">
        <f>IF(F9&gt;0, I9/(E9*F9), 0)</f>
        <v/>
      </c>
      <c r="K9" s="84">
        <f>H9/H14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AEROENTER</t>
        </is>
      </c>
      <c r="E10" s="80" t="n">
        <v>8</v>
      </c>
      <c r="F10" s="81" t="n">
        <v>132.01</v>
      </c>
      <c r="G10" s="81" t="n">
        <v>125.7300033569336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H10/H14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HARSHA</t>
        </is>
      </c>
      <c r="E11" s="80" t="n">
        <v>3</v>
      </c>
      <c r="F11" s="81" t="n">
        <v>432.6</v>
      </c>
      <c r="G11" s="81" t="n">
        <v>425.6000061035156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H11/H14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11339.73010253906</v>
      </c>
      <c r="C12" s="77" t="n"/>
      <c r="D12" s="79" t="inlineStr">
        <is>
          <t>CONFIPET</t>
        </is>
      </c>
      <c r="E12" s="80" t="n">
        <v>10</v>
      </c>
      <c r="F12" s="81" t="n">
        <v>82.73999999999999</v>
      </c>
      <c r="G12" s="81" t="n">
        <v>72.55000305175781</v>
      </c>
      <c r="H12" s="81">
        <f>E12*G12</f>
        <v/>
      </c>
      <c r="I12" s="87">
        <f>H12-(E12*F12)</f>
        <v/>
      </c>
      <c r="J12" s="88">
        <f>IF(F12&gt;0, I12/(E12*F12), 0)</f>
        <v/>
      </c>
      <c r="K12" s="84">
        <f>H12/H14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3928.2</v>
      </c>
      <c r="C13" s="77" t="n"/>
      <c r="D13" s="79" t="inlineStr">
        <is>
          <t>BEL</t>
        </is>
      </c>
      <c r="E13" s="80" t="n">
        <v>5</v>
      </c>
      <c r="F13" s="81" t="n">
        <v>405.85</v>
      </c>
      <c r="G13" s="81" t="n">
        <v>412.4500122070312</v>
      </c>
      <c r="H13" s="81">
        <f>E13*G13</f>
        <v/>
      </c>
      <c r="I13" s="82">
        <f>H13-(E13*F13)</f>
        <v/>
      </c>
      <c r="J13" s="83">
        <f>IF(F13&gt;0, I13/(E13*F13), 0)</f>
        <v/>
      </c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89" t="inlineStr">
        <is>
          <t>Total Portfolio</t>
        </is>
      </c>
      <c r="E14" s="98" t="inlineStr"/>
      <c r="F14" s="99" t="inlineStr"/>
      <c r="G14" s="99" t="inlineStr"/>
      <c r="H14" s="92">
        <f>SUM(H4:H13)</f>
        <v/>
      </c>
      <c r="I14" s="92">
        <f>SUM(I4:I13)</f>
        <v/>
      </c>
      <c r="J14" s="93">
        <f>IF((H14-I14)&gt;0, I14/(H14-I14), 0)</f>
        <v/>
      </c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7.85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6.25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77" t="n"/>
      <c r="B31" s="77" t="n"/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77" t="n"/>
      <c r="B32" s="77" t="n"/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SAPPHIRE</t>
        </is>
      </c>
      <c r="B16" s="4" t="inlineStr">
        <is>
          <t>SAPPHIRE</t>
        </is>
      </c>
      <c r="C16" s="4" t="inlineStr">
        <is>
          <t>2026-08-06</t>
        </is>
      </c>
      <c r="D16" s="4" t="n">
        <v>4</v>
      </c>
      <c r="E16" s="6" t="n">
        <v>202.5</v>
      </c>
      <c r="F16" s="6" t="n">
        <v>202.5</v>
      </c>
      <c r="G16" s="6" t="n">
        <v>0</v>
      </c>
      <c r="H16" s="6" t="n">
        <v>238.85</v>
      </c>
      <c r="I16" s="6" t="n">
        <v>184.35</v>
      </c>
      <c r="J16" s="4" t="inlineStr">
        <is>
          <t>1:2.0</t>
        </is>
      </c>
      <c r="K16" s="4" t="n"/>
      <c r="L16" s="4" t="n"/>
      <c r="M16" s="6">
        <f>IF(OR(N17="WIN", N17="LOSS"), (L17-E17)*D17, 0)</f>
        <v/>
      </c>
      <c r="N16" s="4" t="inlineStr">
        <is>
          <t>OPEN</t>
        </is>
      </c>
      <c r="O16" s="4" t="inlineStr">
        <is>
          <t>Swing AMO placement. GTT Trigger: 330580530</t>
        </is>
      </c>
      <c r="P16" s="4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HARSHA</t>
        </is>
      </c>
      <c r="B19" s="4" t="inlineStr">
        <is>
          <t>Harsha Engineers International Limited</t>
        </is>
      </c>
      <c r="C19" s="4" t="inlineStr">
        <is>
          <t>2026-08-11</t>
        </is>
      </c>
      <c r="D19" s="4" t="n">
        <v>3</v>
      </c>
      <c r="E19" s="6" t="n">
        <v>432.6</v>
      </c>
      <c r="F19" s="6" t="n">
        <v>432.6</v>
      </c>
      <c r="G19" s="6" t="n">
        <v>0</v>
      </c>
      <c r="H19" s="6" t="n">
        <v>480.15</v>
      </c>
      <c r="I19" s="6" t="n">
        <v>408.85</v>
      </c>
      <c r="J19" s="4" t="inlineStr">
        <is>
          <t>1:2.0</t>
        </is>
      </c>
      <c r="K19" s="4" t="n"/>
      <c r="L19" s="4" t="n"/>
      <c r="M19" s="6">
        <f>IF(OR(N19="WIN", N19="LOSS"), (L19-E19)*D19, 0)</f>
        <v/>
      </c>
      <c r="N19" s="4" t="inlineStr">
        <is>
          <t>OPEN</t>
        </is>
      </c>
      <c r="O19" s="4" t="inlineStr">
        <is>
          <t>AMO Swing Trade. GTT Trigger: 331229921</t>
        </is>
      </c>
      <c r="P19" s="4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CONFIPET</t>
        </is>
      </c>
      <c r="B20" s="4" t="inlineStr">
        <is>
          <t>Confidence Petroleum India Limited</t>
        </is>
      </c>
      <c r="C20" s="4" t="inlineStr">
        <is>
          <t>2026-08-11</t>
        </is>
      </c>
      <c r="D20" s="4" t="n">
        <v>10</v>
      </c>
      <c r="E20" s="6" t="n">
        <v>82.73999999999999</v>
      </c>
      <c r="F20" s="6" t="n">
        <v>82.73999999999999</v>
      </c>
      <c r="G20" s="6" t="n">
        <v>0</v>
      </c>
      <c r="H20" s="6" t="n">
        <v>99.31</v>
      </c>
      <c r="I20" s="6" t="n">
        <v>74.45</v>
      </c>
      <c r="J20" s="4" t="inlineStr">
        <is>
          <t>1:2.0</t>
        </is>
      </c>
      <c r="K20" s="4" t="n"/>
      <c r="L20" s="4" t="n"/>
      <c r="M20" s="6">
        <f>IF(OR(N20="WIN", N20="LOSS"), (L20-E20)*D20, 0)</f>
        <v/>
      </c>
      <c r="N20" s="4" t="inlineStr">
        <is>
          <t>OPEN</t>
        </is>
      </c>
      <c r="O20" s="4" t="inlineStr">
        <is>
          <t>AMO Swing Trade. GTT Trigger: 10002</t>
        </is>
      </c>
      <c r="P20" s="4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405.85</v>
      </c>
      <c r="G21" s="6" t="n">
        <v>0</v>
      </c>
      <c r="H21" s="6" t="n">
        <v>418.75</v>
      </c>
      <c r="I21" s="6" t="n">
        <v>399.4</v>
      </c>
      <c r="J21" s="4" t="inlineStr">
        <is>
          <t>1:2.0</t>
        </is>
      </c>
      <c r="K21" s="4" t="inlineStr"/>
      <c r="L21" s="4" t="inlineStr"/>
      <c r="M21" s="6">
        <f>IF(OR(N21="WIN", N21="LOSS"), (L21-E21)*D21, 0)</f>
        <v/>
      </c>
      <c r="N21" s="4" t="inlineStr">
        <is>
          <t>OPEN</t>
        </is>
      </c>
      <c r="O21" s="4" t="inlineStr">
        <is>
          <t>Intraday AMO placement. GTT Trigger: 331431140</t>
        </is>
      </c>
      <c r="P21" s="4" t="inlineStr">
        <is>
          <t>INTRADAY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IF(OR(N27="WIN", N27="LOSS"), (L27-E27)*D27, 0)</f>
        <v/>
      </c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IF(OR(N28="WIN", N28="LOSS"), (L28-E28)*D28,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IF(OR(N29="WIN", N29="LOSS"), (L29-E29)*D29,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IF(OR(N30="WIN", N30="LOSS"), (L30-E30)*D30,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IF(OR(N31="WIN", N31="LOSS"), (L31-E31)*D31,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IF(OR(N32="WIN", N32="LOSS"), (L32-E32)*D32,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IF(OR(N33="WIN", N33="LOSS"), (L33-E33)*D33,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IF(OR(N34="WIN", N34="LOSS"), (L34-E34)*D34,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IF(OR(N35="WIN", N35="LOSS"), (L35-E35)*D35,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IF(OR(N36="WIN", N36="LOSS"), (L36-E36)*D36,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IF(OR(N37="WIN", N37="LOSS"), (L37-E37)*D37,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IF(OR(N38="WIN", N38="LOSS"), (L38-E38)*D38,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IF(OR(N39="WIN", N39="LOSS"), (L39-E39)*D39,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IF(OR(N40="WIN", N40="LOSS"), (L40-E40)*D40,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IF(OR(N41="WIN", N41="LOSS"), (L41-E41)*D41,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IF(OR(N42="WIN", N42="LOSS"), (L42-E42)*D42,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IF(OR(N43="WIN", N43="LOSS"), (L43-E43)*D43,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IF(OR(N44="WIN", N44="LOSS"), (L44-E44)*D44,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IF(OR(N45="WIN", N45="LOSS"), (L45-E45)*D45,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IF(OR(N46="WIN", N46="LOSS"), (L46-E46)*D46,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IF(OR(N47="WIN", N47="LOSS"), (L47-E47)*D47,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IF(OR(N48="WIN", N48="LOSS"), (L48-E48)*D48,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IF(OR(N49="WIN", N49="LOSS"), (L49-E49)*D49,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IF(OR(N50="WIN", N50="LOSS"), (L50-E50)*D50,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IF(OR(N51="WIN", N51="LOSS"), (L51-E51)*D51,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IF(OR(N52="WIN", N52="LOSS"), (L52-E52)*D52,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IF(OR(N53="WIN", N53="LOSS"), (L53-E53)*D53,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IF(OR(N54="WIN", N54="LOSS"), (L54-E54)*D54,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IF(OR(N55="WIN", N55="LOSS"), (L55-E55)*D55,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IF(OR(N56="WIN", N56="LOSS"), (L56-E56)*D56,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IF(OR(N57="WIN", N57="LOSS"), (L57-E57)*D57,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IF(OR(N58="WIN", N58="LOSS"), (L58-E58)*D58,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IF(OR(N59="WIN", N59="LOSS"), (L59-E59)*D59,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IF(OR(N60="WIN", N60="LOSS"), (L60-E60)*D60,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IF(OR(N61="WIN", N61="LOSS"), (L61-E61)*D61,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IF(OR(N62="WIN", N62="LOSS"), (L62-E62)*D62,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IF(OR(N63="WIN", N63="LOSS"), (L63-E63)*D63,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IF(OR(N64="WIN", N64="LOSS"), (L64-E64)*D64,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IF(OR(N65="WIN", N65="LOSS"), (L65-E65)*D65,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IF(OR(N66="WIN", N66="LOSS"), (L66-E66)*D66,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IF(OR(N67="WIN", N67="LOSS"), (L67-E67)*D67,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IF(OR(N68="WIN", N68="LOSS"), (L68-E68)*D68,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IF(OR(N69="WIN", N69="LOSS"), (L69-E69)*D69,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IF(OR(N70="WIN", N70="LOSS"), (L70-E70)*D70,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IF(OR(N71="WIN", N71="LOSS"), (L71-E71)*D71,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IF(OR(N72="WIN", N72="LOSS"), (L72-E72)*D72,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IF(OR(N73="WIN", N73="LOSS"), (L73-E73)*D73,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IF(OR(N74="WIN", N74="LOSS"), (L74-E74)*D74,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IF(OR(N75="WIN", N75="LOSS"), (L75-E75)*D75,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IF(OR(N76="WIN", N76="LOSS"), (L76-E76)*D76,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IF(OR(N77="WIN", N77="LOSS"), (L77-E77)*D77,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IF(OR(N78="WIN", N78="LOSS"), (L78-E78)*D78,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IF(OR(N79="WIN", N79="LOSS"), (L79-E79)*D79,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IF(OR(N80="WIN", N80="LOSS"), (L80-E80)*D80,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IF(OR(N81="WIN", N81="LOSS"), (L81-E81)*D81,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IF(OR(N82="WIN", N82="LOSS"), (L82-E82)*D82,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IF(OR(N83="WIN", N83="LOSS"), (L83-E83)*D83,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IF(OR(N84="WIN", N84="LOSS"), (L84-E84)*D84,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IF(OR(N85="WIN", N85="LOSS"), (L85-E85)*D85,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IF(OR(N86="WIN", N86="LOSS"), (L86-E86)*D86,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IF(OR(N87="WIN", N87="LOSS"), (L87-E87)*D87,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IF(OR(N88="WIN", N88="LOSS"), (L88-E88)*D88,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IF(OR(N89="WIN", N89="LOSS"), (L89-E89)*D89,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IF(OR(N90="WIN", N90="LOSS"), (L90-E90)*D90,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IF(OR(N91="WIN", N91="LOSS"), (L91-E91)*D91,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IF(OR(N92="WIN", N92="LOSS"), (L92-E92)*D92,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IF(OR(N93="WIN", N93="LOSS"), (L93-E93)*D93,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IF(OR(N94="WIN", N94="LOSS"), (L94-E94)*D94,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IF(OR(N95="WIN", N95="LOSS"), (L95-E95)*D95,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IF(OR(N96="WIN", N96="LOSS"), (L96-E96)*D96,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IF(OR(N97="WIN", N97="LOSS"), (L97-E97)*D97,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IF(OR(N98="WIN", N98="LOSS"), (L98-E98)*D98,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IF(OR(N99="WIN", N99="LOSS"), (L99-E99)*D99,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IF(OR(N100="WIN", N100="LOSS"), (L100-E100)*D100,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IF(OR(N101="WIN", N101="LOSS"), (L101-E101)*D101,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IF(OR(N102="WIN", N102="LOSS"), (L102-E102)*D102,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IF(OR(N103="WIN", N103="LOSS"), (L103-E103)*D103,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IF(OR(N104="WIN", N104="LOSS"), (L104-E104)*D104,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IF(OR(N105="WIN", N105="LOSS"), (L105-E105)*D105,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IF(OR(N106="WIN", N106="LOSS"), (L106-E106)*D106,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IF(OR(N107="WIN", N107="LOSS"), (L107-E107)*D107,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IF(OR(N108="WIN", N108="LOSS"), (L108-E108)*D108,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IF(OR(N109="WIN", N109="LOSS"), (L109-E109)*D109,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IF(OR(N110="WIN", N110="LOSS"), (L110-E110)*D110,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IF(OR(N111="WIN", N111="LOSS"), (L111-E111)*D111,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IF(OR(N112="WIN", N112="LOSS"), (L112-E112)*D112,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IF(OR(N113="WIN", N113="LOSS"), (L113-E113)*D113,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IF(OR(N114="WIN", N114="LOSS"), (L114-E114)*D114,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IF(OR(N115="WIN", N115="LOSS"), (L115-E115)*D115,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IF(OR(N116="WIN", N116="LOSS"), (L116-E116)*D116,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IF(OR(N117="WIN", N117="LOSS"), (L117-E117)*D117,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IF(OR(N118="WIN", N118="LOSS"), (L118-E118)*D118,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IF(OR(N119="WIN", N119="LOSS"), (L119-E119)*D119,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IF(OR(N120="WIN", N120="LOSS"), (L120-E120)*D120,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IF(OR(N121="WIN", N121="LOSS"), (L121-E121)*D121,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IF(OR(N122="WIN", N122="LOSS"), (L122-E122)*D122,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IF(OR(N123="WIN", N123="LOSS"), (L123-E123)*D123,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IF(OR(N124="WIN", N124="LOSS"), (L124-E124)*D124,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IF(OR(N125="WIN", N125="LOSS"), (L125-E125)*D125,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IF(OR(N126="WIN", N126="LOSS"), (L126-E126)*D126,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IF(OR(N127="WIN", N127="LOSS"), (L127-E127)*D127,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IF(OR(N128="WIN", N128="LOSS"), (L128-E128)*D128,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IF(OR(N129="WIN", N129="LOSS"), (L129-E129)*D129,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IF(OR(N130="WIN", N130="LOSS"), (L130-E130)*D130,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IF(OR(N131="WIN", N131="LOSS"), (L131-E131)*D131,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IF(OR(N132="WIN", N132="LOSS"), (L132-E132)*D132,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IF(OR(N133="WIN", N133="LOSS"), (L133-E133)*D133,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IF(OR(N134="WIN", N134="LOSS"), (L134-E134)*D134,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IF(OR(N135="WIN", N135="LOSS"), (L135-E135)*D135,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IF(OR(N136="WIN", N136="LOSS"), (L136-E136)*D136,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IF(OR(N137="WIN", N137="LOSS"), (L137-E137)*D137,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IF(OR(N138="WIN", N138="LOSS"), (L138-E138)*D138,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IF(OR(N139="WIN", N139="LOSS"), (L139-E139)*D139,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IF(OR(N140="WIN", N140="LOSS"), (L140-E140)*D140,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IF(OR(N141="WIN", N141="LOSS"), (L141-E141)*D141,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IF(OR(N142="WIN", N142="LOSS"), (L142-E142)*D142,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IF(OR(N143="WIN", N143="LOSS"), (L143-E143)*D143,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IF(OR(N144="WIN", N144="LOSS"), (L144-E144)*D144,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IF(OR(N145="WIN", N145="LOSS"), (L145-E145)*D145,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IF(OR(N146="WIN", N146="LOSS"), (L146-E146)*D146,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IF(OR(N147="WIN", N147="LOSS"), (L147-E147)*D147,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IF(OR(N148="WIN", N148="LOSS"), (L148-E148)*D148,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IF(OR(N149="WIN", N149="LOSS"), (L149-E149)*D149,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IF(OR(N150="WIN", N150="LOSS"), (L150-E150)*D150,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IF(OR(N151="WIN", N151="LOSS"), (L151-E151)*D151,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IF(OR(N152="WIN", N152="LOSS"), (L152-E152)*D152,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IF(OR(N153="WIN", N153="LOSS"), (L153-E153)*D153,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IF(OR(N154="WIN", N154="LOSS"), (L154-E154)*D154,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IF(OR(N155="WIN", N155="LOSS"), (L155-E155)*D155,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IF(OR(N156="WIN", N156="LOSS"), (L156-E156)*D156,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IF(OR(N157="WIN", N157="LOSS"), (L157-E157)*D157,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IF(OR(N158="WIN", N158="LOSS"), (L158-E158)*D158,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IF(OR(N159="WIN", N159="LOSS"), (L159-E159)*D159,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IF(OR(N160="WIN", N160="LOSS"), (L160-E160)*D160,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IF(OR(N161="WIN", N161="LOSS"), (L161-E161)*D161,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IF(OR(N162="WIN", N162="LOSS"), (L162-E162)*D162,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IF(OR(N163="WIN", N163="LOSS"), (L163-E163)*D163,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IF(OR(N164="WIN", N164="LOSS"), (L164-E164)*D164,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IF(OR(N165="WIN", N165="LOSS"), (L165-E165)*D165,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IF(OR(N166="WIN", N166="LOSS"), (L166-E166)*D166,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IF(OR(N167="WIN", N167="LOSS"), (L167-E167)*D167,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IF(OR(N168="WIN", N168="LOSS"), (L168-E168)*D168,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IF(OR(N169="WIN", N169="LOSS"), (L169-E169)*D169,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IF(OR(N170="WIN", N170="LOSS"), (L170-E170)*D170,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IF(OR(N171="WIN", N171="LOSS"), (L171-E171)*D171,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IF(OR(N172="WIN", N172="LOSS"), (L172-E172)*D172,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IF(OR(N173="WIN", N173="LOSS"), (L173-E173)*D173,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IF(OR(N174="WIN", N174="LOSS"), (L174-E174)*D174,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IF(OR(N175="WIN", N175="LOSS"), (L175-E175)*D175,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IF(OR(N176="WIN", N176="LOSS"), (L176-E176)*D176,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IF(OR(N177="WIN", N177="LOSS"), (L177-E177)*D177,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IF(OR(N178="WIN", N178="LOSS"), (L178-E178)*D178,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IF(OR(N179="WIN", N179="LOSS"), (L179-E179)*D179,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IF(OR(N180="WIN", N180="LOSS"), (L180-E180)*D180,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IF(OR(N181="WIN", N181="LOSS"), (L181-E181)*D181,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IF(OR(N182="WIN", N182="LOSS"), (L182-E182)*D182,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IF(OR(N183="WIN", N183="LOSS"), (L183-E183)*D183,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IF(OR(N184="WIN", N184="LOSS"), (L184-E184)*D184,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IF(OR(N185="WIN", N185="LOSS"), (L185-E185)*D185,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IF(OR(N186="WIN", N186="LOSS"), (L186-E186)*D186,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IF(OR(N187="WIN", N187="LOSS"), (L187-E187)*D187,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IF(OR(N188="WIN", N188="LOSS"), (L188-E188)*D188,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IF(OR(N189="WIN", N189="LOSS"), (L189-E189)*D189,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IF(OR(N190="WIN", N190="LOSS"), (L190-E190)*D190,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IF(OR(N191="WIN", N191="LOSS"), (L191-E191)*D191,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IF(OR(N192="WIN", N192="LOSS"), (L192-E192)*D192,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IF(OR(N193="WIN", N193="LOSS"), (L193-E193)*D193,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IF(OR(N194="WIN", N194="LOSS"), (L194-E194)*D194,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IF(OR(N195="WIN", N195="LOSS"), (L195-E195)*D195,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IF(OR(N196="WIN", N196="LOSS"), (L196-E196)*D196,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IF(OR(N197="WIN", N197="LOSS"), (L197-E197)*D197,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IF(OR(N198="WIN", N198="LOSS"), (L198-E198)*D198,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IF(OR(N199="WIN", N199="LOSS"), (L199-E199)*D199,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IF(OR(N200="WIN", N200="LOSS"), (L200-E200)*D200,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IF(OR(N201="WIN", N201="LOSS"), (L201-E201)*D201,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IF(OR(N202="WIN", N202="LOSS"), (L202-E202)*D202,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IF(OR(N203="WIN", N203="LOSS"), (L203-E203)*D203,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IF(OR(N204="WIN", N204="LOSS"), (L204-E204)*D204,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IF(OR(N205="WIN", N205="LOSS"), (L205-E205)*D205,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IF(OR(N206="WIN", N206="LOSS"), (L206-E206)*D206,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IF(OR(N207="WIN", N207="LOSS"), (L207-E207)*D207,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IF(OR(N208="WIN", N208="LOSS"), (L208-E208)*D208,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IF(OR(N209="WIN", N209="LOSS"), (L209-E209)*D209,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IF(OR(N210="WIN", N210="LOSS"), (L210-E210)*D210,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IF(OR(N211="WIN", N211="LOSS"), (L211-E211)*D211,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IF(OR(N212="WIN", N212="LOSS"), (L212-E212)*D212,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IF(OR(N213="WIN", N213="LOSS"), (L213-E213)*D213,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IF(OR(N214="WIN", N214="LOSS"), (L214-E214)*D214,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IF(OR(N215="WIN", N215="LOSS"), (L215-E215)*D215,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IF(OR(N216="WIN", N216="LOSS"), (L216-E216)*D216,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IF(OR(N217="WIN", N217="LOSS"), (L217-E217)*D217,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IF(OR(N218="WIN", N218="LOSS"), (L218-E218)*D218,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IF(OR(N219="WIN", N219="LOSS"), (L219-E219)*D219,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IF(OR(N220="WIN", N220="LOSS"), (L220-E220)*D220,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IF(OR(N221="WIN", N221="LOSS"), (L221-E221)*D221,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IF(OR(N222="WIN", N222="LOSS"), (L222-E222)*D222,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IF(OR(N223="WIN", N223="LOSS"), (L223-E223)*D223,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IF(OR(N224="WIN", N224="LOSS"), (L224-E224)*D224,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IF(OR(N225="WIN", N225="LOSS"), (L225-E225)*D225,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IF(OR(N226="WIN", N226="LOSS"), (L226-E226)*D226,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IF(OR(N227="WIN", N227="LOSS"), (L227-E227)*D227,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IF(OR(N228="WIN", N228="LOSS"), (L228-E228)*D228,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IF(OR(N229="WIN", N229="LOSS"), (L229-E229)*D229,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IF(OR(N230="WIN", N230="LOSS"), (L230-E230)*D230,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IF(OR(N231="WIN", N231="LOSS"), (L231-E231)*D231,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IF(OR(N232="WIN", N232="LOSS"), (L232-E232)*D232,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IF(OR(N233="WIN", N233="LOSS"), (L233-E233)*D233,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IF(OR(N234="WIN", N234="LOSS"), (L234-E234)*D234,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IF(OR(N235="WIN", N235="LOSS"), (L235-E235)*D235,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IF(OR(N236="WIN", N236="LOSS"), (L236-E236)*D236,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IF(OR(N237="WIN", N237="LOSS"), (L237-E237)*D237,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IF(OR(N238="WIN", N238="LOSS"), (L238-E238)*D238,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IF(OR(N239="WIN", N239="LOSS"), (L239-E239)*D239,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IF(OR(N240="WIN", N240="LOSS"), (L240-E240)*D240,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IF(OR(N241="WIN", N241="LOSS"), (L241-E241)*D241,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IF(OR(N242="WIN", N242="LOSS"), (L242-E242)*D242,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IF(OR(N243="WIN", N243="LOSS"), (L243-E243)*D243,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IF(OR(N244="WIN", N244="LOSS"), (L244-E244)*D244,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IF(OR(N245="WIN", N245="LOSS"), (L245-E245)*D245,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IF(OR(N246="WIN", N246="LOSS"), (L246-E246)*D246,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IF(OR(N247="WIN", N247="LOSS"), (L247-E247)*D247,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IF(OR(N248="WIN", N248="LOSS"), (L248-E248)*D248,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IF(OR(N249="WIN", N249="LOSS"), (L249-E249)*D249,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IF(OR(N250="WIN", N250="LOSS"), (L250-E250)*D250,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IF(OR(N251="WIN", N251="LOSS"), (L251-E251)*D251,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IF(OR(N252="WIN", N252="LOSS"), (L252-E252)*D252,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IF(OR(N253="WIN", N253="LOSS"), (L253-E253)*D253,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IF(OR(N254="WIN", N254="LOSS"), (L254-E254)*D254,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IF(OR(N255="WIN", N255="LOSS"), (L255-E255)*D255,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IF(OR(N256="WIN", N256="LOSS"), (L256-E256)*D256,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IF(OR(N257="WIN", N257="LOSS"), (L257-E257)*D257,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IF(OR(N258="WIN", N258="LOSS"), (L258-E258)*D258,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IF(OR(N259="WIN", N259="LOSS"), (L259-E259)*D259,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IF(OR(N260="WIN", N260="LOSS"), (L260-E260)*D260,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IF(OR(N261="WIN", N261="LOSS"), (L261-E261)*D261,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IF(OR(N262="WIN", N262="LOSS"), (L262-E262)*D262,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IF(OR(N263="WIN", N263="LOSS"), (L263-E263)*D263,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IF(OR(N264="WIN", N264="LOSS"), (L264-E264)*D264,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IF(OR(N265="WIN", N265="LOSS"), (L265-E265)*D265,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IF(OR(N266="WIN", N266="LOSS"), (L266-E266)*D266,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IF(OR(N267="WIN", N267="LOSS"), (L267-E267)*D267,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IF(OR(N268="WIN", N268="LOSS"), (L268-E268)*D268,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IF(OR(N269="WIN", N269="LOSS"), (L269-E269)*D269,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IF(OR(N270="WIN", N270="LOSS"), (L270-E270)*D270,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IF(OR(N271="WIN", N271="LOSS"), (L271-E271)*D271,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IF(OR(N272="WIN", N272="LOSS"), (L272-E272)*D272,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IF(OR(N273="WIN", N273="LOSS"), (L273-E273)*D273,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IF(OR(N274="WIN", N274="LOSS"), (L274-E274)*D274,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IF(OR(N275="WIN", N275="LOSS"), (L275-E275)*D275,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IF(OR(N276="WIN", N276="LOSS"), (L276-E276)*D276,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IF(OR(N277="WIN", N277="LOSS"), (L277-E277)*D277,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IF(OR(N278="WIN", N278="LOSS"), (L278-E278)*D278,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IF(OR(N279="WIN", N279="LOSS"), (L279-E279)*D279,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IF(OR(N280="WIN", N280="LOSS"), (L280-E280)*D280,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IF(OR(N281="WIN", N281="LOSS"), (L281-E281)*D281,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IF(OR(N282="WIN", N282="LOSS"), (L282-E282)*D282,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IF(OR(N283="WIN", N283="LOSS"), (L283-E283)*D283,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IF(OR(N284="WIN", N284="LOSS"), (L284-E284)*D284,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IF(OR(N285="WIN", N285="LOSS"), (L285-E285)*D285,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IF(OR(N286="WIN", N286="LOSS"), (L286-E286)*D286,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IF(OR(N287="WIN", N287="LOSS"), (L287-E287)*D287,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IF(OR(N288="WIN", N288="LOSS"), (L288-E288)*D288,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IF(OR(N289="WIN", N289="LOSS"), (L289-E289)*D289,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IF(OR(N290="WIN", N290="LOSS"), (L290-E290)*D290,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IF(OR(N291="WIN", N291="LOSS"), (L291-E291)*D291,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IF(OR(N292="WIN", N292="LOSS"), (L292-E292)*D292,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IF(OR(N293="WIN", N293="LOSS"), (L293-E293)*D293,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IF(OR(N294="WIN", N294="LOSS"), (L294-E294)*D294,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IF(OR(N295="WIN", N295="LOSS"), (L295-E295)*D295,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IF(OR(N296="WIN", N296="LOSS"), (L296-E296)*D296,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IF(OR(N297="WIN", N297="LOSS"), (L297-E297)*D297,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IF(OR(N298="WIN", N298="LOSS"), (L298-E298)*D298,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IF(OR(N299="WIN", N299="LOSS"), (L299-E299)*D299,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IF(OR(N300="WIN", N300="LOSS"), (L300-E300)*D300,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IF(OR(N301="WIN", N301="LOSS"), (L301-E301)*D301,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IF(OR(N302="WIN", N302="LOSS"), (L302-E302)*D302,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IF(OR(N303="WIN", N303="LOSS"), (L303-E303)*D303,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IF(OR(N304="WIN", N304="LOSS"), (L304-E304)*D304,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IF(OR(N305="WIN", N305="LOSS"), (L305-E305)*D305,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IF(OR(N306="WIN", N306="LOSS"), (L306-E306)*D306,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IF(OR(N307="WIN", N307="LOSS"), (L307-E307)*D307,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IF(OR(N308="WIN", N308="LOSS"), (L308-E308)*D308,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IF(OR(N309="WIN", N309="LOSS"), (L309-E309)*D309,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IF(OR(N310="WIN", N310="LOSS"), (L310-E310)*D310,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IF(OR(N311="WIN", N311="LOSS"), (L311-E311)*D311,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IF(OR(N312="WIN", N312="LOSS"), (L312-E312)*D312,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IF(OR(N313="WIN", N313="LOSS"), (L313-E313)*D313,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IF(OR(N314="WIN", N314="LOSS"), (L314-E314)*D314,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IF(OR(N315="WIN", N315="LOSS"), (L315-E315)*D315,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IF(OR(N316="WIN", N316="LOSS"), (L316-E316)*D316,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IF(OR(N317="WIN", N317="LOSS"), (L317-E317)*D317,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IF(OR(N318="WIN", N318="LOSS"), (L318-E318)*D318,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IF(OR(N319="WIN", N319="LOSS"), (L319-E319)*D319,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IF(OR(N320="WIN", N320="LOSS"), (L320-E320)*D320,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IF(OR(N321="WIN", N321="LOSS"), (L321-E321)*D321,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IF(OR(N322="WIN", N322="LOSS"), (L322-E322)*D322,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IF(OR(N323="WIN", N323="LOSS"), (L323-E323)*D323,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IF(OR(N324="WIN", N324="LOSS"), (L324-E324)*D324,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IF(OR(N325="WIN", N325="LOSS"), (L325-E325)*D325,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IF(OR(N326="WIN", N326="LOSS"), (L326-E326)*D326,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IF(OR(N327="WIN", N327="LOSS"), (L327-E327)*D327,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IF(OR(N328="WIN", N328="LOSS"), (L328-E328)*D328,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IF(OR(N329="WIN", N329="LOSS"), (L329-E329)*D329,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IF(OR(N330="WIN", N330="LOSS"), (L330-E330)*D330,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IF(OR(N331="WIN", N331="LOSS"), (L331-E331)*D331,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IF(OR(N332="WIN", N332="LOSS"), (L332-E332)*D332,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IF(OR(N333="WIN", N333="LOSS"), (L333-E333)*D333,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IF(OR(N334="WIN", N334="LOSS"), (L334-E334)*D334,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IF(OR(N335="WIN", N335="LOSS"), (L335-E335)*D335,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IF(OR(N336="WIN", N336="LOSS"), (L336-E336)*D336,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IF(OR(N337="WIN", N337="LOSS"), (L337-E337)*D337,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IF(OR(N338="WIN", N338="LOSS"), (L338-E338)*D338,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IF(OR(N339="WIN", N339="LOSS"), (L339-E339)*D339,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IF(OR(N340="WIN", N340="LOSS"), (L340-E340)*D340,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IF(OR(N341="WIN", N341="LOSS"), (L341-E341)*D341,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IF(OR(N342="WIN", N342="LOSS"), (L342-E342)*D342,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IF(OR(N343="WIN", N343="LOSS"), (L343-E343)*D343,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IF(OR(N344="WIN", N344="LOSS"), (L344-E344)*D344,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IF(OR(N345="WIN", N345="LOSS"), (L345-E345)*D345,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IF(OR(N346="WIN", N346="LOSS"), (L346-E346)*D346,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IF(OR(N347="WIN", N347="LOSS"), (L347-E347)*D347,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IF(OR(N348="WIN", N348="LOSS"), (L348-E348)*D348,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IF(OR(N349="WIN", N349="LOSS"), (L349-E349)*D349,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IF(OR(N350="WIN", N350="LOSS"), (L350-E350)*D350,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IF(OR(N351="WIN", N351="LOSS"), (L351-E351)*D351,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IF(OR(N352="WIN", N352="LOSS"), (L352-E352)*D352,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IF(OR(N353="WIN", N353="LOSS"), (L353-E353)*D353,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IF(OR(N354="WIN", N354="LOSS"), (L354-E354)*D354,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IF(OR(N355="WIN", N355="LOSS"), (L355-E355)*D355,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IF(OR(N356="WIN", N356="LOSS"), (L356-E356)*D356,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IF(OR(N357="WIN", N357="LOSS"), (L357-E357)*D357,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IF(OR(N358="WIN", N358="LOSS"), (L358-E358)*D358,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IF(OR(N359="WIN", N359="LOSS"), (L359-E359)*D359,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IF(OR(N360="WIN", N360="LOSS"), (L360-E360)*D360,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IF(OR(N361="WIN", N361="LOSS"), (L361-E361)*D361,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IF(OR(N362="WIN", N362="LOSS"), (L362-E362)*D362,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IF(OR(N363="WIN", N363="LOSS"), (L363-E363)*D363,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IF(OR(N364="WIN", N364="LOSS"), (L364-E364)*D364,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IF(OR(N365="WIN", N365="LOSS"), (L365-E365)*D365,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IF(OR(N366="WIN", N366="LOSS"), (L366-E366)*D366,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IF(OR(N367="WIN", N367="LOSS"), (L367-E367)*D367,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IF(OR(N368="WIN", N368="LOSS"), (L368-E368)*D368,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IF(OR(N369="WIN", N369="LOSS"), (L369-E369)*D369,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IF(OR(N370="WIN", N370="LOSS"), (L370-E370)*D370,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IF(OR(N371="WIN", N371="LOSS"), (L371-E371)*D371,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IF(OR(N372="WIN", N372="LOSS"), (L372-E372)*D372,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IF(OR(N373="WIN", N373="LOSS"), (L373-E373)*D373,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IF(OR(N374="WIN", N374="LOSS"), (L374-E374)*D374,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IF(OR(N375="WIN", N375="LOSS"), (L375-E375)*D375,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IF(OR(N376="WIN", N376="LOSS"), (L376-E376)*D376,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IF(OR(N377="WIN", N377="LOSS"), (L377-E377)*D377,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IF(OR(N378="WIN", N378="LOSS"), (L378-E378)*D378,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IF(OR(N379="WIN", N379="LOSS"), (L379-E379)*D379,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IF(OR(N380="WIN", N380="LOSS"), (L380-E380)*D380,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IF(OR(N381="WIN", N381="LOSS"), (L381-E381)*D381,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IF(OR(N382="WIN", N382="LOSS"), (L382-E382)*D382,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IF(OR(N383="WIN", N383="LOSS"), (L383-E383)*D383,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IF(OR(N384="WIN", N384="LOSS"), (L384-E384)*D384,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IF(OR(N385="WIN", N385="LOSS"), (L385-E385)*D385,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IF(OR(N386="WIN", N386="LOSS"), (L386-E386)*D386,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IF(OR(N387="WIN", N387="LOSS"), (L387-E387)*D387,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IF(OR(N388="WIN", N388="LOSS"), (L388-E388)*D388,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IF(OR(N389="WIN", N389="LOSS"), (L389-E389)*D389,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IF(OR(N390="WIN", N390="LOSS"), (L390-E390)*D390,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IF(OR(N391="WIN", N391="LOSS"), (L391-E391)*D391,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IF(OR(N392="WIN", N392="LOSS"), (L392-E392)*D392,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IF(OR(N393="WIN", N393="LOSS"), (L393-E393)*D393,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IF(OR(N394="WIN", N394="LOSS"), (L394-E394)*D394,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IF(OR(N395="WIN", N395="LOSS"), (L395-E395)*D395,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IF(OR(N396="WIN", N396="LOSS"), (L396-E396)*D396,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IF(OR(N397="WIN", N397="LOSS"), (L397-E397)*D397,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IF(OR(N398="WIN", N398="LOSS"), (L398-E398)*D398,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IF(OR(N399="WIN", N399="LOSS"), (L399-E399)*D399,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IF(OR(N400="WIN", N400="LOSS"), (L400-E400)*D400,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IF(OR(N401="WIN", N401="LOSS"), (L401-E401)*D401,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IF(OR(N402="WIN", N402="LOSS"), (L402-E402)*D402,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IF(OR(N403="WIN", N403="LOSS"), (L403-E403)*D403,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IF(OR(N404="WIN", N404="LOSS"), (L404-E404)*D404,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IF(OR(N405="WIN", N405="LOSS"), (L405-E405)*D405,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IF(OR(N406="WIN", N406="LOSS"), (L406-E406)*D406,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IF(OR(N407="WIN", N407="LOSS"), (L407-E407)*D407,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IF(OR(N408="WIN", N408="LOSS"), (L408-E408)*D408,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IF(OR(N409="WIN", N409="LOSS"), (L409-E409)*D409,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IF(OR(N410="WIN", N410="LOSS"), (L410-E410)*D410,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IF(OR(N411="WIN", N411="LOSS"), (L411-E411)*D411,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IF(OR(N412="WIN", N412="LOSS"), (L412-E412)*D412,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IF(OR(N413="WIN", N413="LOSS"), (L413-E413)*D413,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IF(OR(N414="WIN", N414="LOSS"), (L414-E414)*D414,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IF(OR(N415="WIN", N415="LOSS"), (L415-E415)*D415,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IF(OR(N416="WIN", N416="LOSS"), (L416-E416)*D416,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IF(OR(N417="WIN", N417="LOSS"), (L417-E417)*D417,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IF(OR(N418="WIN", N418="LOSS"), (L418-E418)*D418,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IF(OR(N419="WIN", N419="LOSS"), (L419-E419)*D419,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IF(OR(N420="WIN", N420="LOSS"), (L420-E420)*D420,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IF(OR(N421="WIN", N421="LOSS"), (L421-E421)*D421,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IF(OR(N422="WIN", N422="LOSS"), (L422-E422)*D422,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IF(OR(N423="WIN", N423="LOSS"), (L423-E423)*D423,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IF(OR(N424="WIN", N424="LOSS"), (L424-E424)*D424,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IF(OR(N425="WIN", N425="LOSS"), (L425-E425)*D425,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IF(OR(N426="WIN", N426="LOSS"), (L426-E426)*D426,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IF(OR(N427="WIN", N427="LOSS"), (L427-E427)*D427,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IF(OR(N428="WIN", N428="LOSS"), (L428-E428)*D428,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IF(OR(N429="WIN", N429="LOSS"), (L429-E429)*D429,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IF(OR(N430="WIN", N430="LOSS"), (L430-E430)*D430,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IF(OR(N431="WIN", N431="LOSS"), (L431-E431)*D431,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IF(OR(N432="WIN", N432="LOSS"), (L432-E432)*D432,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IF(OR(N433="WIN", N433="LOSS"), (L433-E433)*D433,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IF(OR(N434="WIN", N434="LOSS"), (L434-E434)*D434,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IF(OR(N435="WIN", N435="LOSS"), (L435-E435)*D435,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IF(OR(N436="WIN", N436="LOSS"), (L436-E436)*D436,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IF(OR(N437="WIN", N437="LOSS"), (L437-E437)*D437,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IF(OR(N438="WIN", N438="LOSS"), (L438-E438)*D438,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IF(OR(N439="WIN", N439="LOSS"), (L439-E439)*D439,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IF(OR(N440="WIN", N440="LOSS"), (L440-E440)*D440,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IF(OR(N441="WIN", N441="LOSS"), (L441-E441)*D441,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IF(OR(N442="WIN", N442="LOSS"), (L442-E442)*D442,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IF(OR(N443="WIN", N443="LOSS"), (L443-E443)*D443,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IF(OR(N444="WIN", N444="LOSS"), (L444-E444)*D444,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IF(OR(N445="WIN", N445="LOSS"), (L445-E445)*D445,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IF(OR(N446="WIN", N446="LOSS"), (L446-E446)*D446,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IF(OR(N447="WIN", N447="LOSS"), (L447-E447)*D447,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IF(OR(N448="WIN", N448="LOSS"), (L448-E448)*D448,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IF(OR(N449="WIN", N449="LOSS"), (L449-E449)*D449,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IF(OR(N450="WIN", N450="LOSS"), (L450-E450)*D450,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IF(OR(N451="WIN", N451="LOSS"), (L451-E451)*D451,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IF(OR(N452="WIN", N452="LOSS"), (L452-E452)*D452,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IF(OR(N453="WIN", N453="LOSS"), (L453-E453)*D453,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IF(OR(N454="WIN", N454="LOSS"), (L454-E454)*D454,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IF(OR(N455="WIN", N455="LOSS"), (L455-E455)*D455,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IF(OR(N456="WIN", N456="LOSS"), (L456-E456)*D456,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IF(OR(N457="WIN", N457="LOSS"), (L457-E457)*D457,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IF(OR(N458="WIN", N458="LOSS"), (L458-E458)*D458,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IF(OR(N459="WIN", N459="LOSS"), (L459-E459)*D459,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IF(OR(N460="WIN", N460="LOSS"), (L460-E460)*D460,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IF(OR(N461="WIN", N461="LOSS"), (L461-E461)*D461,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IF(OR(N462="WIN", N462="LOSS"), (L462-E462)*D462,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IF(OR(N463="WIN", N463="LOSS"), (L463-E463)*D463,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IF(OR(N464="WIN", N464="LOSS"), (L464-E464)*D464,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IF(OR(N465="WIN", N465="LOSS"), (L465-E465)*D465,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IF(OR(N466="WIN", N466="LOSS"), (L466-E466)*D466,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IF(OR(N467="WIN", N467="LOSS"), (L467-E467)*D467,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IF(OR(N468="WIN", N468="LOSS"), (L468-E468)*D468,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IF(OR(N469="WIN", N469="LOSS"), (L469-E469)*D469,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IF(OR(N470="WIN", N470="LOSS"), (L470-E470)*D470,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IF(OR(N471="WIN", N471="LOSS"), (L471-E471)*D471,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IF(OR(N472="WIN", N472="LOSS"), (L472-E472)*D472,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IF(OR(N473="WIN", N473="LOSS"), (L473-E473)*D473,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IF(OR(N474="WIN", N474="LOSS"), (L474-E474)*D474,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IF(OR(N475="WIN", N475="LOSS"), (L475-E475)*D475,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IF(OR(N476="WIN", N476="LOSS"), (L476-E476)*D476,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IF(OR(N477="WIN", N477="LOSS"), (L477-E477)*D477,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IF(OR(N478="WIN", N478="LOSS"), (L478-E478)*D478,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IF(OR(N479="WIN", N479="LOSS"), (L479-E479)*D479,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IF(OR(N480="WIN", N480="LOSS"), (L480-E480)*D480,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IF(OR(N481="WIN", N481="LOSS"), (L481-E481)*D481,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IF(OR(N482="WIN", N482="LOSS"), (L482-E482)*D482,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IF(OR(N483="WIN", N483="LOSS"), (L483-E483)*D483,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IF(OR(N484="WIN", N484="LOSS"), (L484-E484)*D484,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IF(OR(N485="WIN", N485="LOSS"), (L485-E485)*D485,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IF(OR(N486="WIN", N486="LOSS"), (L486-E486)*D486,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IF(OR(N487="WIN", N487="LOSS"), (L487-E487)*D487,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IF(OR(N488="WIN", N488="LOSS"), (L488-E488)*D488,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IF(OR(N489="WIN", N489="LOSS"), (L489-E489)*D489,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IF(OR(N490="WIN", N490="LOSS"), (L490-E490)*D490,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IF(OR(N491="WIN", N491="LOSS"), (L491-E491)*D491,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IF(OR(N492="WIN", N492="LOSS"), (L492-E492)*D492,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IF(OR(N493="WIN", N493="LOSS"), (L493-E493)*D493,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IF(OR(N494="WIN", N494="LOSS"), (L494-E494)*D494,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IF(OR(N495="WIN", N495="LOSS"), (L495-E495)*D495,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IF(OR(N496="WIN", N496="LOSS"), (L496-E496)*D496,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IF(OR(N497="WIN", N497="LOSS"), (L497-E497)*D497,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IF(OR(N498="WIN", N498="LOSS"), (L498-E498)*D498,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IF(OR(N499="WIN", N499="LOSS"), (L499-E499)*D499,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>
        <f>IF(OR(N500="WIN", N500="LOSS"), (L500-E500)*D500, 0)</f>
        <v/>
      </c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2026-08-12</t>
        </is>
      </c>
      <c r="B36" s="4" t="inlineStr">
        <is>
          <t>BLISSGVS</t>
        </is>
      </c>
      <c r="C36" s="4" t="inlineStr">
        <is>
          <t>Bliss GVS Pharma Limited</t>
        </is>
      </c>
      <c r="D36" s="4" t="inlineStr">
        <is>
          <t>96/100</t>
        </is>
      </c>
      <c r="E36" s="6" t="n">
        <v>494.0499877929688</v>
      </c>
      <c r="F36" s="6" t="n">
        <v>448.4285627092634</v>
      </c>
      <c r="G36" s="6" t="n">
        <v>585.2928379603794</v>
      </c>
      <c r="H36" s="4" t="inlineStr">
        <is>
          <t>1:2.0</t>
        </is>
      </c>
      <c r="I36" s="4" t="n">
        <v>21</v>
      </c>
      <c r="J36" s="6" t="n">
        <v>10375.04974365234</v>
      </c>
      <c r="K36" s="4" t="inlineStr">
        <is>
          <t>PENDING</t>
        </is>
      </c>
      <c r="L36" s="4" t="inlineStr">
        <is>
          <t>Swing Scanner (STATE 1: Macro Bullish)</t>
        </is>
      </c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2026-08-12</t>
        </is>
      </c>
      <c r="B37" s="4" t="inlineStr">
        <is>
          <t>ARVIND</t>
        </is>
      </c>
      <c r="C37" s="4" t="inlineStr">
        <is>
          <t>Arvind Limited</t>
        </is>
      </c>
      <c r="D37" s="4" t="inlineStr">
        <is>
          <t>96/100</t>
        </is>
      </c>
      <c r="E37" s="6" t="n">
        <v>567.6500244140625</v>
      </c>
      <c r="F37" s="6" t="n">
        <v>530.3357195172991</v>
      </c>
      <c r="G37" s="6" t="n">
        <v>642.2786342075893</v>
      </c>
      <c r="H37" s="4" t="inlineStr">
        <is>
          <t>1:2.0</t>
        </is>
      </c>
      <c r="I37" s="4" t="n">
        <v>26</v>
      </c>
      <c r="J37" s="6" t="n">
        <v>14758.90063476562</v>
      </c>
      <c r="K37" s="4" t="inlineStr">
        <is>
          <t>PENDING</t>
        </is>
      </c>
      <c r="L37" s="4" t="inlineStr">
        <is>
          <t>Swing Scanner (STATE 1: Macro Bullish)</t>
        </is>
      </c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2026-08-12</t>
        </is>
      </c>
      <c r="B38" s="4" t="inlineStr">
        <is>
          <t>AKUMS</t>
        </is>
      </c>
      <c r="C38" s="4" t="inlineStr">
        <is>
          <t>AKUMS</t>
        </is>
      </c>
      <c r="D38" s="4" t="inlineStr">
        <is>
          <t>96/100</t>
        </is>
      </c>
      <c r="E38" s="6" t="n">
        <v>760.9500122070312</v>
      </c>
      <c r="F38" s="6" t="n">
        <v>712.7142944335938</v>
      </c>
      <c r="G38" s="6" t="n">
        <v>857.4214477539062</v>
      </c>
      <c r="H38" s="4" t="inlineStr">
        <is>
          <t>1:2.0</t>
        </is>
      </c>
      <c r="I38" s="4" t="n">
        <v>20</v>
      </c>
      <c r="J38" s="6" t="n">
        <v>15219.00024414062</v>
      </c>
      <c r="K38" s="4" t="inlineStr">
        <is>
          <t>PENDING</t>
        </is>
      </c>
      <c r="L38" s="4" t="inlineStr">
        <is>
          <t>Swing Scanner (STATE 1: Macro Bullish)</t>
        </is>
      </c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2026-08-12</t>
        </is>
      </c>
      <c r="B39" s="4" t="inlineStr">
        <is>
          <t>BRITANNIA</t>
        </is>
      </c>
      <c r="C39" s="4" t="inlineStr">
        <is>
          <t>Britannia Industries Limited</t>
        </is>
      </c>
      <c r="D39" s="4" t="inlineStr">
        <is>
          <t>96/100</t>
        </is>
      </c>
      <c r="E39" s="6" t="n">
        <v>5598</v>
      </c>
      <c r="F39" s="6" t="n">
        <v>5358.620418563584</v>
      </c>
      <c r="G39" s="6" t="n">
        <v>6076.759162872831</v>
      </c>
      <c r="H39" s="4" t="inlineStr">
        <is>
          <t>1:2.0</t>
        </is>
      </c>
      <c r="I39" s="4" t="n">
        <v>3</v>
      </c>
      <c r="J39" s="6" t="n">
        <v>16794</v>
      </c>
      <c r="K39" s="4" t="inlineStr">
        <is>
          <t>PENDING</t>
        </is>
      </c>
      <c r="L39" s="4" t="inlineStr">
        <is>
          <t>Swing Scanner (STATE 1: Macro Bullish)</t>
        </is>
      </c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2026-08-12</t>
        </is>
      </c>
      <c r="B40" s="4" t="inlineStr">
        <is>
          <t>CLEAN</t>
        </is>
      </c>
      <c r="C40" s="4" t="inlineStr">
        <is>
          <t>Clean Science and Technology Limited</t>
        </is>
      </c>
      <c r="D40" s="4" t="inlineStr">
        <is>
          <t>96/100</t>
        </is>
      </c>
      <c r="E40" s="6" t="n">
        <v>810</v>
      </c>
      <c r="F40" s="6" t="n">
        <v>760.7071446010044</v>
      </c>
      <c r="G40" s="6" t="n">
        <v>908.5857107979911</v>
      </c>
      <c r="H40" s="4" t="inlineStr">
        <is>
          <t>1:2.0</t>
        </is>
      </c>
      <c r="I40" s="4" t="n">
        <v>20</v>
      </c>
      <c r="J40" s="6" t="n">
        <v>16200</v>
      </c>
      <c r="K40" s="4" t="inlineStr">
        <is>
          <t>PENDING</t>
        </is>
      </c>
      <c r="L40" s="4" t="inlineStr">
        <is>
          <t>Swing Scanner (STATE 1: Macro Bullish)</t>
        </is>
      </c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2026-08-12</t>
        </is>
      </c>
      <c r="B41" s="4" t="inlineStr">
        <is>
          <t>ULTRACEMCO</t>
        </is>
      </c>
      <c r="C41" s="4" t="inlineStr">
        <is>
          <t>UltraTech Cement Limited</t>
        </is>
      </c>
      <c r="D41" s="4" t="inlineStr">
        <is>
          <t>100/100</t>
        </is>
      </c>
      <c r="E41" s="6" t="n">
        <v>11891</v>
      </c>
      <c r="F41" s="6" t="n">
        <v>11725.7</v>
      </c>
      <c r="G41" s="6" t="n">
        <v>12221.6</v>
      </c>
      <c r="H41" s="4" t="inlineStr">
        <is>
          <t>1:2.0</t>
        </is>
      </c>
      <c r="I41" s="4" t="n">
        <v>0</v>
      </c>
      <c r="J41" s="6" t="n">
        <v>0</v>
      </c>
      <c r="K41" s="4" t="inlineStr">
        <is>
          <t>PENDING</t>
        </is>
      </c>
      <c r="L41" s="4" t="inlineStr">
        <is>
          <t>Intraday Scanner (STATE 1: Macro Bullish)</t>
        </is>
      </c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2026-08-12</t>
        </is>
      </c>
      <c r="B42" s="4" t="inlineStr">
        <is>
          <t>PIDILITIND</t>
        </is>
      </c>
      <c r="C42" s="4" t="inlineStr">
        <is>
          <t>Pidilite Industries Limited</t>
        </is>
      </c>
      <c r="D42" s="4" t="inlineStr">
        <is>
          <t>100/100</t>
        </is>
      </c>
      <c r="E42" s="6" t="n">
        <v>1701.5</v>
      </c>
      <c r="F42" s="6" t="n">
        <v>1685.7</v>
      </c>
      <c r="G42" s="6" t="n">
        <v>1733.1</v>
      </c>
      <c r="H42" s="4" t="inlineStr">
        <is>
          <t>1:2.0</t>
        </is>
      </c>
      <c r="I42" s="4" t="n">
        <v>5</v>
      </c>
      <c r="J42" s="6" t="n">
        <v>8507.5</v>
      </c>
      <c r="K42" s="4" t="inlineStr">
        <is>
          <t>PENDING</t>
        </is>
      </c>
      <c r="L42" s="4" t="inlineStr">
        <is>
          <t>Intraday Scanner (STATE 1: Macro Bullish)</t>
        </is>
      </c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2026-08-12</t>
        </is>
      </c>
      <c r="B43" s="4" t="inlineStr">
        <is>
          <t>PERSISTENT</t>
        </is>
      </c>
      <c r="C43" s="4" t="inlineStr">
        <is>
          <t>Persistent Systems Limited</t>
        </is>
      </c>
      <c r="D43" s="4" t="inlineStr">
        <is>
          <t>100/100</t>
        </is>
      </c>
      <c r="E43" s="6" t="n">
        <v>5474</v>
      </c>
      <c r="F43" s="6" t="n">
        <v>5413.25</v>
      </c>
      <c r="G43" s="6" t="n">
        <v>5595.5</v>
      </c>
      <c r="H43" s="4" t="inlineStr">
        <is>
          <t>1:2.0</t>
        </is>
      </c>
      <c r="I43" s="4" t="n">
        <v>1</v>
      </c>
      <c r="J43" s="6" t="n">
        <v>5474</v>
      </c>
      <c r="K43" s="4" t="inlineStr">
        <is>
          <t>PENDING</t>
        </is>
      </c>
      <c r="L43" s="4" t="inlineStr">
        <is>
          <t>Intraday Scanner (STATE 1: Macro Bullish)</t>
        </is>
      </c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2026-08-12</t>
        </is>
      </c>
      <c r="B44" s="4" t="inlineStr">
        <is>
          <t>ASTRAL</t>
        </is>
      </c>
      <c r="C44" s="4" t="inlineStr">
        <is>
          <t>Astral Limited</t>
        </is>
      </c>
      <c r="D44" s="4" t="inlineStr">
        <is>
          <t>100/100</t>
        </is>
      </c>
      <c r="E44" s="6" t="n">
        <v>1464</v>
      </c>
      <c r="F44" s="6" t="n">
        <v>1450.45</v>
      </c>
      <c r="G44" s="6" t="n">
        <v>1491.1</v>
      </c>
      <c r="H44" s="4" t="inlineStr">
        <is>
          <t>1:2.0</t>
        </is>
      </c>
      <c r="I44" s="4" t="n">
        <v>6</v>
      </c>
      <c r="J44" s="6" t="n">
        <v>8784</v>
      </c>
      <c r="K44" s="4" t="inlineStr">
        <is>
          <t>PENDING</t>
        </is>
      </c>
      <c r="L44" s="4" t="inlineStr">
        <is>
          <t>Intraday Scanner (STATE 1: Macro Bullish)</t>
        </is>
      </c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2026-08-12</t>
        </is>
      </c>
      <c r="B45" s="4" t="inlineStr">
        <is>
          <t>SUPREMEIND</t>
        </is>
      </c>
      <c r="C45" s="4" t="inlineStr">
        <is>
          <t>Supreme Industries Limited</t>
        </is>
      </c>
      <c r="D45" s="4" t="inlineStr">
        <is>
          <t>100/100</t>
        </is>
      </c>
      <c r="E45" s="6" t="n">
        <v>3459.9</v>
      </c>
      <c r="F45" s="6" t="n">
        <v>3417.85</v>
      </c>
      <c r="G45" s="6" t="n">
        <v>3543.95</v>
      </c>
      <c r="H45" s="4" t="inlineStr">
        <is>
          <t>1:2.0</t>
        </is>
      </c>
      <c r="I45" s="4" t="n">
        <v>2</v>
      </c>
      <c r="J45" s="6" t="n">
        <v>6919.8</v>
      </c>
      <c r="K45" s="4" t="inlineStr">
        <is>
          <t>PENDING</t>
        </is>
      </c>
      <c r="L45" s="4" t="inlineStr">
        <is>
          <t>Intraday Scanner (STATE 1: Macro Bullish)</t>
        </is>
      </c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2026-08-13</t>
        </is>
      </c>
      <c r="B46" s="4" t="inlineStr">
        <is>
          <t>EPL</t>
        </is>
      </c>
      <c r="C46" s="4" t="inlineStr">
        <is>
          <t>EPL Limited</t>
        </is>
      </c>
      <c r="D46" s="4" t="inlineStr">
        <is>
          <t>100/100</t>
        </is>
      </c>
      <c r="E46" s="6" t="n">
        <v>243.6399993896484</v>
      </c>
      <c r="F46" s="6" t="n">
        <v>228.0371420724051</v>
      </c>
      <c r="G46" s="6" t="n">
        <v>274.845714024135</v>
      </c>
      <c r="H46" s="4" t="inlineStr">
        <is>
          <t>1:2.0</t>
        </is>
      </c>
      <c r="I46" s="4" t="n">
        <v>64</v>
      </c>
      <c r="J46" s="6" t="n">
        <v>15592.9599609375</v>
      </c>
      <c r="K46" s="4" t="inlineStr">
        <is>
          <t>PENDING</t>
        </is>
      </c>
      <c r="L46" s="4" t="inlineStr">
        <is>
          <t>Swing Scanner (STATE 1: Macro Bullish)</t>
        </is>
      </c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2026-08-13</t>
        </is>
      </c>
      <c r="B47" s="4" t="inlineStr">
        <is>
          <t>BLISSGVS</t>
        </is>
      </c>
      <c r="C47" s="4" t="inlineStr">
        <is>
          <t>Bliss GVS Pharma Limited</t>
        </is>
      </c>
      <c r="D47" s="4" t="inlineStr">
        <is>
          <t>100/100</t>
        </is>
      </c>
      <c r="E47" s="6" t="n">
        <v>489.5499877929688</v>
      </c>
      <c r="F47" s="6" t="n">
        <v>442.7142726353237</v>
      </c>
      <c r="G47" s="6" t="n">
        <v>583.2214181082589</v>
      </c>
      <c r="H47" s="4" t="inlineStr">
        <is>
          <t>1:2.0</t>
        </is>
      </c>
      <c r="I47" s="4" t="n">
        <v>21</v>
      </c>
      <c r="J47" s="6" t="n">
        <v>10280.54974365234</v>
      </c>
      <c r="K47" s="4" t="inlineStr">
        <is>
          <t>PENDING</t>
        </is>
      </c>
      <c r="L47" s="4" t="inlineStr">
        <is>
          <t>Swing Scanner (STATE 1: Macro Bullish)</t>
        </is>
      </c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2026-08-13</t>
        </is>
      </c>
      <c r="B48" s="4" t="inlineStr">
        <is>
          <t>EMCURE</t>
        </is>
      </c>
      <c r="C48" s="4" t="inlineStr">
        <is>
          <t>EMCURE</t>
        </is>
      </c>
      <c r="D48" s="4" t="inlineStr">
        <is>
          <t>100/100</t>
        </is>
      </c>
      <c r="E48" s="6" t="n">
        <v>2009.599975585938</v>
      </c>
      <c r="F48" s="6" t="n">
        <v>1901.71426827567</v>
      </c>
      <c r="G48" s="6" t="n">
        <v>2225.371390206473</v>
      </c>
      <c r="H48" s="4" t="inlineStr">
        <is>
          <t>1:2.0</t>
        </is>
      </c>
      <c r="I48" s="4" t="n">
        <v>9</v>
      </c>
      <c r="J48" s="6" t="n">
        <v>18086.39978027344</v>
      </c>
      <c r="K48" s="4" t="inlineStr">
        <is>
          <t>PENDING</t>
        </is>
      </c>
      <c r="L48" s="4" t="inlineStr">
        <is>
          <t>Swing Scanner (STATE 1: Macro Bullish)</t>
        </is>
      </c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2026-08-13</t>
        </is>
      </c>
      <c r="B49" s="4" t="inlineStr">
        <is>
          <t>BAJEL</t>
        </is>
      </c>
      <c r="C49" s="4" t="inlineStr">
        <is>
          <t>Bajel Projects Limited</t>
        </is>
      </c>
      <c r="D49" s="4" t="inlineStr">
        <is>
          <t>100/100</t>
        </is>
      </c>
      <c r="E49" s="6" t="n">
        <v>192.7700042724609</v>
      </c>
      <c r="F49" s="6" t="n">
        <v>179.7449503003955</v>
      </c>
      <c r="G49" s="6" t="n">
        <v>218.8201122165919</v>
      </c>
      <c r="H49" s="4" t="inlineStr">
        <is>
          <t>1:2.0</t>
        </is>
      </c>
      <c r="I49" s="4" t="n">
        <v>76</v>
      </c>
      <c r="J49" s="6" t="n">
        <v>14650.52032470703</v>
      </c>
      <c r="K49" s="4" t="inlineStr">
        <is>
          <t>PENDING</t>
        </is>
      </c>
      <c r="L49" s="4" t="inlineStr">
        <is>
          <t>Swing Scanner (STATE 1: Macro Bullish)</t>
        </is>
      </c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2026-08-13</t>
        </is>
      </c>
      <c r="B50" s="4" t="inlineStr">
        <is>
          <t>SCHNEIDER</t>
        </is>
      </c>
      <c r="C50" s="4" t="inlineStr">
        <is>
          <t>Schneider Electric Infrastructure Limited</t>
        </is>
      </c>
      <c r="D50" s="4" t="inlineStr">
        <is>
          <t>96/100</t>
        </is>
      </c>
      <c r="E50" s="6" t="n">
        <v>1431.900024414062</v>
      </c>
      <c r="F50" s="6" t="n">
        <v>1323.700003487723</v>
      </c>
      <c r="G50" s="6" t="n">
        <v>1648.300066266741</v>
      </c>
      <c r="H50" s="4" t="inlineStr">
        <is>
          <t>1:2.0</t>
        </is>
      </c>
      <c r="I50" s="4" t="n">
        <v>9</v>
      </c>
      <c r="J50" s="6" t="n">
        <v>12887.10021972656</v>
      </c>
      <c r="K50" s="4" t="inlineStr">
        <is>
          <t>PENDING</t>
        </is>
      </c>
      <c r="L50" s="4" t="inlineStr">
        <is>
          <t>Swing Scanner (STATE 1: Macro Bullish)</t>
        </is>
      </c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2026-08-13</t>
        </is>
      </c>
      <c r="B51" s="4" t="inlineStr">
        <is>
          <t>HINDUNILVR</t>
        </is>
      </c>
      <c r="C51" s="4" t="inlineStr">
        <is>
          <t>Hindustan Unilever Limited</t>
        </is>
      </c>
      <c r="D51" s="4" t="inlineStr">
        <is>
          <t>100/100</t>
        </is>
      </c>
      <c r="E51" s="6" t="n">
        <v>2092</v>
      </c>
      <c r="F51" s="6" t="n">
        <v>2077.25</v>
      </c>
      <c r="G51" s="6" t="n">
        <v>2121.5</v>
      </c>
      <c r="H51" s="4" t="inlineStr">
        <is>
          <t>1:2.0</t>
        </is>
      </c>
      <c r="I51" s="4" t="n">
        <v>4</v>
      </c>
      <c r="J51" s="6" t="n">
        <v>8368</v>
      </c>
      <c r="K51" s="4" t="inlineStr">
        <is>
          <t>PENDING</t>
        </is>
      </c>
      <c r="L51" s="4" t="inlineStr">
        <is>
          <t>Intraday Scanner (STATE 1: Macro Bullish)</t>
        </is>
      </c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2026-08-13</t>
        </is>
      </c>
      <c r="B52" s="4" t="inlineStr">
        <is>
          <t>ASIANPAINT</t>
        </is>
      </c>
      <c r="C52" s="4" t="inlineStr">
        <is>
          <t>Asian Paints Limited</t>
        </is>
      </c>
      <c r="D52" s="4" t="inlineStr">
        <is>
          <t>100/100</t>
        </is>
      </c>
      <c r="E52" s="6" t="n">
        <v>2755.5</v>
      </c>
      <c r="F52" s="6" t="n">
        <v>2736</v>
      </c>
      <c r="G52" s="6" t="n">
        <v>2794.5</v>
      </c>
      <c r="H52" s="4" t="inlineStr">
        <is>
          <t>1:2.0</t>
        </is>
      </c>
      <c r="I52" s="4" t="n">
        <v>3</v>
      </c>
      <c r="J52" s="6" t="n">
        <v>8266.5</v>
      </c>
      <c r="K52" s="4" t="inlineStr">
        <is>
          <t>PENDING</t>
        </is>
      </c>
      <c r="L52" s="4" t="inlineStr">
        <is>
          <t>Intraday Scanner (STATE 1: Macro Bullish)</t>
        </is>
      </c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2026-08-13</t>
        </is>
      </c>
      <c r="B53" s="4" t="inlineStr">
        <is>
          <t>ULTRACEMCO</t>
        </is>
      </c>
      <c r="C53" s="4" t="inlineStr">
        <is>
          <t>UltraTech Cement Limited</t>
        </is>
      </c>
      <c r="D53" s="4" t="inlineStr">
        <is>
          <t>100/100</t>
        </is>
      </c>
      <c r="E53" s="6" t="n">
        <v>11706</v>
      </c>
      <c r="F53" s="6" t="n">
        <v>11539.8</v>
      </c>
      <c r="G53" s="6" t="n">
        <v>12038.4</v>
      </c>
      <c r="H53" s="4" t="inlineStr">
        <is>
          <t>1:2.0</t>
        </is>
      </c>
      <c r="I53" s="4" t="n">
        <v>0</v>
      </c>
      <c r="J53" s="6" t="n">
        <v>0</v>
      </c>
      <c r="K53" s="4" t="inlineStr">
        <is>
          <t>PENDING</t>
        </is>
      </c>
      <c r="L53" s="4" t="inlineStr">
        <is>
          <t>Intraday Scanner (STATE 1: Macro Bullish)</t>
        </is>
      </c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2026-08-13</t>
        </is>
      </c>
      <c r="B54" s="4" t="inlineStr">
        <is>
          <t>TATAELXSI</t>
        </is>
      </c>
      <c r="C54" s="4" t="inlineStr">
        <is>
          <t>Tata Elxsi Limited</t>
        </is>
      </c>
      <c r="D54" s="4" t="inlineStr">
        <is>
          <t>100/100</t>
        </is>
      </c>
      <c r="E54" s="6" t="n">
        <v>3778</v>
      </c>
      <c r="F54" s="6" t="n">
        <v>3726.45</v>
      </c>
      <c r="G54" s="6" t="n">
        <v>3881.1</v>
      </c>
      <c r="H54" s="4" t="inlineStr">
        <is>
          <t>1:2.0</t>
        </is>
      </c>
      <c r="I54" s="4" t="n">
        <v>2</v>
      </c>
      <c r="J54" s="6" t="n">
        <v>7556</v>
      </c>
      <c r="K54" s="4" t="inlineStr">
        <is>
          <t>PENDING</t>
        </is>
      </c>
      <c r="L54" s="4" t="inlineStr">
        <is>
          <t>Intraday Scanner (STATE 1: Macro Bullish)</t>
        </is>
      </c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2026-08-13</t>
        </is>
      </c>
      <c r="B55" s="4" t="inlineStr">
        <is>
          <t>SUPREMEIND</t>
        </is>
      </c>
      <c r="C55" s="4" t="inlineStr">
        <is>
          <t>Supreme Industries Limited</t>
        </is>
      </c>
      <c r="D55" s="4" t="inlineStr">
        <is>
          <t>100/100</t>
        </is>
      </c>
      <c r="E55" s="6" t="n">
        <v>3497</v>
      </c>
      <c r="F55" s="6" t="n">
        <v>3457.5</v>
      </c>
      <c r="G55" s="6" t="n">
        <v>3576</v>
      </c>
      <c r="H55" s="4" t="inlineStr">
        <is>
          <t>1:2.0</t>
        </is>
      </c>
      <c r="I55" s="4" t="n">
        <v>2</v>
      </c>
      <c r="J55" s="6" t="n">
        <v>6994</v>
      </c>
      <c r="K55" s="4" t="inlineStr">
        <is>
          <t>PENDING</t>
        </is>
      </c>
      <c r="L55" s="4" t="inlineStr">
        <is>
          <t>Intraday Scanner (STATE 1: Macro Bullish)</t>
        </is>
      </c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2026-08-14</t>
        </is>
      </c>
      <c r="B56" s="4" t="inlineStr">
        <is>
          <t>BLISSGVS</t>
        </is>
      </c>
      <c r="C56" s="4" t="inlineStr">
        <is>
          <t>Bliss GVS Pharma Limited</t>
        </is>
      </c>
      <c r="D56" s="4" t="inlineStr">
        <is>
          <t>100/100</t>
        </is>
      </c>
      <c r="E56" s="6" t="n">
        <v>514</v>
      </c>
      <c r="F56" s="6" t="n">
        <v>466.8714250837053</v>
      </c>
      <c r="G56" s="6" t="n">
        <v>608.2571498325893</v>
      </c>
      <c r="H56" s="4" t="inlineStr">
        <is>
          <t>1:2.0</t>
        </is>
      </c>
      <c r="I56" s="4" t="n">
        <v>19</v>
      </c>
      <c r="J56" s="6" t="n">
        <v>9766</v>
      </c>
      <c r="K56" s="4" t="inlineStr">
        <is>
          <t>PENDING</t>
        </is>
      </c>
      <c r="L56" s="4" t="inlineStr">
        <is>
          <t>Swing Scanner (STATE 2: Bear Relief Rally)</t>
        </is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2026-08-14</t>
        </is>
      </c>
      <c r="B57" s="4" t="inlineStr">
        <is>
          <t>BHARATSE</t>
        </is>
      </c>
      <c r="C57" s="4" t="inlineStr">
        <is>
          <t>Bharat Seats Limited</t>
        </is>
      </c>
      <c r="D57" s="4" t="inlineStr">
        <is>
          <t>96/100</t>
        </is>
      </c>
      <c r="E57" s="6" t="n">
        <v>245.25</v>
      </c>
      <c r="F57" s="6" t="n">
        <v>219.057141985212</v>
      </c>
      <c r="G57" s="6" t="n">
        <v>297.6357160295759</v>
      </c>
      <c r="H57" s="4" t="inlineStr">
        <is>
          <t>1:2.0</t>
        </is>
      </c>
      <c r="I57" s="4" t="n">
        <v>38</v>
      </c>
      <c r="J57" s="6" t="n">
        <v>9319.5</v>
      </c>
      <c r="K57" s="4" t="inlineStr">
        <is>
          <t>PENDING</t>
        </is>
      </c>
      <c r="L57" s="4" t="inlineStr">
        <is>
          <t>Swing Scanner (STATE 2: Bear Relief Rally)</t>
        </is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2026-08-14</t>
        </is>
      </c>
      <c r="B58" s="4" t="inlineStr">
        <is>
          <t>JAIBALAJI</t>
        </is>
      </c>
      <c r="C58" s="4" t="inlineStr">
        <is>
          <t>Jai Balaji Industries Limited</t>
        </is>
      </c>
      <c r="D58" s="4" t="inlineStr">
        <is>
          <t>96/100</t>
        </is>
      </c>
      <c r="E58" s="6" t="n">
        <v>68.87000274658203</v>
      </c>
      <c r="F58" s="6" t="n">
        <v>62.62000165666853</v>
      </c>
      <c r="G58" s="6" t="n">
        <v>81.37000492640904</v>
      </c>
      <c r="H58" s="4" t="inlineStr">
        <is>
          <t>1:2.0</t>
        </is>
      </c>
      <c r="I58" s="4" t="n">
        <v>145</v>
      </c>
      <c r="J58" s="6" t="n">
        <v>9986.150398254395</v>
      </c>
      <c r="K58" s="4" t="inlineStr">
        <is>
          <t>PENDING</t>
        </is>
      </c>
      <c r="L58" s="4" t="inlineStr">
        <is>
          <t>Swing Scanner (STATE 2: Bear Relief Rally)</t>
        </is>
      </c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2026-08-14</t>
        </is>
      </c>
      <c r="B59" s="4" t="inlineStr">
        <is>
          <t>INDIQUBE</t>
        </is>
      </c>
      <c r="C59" s="4" t="inlineStr">
        <is>
          <t>INDIQUBE</t>
        </is>
      </c>
      <c r="D59" s="4" t="inlineStr">
        <is>
          <t>95/100</t>
        </is>
      </c>
      <c r="E59" s="6" t="n">
        <v>183.3399963378906</v>
      </c>
      <c r="F59" s="6" t="n">
        <v>167.7685721261161</v>
      </c>
      <c r="G59" s="6" t="n">
        <v>214.4828447614397</v>
      </c>
      <c r="H59" s="4" t="inlineStr">
        <is>
          <t>1:2.0</t>
        </is>
      </c>
      <c r="I59" s="4" t="n">
        <v>54</v>
      </c>
      <c r="J59" s="6" t="n">
        <v>9900.359802246094</v>
      </c>
      <c r="K59" s="4" t="inlineStr">
        <is>
          <t>PENDING</t>
        </is>
      </c>
      <c r="L59" s="4" t="inlineStr">
        <is>
          <t>Swing Scanner (STATE 2: Bear Relief Rally)</t>
        </is>
      </c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2026-08-14</t>
        </is>
      </c>
      <c r="B60" s="4" t="inlineStr">
        <is>
          <t>BHEL</t>
        </is>
      </c>
      <c r="C60" s="4" t="inlineStr">
        <is>
          <t>Bharat Heavy Electricals Limited</t>
        </is>
      </c>
      <c r="D60" s="4" t="inlineStr">
        <is>
          <t>94/100</t>
        </is>
      </c>
      <c r="E60" s="6" t="n">
        <v>420</v>
      </c>
      <c r="F60" s="6" t="n">
        <v>399.4642857142857</v>
      </c>
      <c r="G60" s="6" t="n">
        <v>461.0714285714286</v>
      </c>
      <c r="H60" s="4" t="inlineStr">
        <is>
          <t>1:2.0</t>
        </is>
      </c>
      <c r="I60" s="4" t="n">
        <v>23</v>
      </c>
      <c r="J60" s="6" t="n">
        <v>9660</v>
      </c>
      <c r="K60" s="4" t="inlineStr">
        <is>
          <t>PENDING</t>
        </is>
      </c>
      <c r="L60" s="4" t="inlineStr">
        <is>
          <t>Swing Scanner (STATE 2: Bear Relief Rally)</t>
        </is>
      </c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2026-08-14</t>
        </is>
      </c>
      <c r="B61" s="4" t="inlineStr">
        <is>
          <t>JSWSTEEL</t>
        </is>
      </c>
      <c r="C61" s="4" t="inlineStr">
        <is>
          <t>JSW Steel Limited</t>
        </is>
      </c>
      <c r="D61" s="4" t="inlineStr">
        <is>
          <t>100/100</t>
        </is>
      </c>
      <c r="E61" s="6" t="n">
        <v>1270</v>
      </c>
      <c r="F61" s="6" t="n">
        <v>1254.5</v>
      </c>
      <c r="G61" s="6" t="n">
        <v>1300.95</v>
      </c>
      <c r="H61" s="4" t="inlineStr">
        <is>
          <t>1:2.0</t>
        </is>
      </c>
      <c r="I61" s="4" t="n">
        <v>7</v>
      </c>
      <c r="J61" s="6" t="n">
        <v>8890</v>
      </c>
      <c r="K61" s="4" t="inlineStr">
        <is>
          <t>PENDING</t>
        </is>
      </c>
      <c r="L61" s="4" t="inlineStr">
        <is>
          <t>Intraday Scanner (STATE 2: Bear Relief Rally)</t>
        </is>
      </c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2026-08-14</t>
        </is>
      </c>
      <c r="B62" s="4" t="inlineStr">
        <is>
          <t>BOSCHLTD</t>
        </is>
      </c>
      <c r="C62" s="4" t="inlineStr">
        <is>
          <t>Bosch Limited</t>
        </is>
      </c>
      <c r="D62" s="4" t="inlineStr">
        <is>
          <t>100/100</t>
        </is>
      </c>
      <c r="E62" s="6" t="n">
        <v>47100</v>
      </c>
      <c r="F62" s="6" t="n">
        <v>45702</v>
      </c>
      <c r="G62" s="6" t="n">
        <v>49896</v>
      </c>
      <c r="H62" s="4" t="inlineStr">
        <is>
          <t>1:2.0</t>
        </is>
      </c>
      <c r="I62" s="4" t="n">
        <v>0</v>
      </c>
      <c r="J62" s="6" t="n">
        <v>0</v>
      </c>
      <c r="K62" s="4" t="inlineStr">
        <is>
          <t>PENDING</t>
        </is>
      </c>
      <c r="L62" s="4" t="inlineStr">
        <is>
          <t>Intraday Scanner (STATE 2: Bear Relief Rally)</t>
        </is>
      </c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2026-08-14</t>
        </is>
      </c>
      <c r="B63" s="4" t="inlineStr">
        <is>
          <t>OFSS</t>
        </is>
      </c>
      <c r="C63" s="4" t="inlineStr">
        <is>
          <t>Oracle Financial Services Software Limited</t>
        </is>
      </c>
      <c r="D63" s="4" t="inlineStr">
        <is>
          <t>100/100</t>
        </is>
      </c>
      <c r="E63" s="6" t="n">
        <v>11828</v>
      </c>
      <c r="F63" s="6" t="n">
        <v>11637.2</v>
      </c>
      <c r="G63" s="6" t="n">
        <v>12209.6</v>
      </c>
      <c r="H63" s="4" t="inlineStr">
        <is>
          <t>1:2.0</t>
        </is>
      </c>
      <c r="I63" s="4" t="n">
        <v>0</v>
      </c>
      <c r="J63" s="6" t="n">
        <v>0</v>
      </c>
      <c r="K63" s="4" t="inlineStr">
        <is>
          <t>PENDING</t>
        </is>
      </c>
      <c r="L63" s="4" t="inlineStr">
        <is>
          <t>Intraday Scanner (STATE 2: Bear Relief Rally)</t>
        </is>
      </c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2026-08-14</t>
        </is>
      </c>
      <c r="B64" s="4" t="inlineStr">
        <is>
          <t>THERMAX</t>
        </is>
      </c>
      <c r="C64" s="4" t="inlineStr">
        <is>
          <t>Thermax Limited</t>
        </is>
      </c>
      <c r="D64" s="4" t="inlineStr">
        <is>
          <t>100/100</t>
        </is>
      </c>
      <c r="E64" s="6" t="n">
        <v>4055</v>
      </c>
      <c r="F64" s="6" t="n">
        <v>4005.3</v>
      </c>
      <c r="G64" s="6" t="n">
        <v>4154.35</v>
      </c>
      <c r="H64" s="4" t="inlineStr">
        <is>
          <t>1:2.0</t>
        </is>
      </c>
      <c r="I64" s="4" t="n">
        <v>2</v>
      </c>
      <c r="J64" s="6" t="n">
        <v>8110</v>
      </c>
      <c r="K64" s="4" t="inlineStr">
        <is>
          <t>PENDING</t>
        </is>
      </c>
      <c r="L64" s="4" t="inlineStr">
        <is>
          <t>Intraday Scanner (STATE 2: Bear Relief Rally)</t>
        </is>
      </c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2026-08-14</t>
        </is>
      </c>
      <c r="B65" s="4" t="inlineStr">
        <is>
          <t>SUMICHEM</t>
        </is>
      </c>
      <c r="C65" s="4" t="inlineStr">
        <is>
          <t>Sumitomo Chemical India Limited</t>
        </is>
      </c>
      <c r="D65" s="4" t="inlineStr">
        <is>
          <t>100/100</t>
        </is>
      </c>
      <c r="E65" s="6" t="n">
        <v>564.95</v>
      </c>
      <c r="F65" s="6" t="n">
        <v>554.1</v>
      </c>
      <c r="G65" s="6" t="n">
        <v>586.6</v>
      </c>
      <c r="H65" s="4" t="inlineStr">
        <is>
          <t>1:2.0</t>
        </is>
      </c>
      <c r="I65" s="4" t="n">
        <v>17</v>
      </c>
      <c r="J65" s="6" t="n">
        <v>9604.150000000001</v>
      </c>
      <c r="K65" s="4" t="inlineStr">
        <is>
          <t>PENDING</t>
        </is>
      </c>
      <c r="L65" s="4" t="inlineStr">
        <is>
          <t>Intraday Scanner (STATE 2: Bear Relief Rally)</t>
        </is>
      </c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n"/>
      <c r="B33" s="4" t="n"/>
      <c r="C33" s="4" t="n"/>
      <c r="D33" s="4" t="n"/>
      <c r="E33" s="4" t="n"/>
      <c r="F33" s="4" t="n"/>
    </row>
    <row r="34" ht="15.75" customHeight="1" s="57">
      <c r="A34" s="4" t="n"/>
      <c r="B34" s="4" t="n"/>
      <c r="C34" s="4" t="n"/>
      <c r="D34" s="4" t="n"/>
      <c r="E34" s="4" t="n"/>
      <c r="F34" s="4" t="n"/>
    </row>
    <row r="35" ht="15.75" customHeight="1" s="57">
      <c r="A35" s="4" t="n"/>
      <c r="B35" s="4" t="n"/>
      <c r="C35" s="4" t="n"/>
      <c r="D35" s="4" t="n"/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2026-08-17T12:02:42Z</dcterms:modified>
</cp:coreProperties>
</file>