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Calibri"/>
      <color theme="1"/>
    </font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2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7" fillId="0" borderId="4" pivotButton="0" quotePrefix="0" xfId="0"/>
    <xf numFmtId="0" fontId="7" fillId="0" borderId="5" pivotButton="0" quotePrefix="0" xfId="0"/>
    <xf numFmtId="0" fontId="8" fillId="6" borderId="0" pivotButton="0" quotePrefix="0" xfId="0"/>
    <xf numFmtId="164" fontId="2" fillId="6" borderId="0" pivotButton="0" quotePrefix="0" xfId="0"/>
    <xf numFmtId="0" fontId="8" fillId="0" borderId="0" pivotButton="0" quotePrefix="0" xfId="0"/>
    <xf numFmtId="164" fontId="2" fillId="0" borderId="0" pivotButton="0" quotePrefix="0" xfId="0"/>
    <xf numFmtId="0" fontId="2" fillId="6" borderId="0" pivotButton="0" quotePrefix="0" xfId="0"/>
    <xf numFmtId="0" fontId="8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7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6" borderId="0" pivotButton="0" quotePrefix="0" xfId="0"/>
    <xf numFmtId="165" fontId="16" fillId="6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4" fontId="11" fillId="0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3" fillId="10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6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8" borderId="1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8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8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4" fontId="24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875407660"/>
        <axId val="1974701949"/>
      </lineChart>
      <catAx>
        <axId val="18754076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4701949"/>
        <lblOffset val="100"/>
      </catAx>
      <valAx>
        <axId val="19747019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540766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41967059"/>
        <axId val="1992154795"/>
      </lineChart>
      <catAx>
        <axId val="14419670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92154795"/>
        <lblOffset val="100"/>
      </catAx>
      <valAx>
        <axId val="19921547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41967059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4519192"/>
        <axId val="1057149646"/>
      </lineChart>
      <catAx>
        <axId val="11645191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7149646"/>
        <lblOffset val="100"/>
      </catAx>
      <valAx>
        <axId val="10571496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4519192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5052438"/>
        <axId val="999396656"/>
      </lineChart>
      <catAx>
        <axId val="8350524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9396656"/>
        <lblOffset val="100"/>
      </catAx>
      <valAx>
        <axId val="9993966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5052438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1295398"/>
        <axId val="867687813"/>
      </lineChart>
      <catAx>
        <axId val="731295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67687813"/>
        <lblOffset val="100"/>
      </catAx>
      <valAx>
        <axId val="86768781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129539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427220739"/>
        <axId val="1713832184"/>
      </lineChart>
      <catAx>
        <axId val="4272207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3832184"/>
        <lblOffset val="100"/>
      </catAx>
      <valAx>
        <axId val="171383218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27220739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000348228"/>
        <axId val="1945260957"/>
      </lineChart>
      <catAx>
        <axId val="10003482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5260957"/>
        <lblOffset val="100"/>
      </catAx>
      <valAx>
        <axId val="19452609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0348228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7790015"/>
        <axId val="447079333"/>
      </lineChart>
      <catAx>
        <axId val="5177900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47079333"/>
        <lblOffset val="100"/>
      </catAx>
      <valAx>
        <axId val="4470793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7790015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101143362"/>
        <axId val="1570528322"/>
      </lineChart>
      <catAx>
        <axId val="11011433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0528322"/>
        <lblOffset val="100"/>
      </catAx>
      <valAx>
        <axId val="15705283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1143362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05251109"/>
        <axId val="1344844930"/>
      </lineChart>
      <catAx>
        <axId val="9052511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44844930"/>
        <lblOffset val="100"/>
      </catAx>
      <valAx>
        <axId val="13448449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5251109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7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7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7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61">
      <c r="A7" s="7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61">
      <c r="A9" s="6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61">
      <c r="A10" s="7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61">
      <c r="A11" s="7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61">
      <c r="A12" s="7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61">
      <c r="A13" s="7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61">
      <c r="A14" s="7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61">
      <c r="A16" s="6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61">
      <c r="A17" s="7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61">
      <c r="A18" s="7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61">
      <c r="A19" s="7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61">
      <c r="A20" s="7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61">
      <c r="A21" s="7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61">
      <c r="A23" s="6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61">
      <c r="A24" s="7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61">
      <c r="A25" s="7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61">
      <c r="A26" s="7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61">
      <c r="A27" s="7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61">
      <c r="A28" s="7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61">
      <c r="A42" s="6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61">
      <c r="A43" s="7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61">
      <c r="A44" s="7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61">
      <c r="A45" s="7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61">
      <c r="A46" s="7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61">
      <c r="A47" s="7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6" t="inlineStr">
        <is>
          <t>HSTS v1.0 Trading Dashboard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61">
      <c r="A2" s="67" t="inlineStr">
        <is>
          <t>Last updated on : 2026-08-12 12:44:29</t>
        </is>
      </c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8" t="inlineStr">
        <is>
          <t>Metric</t>
        </is>
      </c>
      <c r="B3" s="68" t="inlineStr">
        <is>
          <t>Value</t>
        </is>
      </c>
      <c r="C3" s="82" t="n"/>
      <c r="D3" s="83" t="inlineStr">
        <is>
          <t>Stock</t>
        </is>
      </c>
      <c r="E3" s="83" t="inlineStr">
        <is>
          <t>Qty</t>
        </is>
      </c>
      <c r="F3" s="83" t="inlineStr">
        <is>
          <t>Purchase Price</t>
        </is>
      </c>
      <c r="G3" s="83" t="inlineStr">
        <is>
          <t>Current Price</t>
        </is>
      </c>
      <c r="H3" s="83" t="inlineStr">
        <is>
          <t>Current Value</t>
        </is>
      </c>
      <c r="I3" s="83" t="inlineStr">
        <is>
          <t>P&amp;L Amount</t>
        </is>
      </c>
      <c r="J3" s="83" t="inlineStr">
        <is>
          <t>P&amp;L %</t>
        </is>
      </c>
      <c r="K3" s="83" t="inlineStr">
        <is>
          <t>Holding %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9" t="inlineStr">
        <is>
          <t>Global Portfolio Metrics</t>
        </is>
      </c>
      <c r="C4" s="82" t="n"/>
      <c r="D4" s="84" t="inlineStr">
        <is>
          <t>JSWSTEEL</t>
        </is>
      </c>
      <c r="E4" s="85" t="n">
        <v>1</v>
      </c>
      <c r="F4" s="86" t="n">
        <v>1265.1</v>
      </c>
      <c r="G4" s="86" t="n">
        <v>1274.599975585938</v>
      </c>
      <c r="H4" s="86">
        <f>E4*G4</f>
        <v/>
      </c>
      <c r="I4" s="87">
        <f>H4-(E4*F4)</f>
        <v/>
      </c>
      <c r="J4" s="88">
        <f>IF(F4&gt;0, I4/(E4*F4), 0)</f>
        <v/>
      </c>
      <c r="K4" s="89">
        <f>H4/H12</f>
        <v/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0" t="inlineStr">
        <is>
          <t>Total Net Capital Deposited</t>
        </is>
      </c>
      <c r="B5" s="71">
        <f>SUMIF(Capital!B:B, "DEPOSIT", Capital!C:C)</f>
        <v/>
      </c>
      <c r="C5" s="82" t="n"/>
      <c r="D5" s="84" t="inlineStr">
        <is>
          <t>TECHM</t>
        </is>
      </c>
      <c r="E5" s="85" t="n">
        <v>1</v>
      </c>
      <c r="F5" s="86" t="n">
        <v>1579</v>
      </c>
      <c r="G5" s="86" t="n">
        <v>1628.300048828125</v>
      </c>
      <c r="H5" s="86">
        <f>E5*G5</f>
        <v/>
      </c>
      <c r="I5" s="87">
        <f>H5-(E5*F5)</f>
        <v/>
      </c>
      <c r="J5" s="88">
        <f>IF(F5&gt;0, I5/(E5*F5), 0)</f>
        <v/>
      </c>
      <c r="K5" s="89">
        <f>H5/H12</f>
        <v/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70" t="inlineStr">
        <is>
          <t>Lifetime Realized PnL</t>
        </is>
      </c>
      <c r="B6" s="90">
        <f>SUM(Ledger!M:M)</f>
        <v/>
      </c>
      <c r="C6" s="82" t="n"/>
      <c r="D6" s="84" t="inlineStr">
        <is>
          <t>BERGEPAINT</t>
        </is>
      </c>
      <c r="E6" s="85" t="n">
        <v>2</v>
      </c>
      <c r="F6" s="86" t="n">
        <v>519.13</v>
      </c>
      <c r="G6" s="86" t="n">
        <v>555.5999755859375</v>
      </c>
      <c r="H6" s="86">
        <f>E6*G6</f>
        <v/>
      </c>
      <c r="I6" s="87">
        <f>H6-(E6*F6)</f>
        <v/>
      </c>
      <c r="J6" s="88">
        <f>IF(F6&gt;0, I6/(E6*F6), 0)</f>
        <v/>
      </c>
      <c r="K6" s="89">
        <f>H6/H12</f>
        <v/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0" t="inlineStr">
        <is>
          <t>Lifetime Realized P/L Percentage</t>
        </is>
      </c>
      <c r="B7" s="91">
        <f>B6/B5</f>
        <v/>
      </c>
      <c r="C7" s="82" t="n"/>
      <c r="D7" s="84" t="inlineStr">
        <is>
          <t>ADVANCE</t>
        </is>
      </c>
      <c r="E7" s="85" t="n">
        <v>4</v>
      </c>
      <c r="F7" s="86" t="n">
        <v>127.8</v>
      </c>
      <c r="G7" s="86" t="n">
        <v>118.9400024414062</v>
      </c>
      <c r="H7" s="86">
        <f>E7*G7</f>
        <v/>
      </c>
      <c r="I7" s="92">
        <f>H7-(E7*F7)</f>
        <v/>
      </c>
      <c r="J7" s="93">
        <f>IF(F7&gt;0, I7/(E7*F7), 0)</f>
        <v/>
      </c>
      <c r="K7" s="89">
        <f>H7/H12</f>
        <v/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0" t="inlineStr">
        <is>
          <t>Current Total Portfolio Value</t>
        </is>
      </c>
      <c r="B8" s="71">
        <f>B13+B12</f>
        <v/>
      </c>
      <c r="C8" s="82" t="n"/>
      <c r="D8" s="84" t="inlineStr">
        <is>
          <t>IFGLEXPOR</t>
        </is>
      </c>
      <c r="E8" s="85" t="n">
        <v>4</v>
      </c>
      <c r="F8" s="86" t="n">
        <v>219.6</v>
      </c>
      <c r="G8" s="86" t="n">
        <v>215.0099945068359</v>
      </c>
      <c r="H8" s="86">
        <f>E8*G8</f>
        <v/>
      </c>
      <c r="I8" s="92">
        <f>H8-(E8*F8)</f>
        <v/>
      </c>
      <c r="J8" s="93">
        <f>IF(F8&gt;0, I8/(E8*F8), 0)</f>
        <v/>
      </c>
      <c r="K8" s="89">
        <f>H8/H12</f>
        <v/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0" t="inlineStr">
        <is>
          <t>Total Number of Trades</t>
        </is>
      </c>
      <c r="B9" s="73">
        <f>COUNTIF(Ledger!N:N, "WIN") + COUNTIF(Ledger!N:N, "LOSS") + COUNTIF(Ledger!N:N, "OPEN")</f>
        <v/>
      </c>
      <c r="C9" s="82" t="n"/>
      <c r="D9" s="84" t="inlineStr">
        <is>
          <t>AEROENTER</t>
        </is>
      </c>
      <c r="E9" s="85" t="n">
        <v>8</v>
      </c>
      <c r="F9" s="86" t="n">
        <v>132.01</v>
      </c>
      <c r="G9" s="86" t="n">
        <v>128.25</v>
      </c>
      <c r="H9" s="86">
        <f>E9*G9</f>
        <v/>
      </c>
      <c r="I9" s="92">
        <f>H9-(E9*F9)</f>
        <v/>
      </c>
      <c r="J9" s="93">
        <f>IF(F9&gt;0, I9/(E9*F9), 0)</f>
        <v/>
      </c>
      <c r="K9" s="89">
        <f>H9/H12</f>
        <v/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70" t="inlineStr">
        <is>
          <t>Winning Percentage of Trades</t>
        </is>
      </c>
      <c r="B10" s="72">
        <f>IF((COUNTIF(Ledger!N:N, "WIN")+COUNTIF(Ledger!N:N, "LOSS"))&gt;0, COUNTIF(Ledger!N:N, "WIN")/(COUNTIF(Ledger!N:N, "WIN")+COUNTIF(Ledger!N:N, "LOSS")), 0)</f>
        <v/>
      </c>
      <c r="C10" s="82" t="n"/>
      <c r="D10" s="84" t="inlineStr">
        <is>
          <t>BEL</t>
        </is>
      </c>
      <c r="E10" s="85" t="n">
        <v>5</v>
      </c>
      <c r="F10" s="86" t="n">
        <v>405.85</v>
      </c>
      <c r="G10" s="86" t="n">
        <v>400.5499877929688</v>
      </c>
      <c r="H10" s="86">
        <f>E10*G10</f>
        <v/>
      </c>
      <c r="I10" s="92">
        <f>H10-(E10*F10)</f>
        <v/>
      </c>
      <c r="J10" s="93">
        <f>IF(F10&gt;0, I10/(E10*F10), 0)</f>
        <v/>
      </c>
      <c r="K10" s="89">
        <f>H10/H12</f>
        <v/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0" t="inlineStr">
        <is>
          <t>Capital Deployed in Open Trades</t>
        </is>
      </c>
      <c r="B11" s="71">
        <f>SUMPRODUCT((Ledger!N2:N500="OPEN")*(Ledger!E2:E500)*(Ledger!D2:D500))</f>
        <v/>
      </c>
      <c r="C11" s="82" t="n"/>
      <c r="D11" s="84" t="inlineStr">
        <is>
          <t>CLEAN</t>
        </is>
      </c>
      <c r="E11" s="85" t="n">
        <v>4</v>
      </c>
      <c r="F11" s="86" t="n">
        <v>806.25</v>
      </c>
      <c r="G11" s="86" t="n">
        <v>805.2999877929688</v>
      </c>
      <c r="H11" s="86">
        <f>E11*G11</f>
        <v/>
      </c>
      <c r="I11" s="92">
        <f>H11-(E11*F11)</f>
        <v/>
      </c>
      <c r="J11" s="93">
        <f>IF(F11&gt;0, I11/(E11*F11), 0)</f>
        <v/>
      </c>
      <c r="K11" s="89">
        <f>H11/H12</f>
        <v/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0" t="inlineStr">
        <is>
          <t>Current Value of Active Trades</t>
        </is>
      </c>
      <c r="B12" s="90" t="n">
        <v>11599.84985351562</v>
      </c>
      <c r="C12" s="82" t="n"/>
      <c r="D12" s="94" t="inlineStr">
        <is>
          <t>Total Portfolio</t>
        </is>
      </c>
      <c r="E12" s="95" t="inlineStr"/>
      <c r="F12" s="96" t="inlineStr"/>
      <c r="G12" s="96" t="inlineStr"/>
      <c r="H12" s="97">
        <f>SUM(H4:H11)</f>
        <v/>
      </c>
      <c r="I12" s="97">
        <f>SUM(I4:I11)</f>
        <v/>
      </c>
      <c r="J12" s="98">
        <f>IF((H12-I12)&gt;0, I12/(H12-I12), 0)</f>
        <v/>
      </c>
      <c r="K12" s="98">
        <f>SUM(K4:K11)</f>
        <v/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0" t="inlineStr">
        <is>
          <t>Capital Available for Trading</t>
        </is>
      </c>
      <c r="B13" s="71" t="n">
        <v>9391.6</v>
      </c>
      <c r="C13" s="82" t="n"/>
      <c r="D13" s="99" t="n"/>
      <c r="E13" s="100" t="n"/>
      <c r="F13" s="101" t="n"/>
      <c r="G13" s="101" t="n"/>
      <c r="H13" s="101" t="n"/>
      <c r="I13" s="101" t="n"/>
      <c r="J13" s="102" t="n"/>
      <c r="K13" s="34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70" t="inlineStr">
        <is>
          <t>Total Wins</t>
        </is>
      </c>
      <c r="B14" s="73">
        <f>COUNTIF(Ledger!N:N, "WIN")</f>
        <v/>
      </c>
      <c r="C14" s="82" t="n"/>
      <c r="D14" s="99" t="n"/>
      <c r="E14" s="103" t="n"/>
      <c r="F14" s="82" t="n"/>
      <c r="G14" s="82" t="n"/>
      <c r="H14" s="101" t="n"/>
      <c r="I14" s="101" t="n"/>
      <c r="J14" s="102" t="n"/>
      <c r="K14" s="47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0" t="inlineStr">
        <is>
          <t>Total Losses</t>
        </is>
      </c>
      <c r="B15" s="73">
        <f>COUNTIF(Ledger!N:N, "LOSS")</f>
        <v/>
      </c>
      <c r="C15" s="82" t="n"/>
      <c r="D15" s="82" t="n"/>
      <c r="E15" s="82" t="n"/>
      <c r="F15" s="82" t="n"/>
      <c r="G15" s="82" t="n"/>
      <c r="H15" s="82" t="n"/>
      <c r="I15" s="82" t="n"/>
      <c r="J15" s="8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0" t="inlineStr">
        <is>
          <t>Total Taxes Paid to Zerodha</t>
        </is>
      </c>
      <c r="B16" s="71">
        <f>SUMIF(Capital!D:D, "*Brokerage &amp; taxes*", Capital!C:C)</f>
        <v/>
      </c>
      <c r="C16" s="82" t="n"/>
      <c r="D16" s="82" t="n"/>
      <c r="E16" s="82" t="n"/>
      <c r="F16" s="82" t="n"/>
      <c r="G16" s="82" t="n"/>
      <c r="H16" s="82" t="n"/>
      <c r="I16" s="82" t="n"/>
      <c r="J16" s="8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4" t="inlineStr">
        <is>
          <t>Swing Trading Statistics</t>
        </is>
      </c>
      <c r="C17" s="82" t="n"/>
      <c r="D17" s="82" t="n"/>
      <c r="E17" s="82" t="n"/>
      <c r="F17" s="82" t="n"/>
      <c r="G17" s="82" t="n"/>
      <c r="H17" s="82" t="n"/>
      <c r="I17" s="82" t="n"/>
      <c r="J17" s="8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0" t="inlineStr">
        <is>
          <t>Swing Win Rate</t>
        </is>
      </c>
      <c r="B18" s="72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2" t="n"/>
      <c r="D18" s="82" t="n"/>
      <c r="E18" s="82" t="n"/>
      <c r="F18" s="82" t="n"/>
      <c r="G18" s="82" t="n"/>
      <c r="H18" s="82" t="n"/>
      <c r="I18" s="82" t="n"/>
      <c r="J18" s="8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0" t="inlineStr">
        <is>
          <t>Swing Realized PnL</t>
        </is>
      </c>
      <c r="B19" s="71">
        <f>SUMIFS(Ledger!M:M, Ledger!P:P, "SWING")</f>
        <v/>
      </c>
      <c r="C19" s="82" t="n"/>
      <c r="D19" s="82" t="n"/>
      <c r="E19" s="82" t="n"/>
      <c r="F19" s="82" t="n"/>
      <c r="G19" s="82" t="n"/>
      <c r="H19" s="82" t="n"/>
      <c r="I19" s="82" t="n"/>
      <c r="J19" s="8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0" t="inlineStr">
        <is>
          <t>Swing Completed Trades</t>
        </is>
      </c>
      <c r="B20" s="73">
        <f>COUNTIFS(Ledger!P:P, "SWING", Ledger!N:N, "WIN") + COUNTIFS(Ledger!P:P, "SWING", Ledger!N:N, "LOSS")</f>
        <v/>
      </c>
      <c r="C20" s="82" t="n"/>
      <c r="D20" s="82" t="n"/>
      <c r="E20" s="82" t="n"/>
      <c r="F20" s="82" t="n"/>
      <c r="G20" s="82" t="n"/>
      <c r="H20" s="82" t="n"/>
      <c r="I20" s="82" t="n"/>
      <c r="J20" s="8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70" t="inlineStr">
        <is>
          <t>Swing Active Positions</t>
        </is>
      </c>
      <c r="B21" s="73">
        <f>COUNTIFS(Ledger!P:P, "SWING", Ledger!N:N, "OPEN")</f>
        <v/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74" t="inlineStr">
        <is>
          <t>Intraday Trading Statistics</t>
        </is>
      </c>
      <c r="C22" s="82" t="n"/>
      <c r="D22" s="82" t="n"/>
      <c r="E22" s="82" t="n"/>
      <c r="F22" s="82" t="n"/>
      <c r="G22" s="82" t="n"/>
      <c r="H22" s="82" t="n"/>
      <c r="I22" s="82" t="n"/>
      <c r="J22" s="8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70" t="inlineStr">
        <is>
          <t>Intraday Win Rate</t>
        </is>
      </c>
      <c r="B23" s="72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70" t="inlineStr">
        <is>
          <t>Intraday Realized PnL</t>
        </is>
      </c>
      <c r="B24" s="71">
        <f>SUMIFS(Ledger!M:M, Ledger!P:P, "INTRADAY")</f>
        <v/>
      </c>
      <c r="C24" s="82" t="n"/>
      <c r="D24" s="82" t="n"/>
      <c r="E24" s="82" t="n"/>
      <c r="F24" s="82" t="n"/>
      <c r="G24" s="82" t="n"/>
      <c r="H24" s="82" t="n"/>
      <c r="I24" s="82" t="n"/>
      <c r="J24" s="8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70" t="inlineStr">
        <is>
          <t>Intraday Completed Trades</t>
        </is>
      </c>
      <c r="B25" s="73">
        <f>COUNTIFS(Ledger!P:P, "INTRADAY", Ledger!N:N, "WIN") + COUNTIFS(Ledger!P:P, "INTRADAY", Ledger!N:N, "LOSS")</f>
        <v/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0" t="inlineStr">
        <is>
          <t>Intraday Active Positions</t>
        </is>
      </c>
      <c r="B26" s="73">
        <f>COUNTIFS(Ledger!P:P, "INTRADAY", Ledger!N:N, "OPEN")</f>
        <v/>
      </c>
      <c r="C26" s="82" t="n"/>
      <c r="D26" s="82" t="n"/>
      <c r="E26" s="82" t="n"/>
      <c r="F26" s="82" t="n"/>
      <c r="G26" s="82" t="n"/>
      <c r="H26" s="82" t="n"/>
      <c r="I26" s="82" t="n"/>
      <c r="J26" s="8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74" t="inlineStr">
        <is>
          <t>Activity &amp; Performance Metrics</t>
        </is>
      </c>
      <c r="C27" s="82" t="n"/>
      <c r="D27" s="82" t="n"/>
      <c r="E27" s="82" t="n"/>
      <c r="F27" s="82" t="n"/>
      <c r="G27" s="82" t="n"/>
      <c r="H27" s="82" t="n"/>
      <c r="I27" s="82" t="n"/>
      <c r="J27" s="8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70" t="inlineStr">
        <is>
          <t>Average Days to Exit a Trade</t>
        </is>
      </c>
      <c r="B28" s="75" t="n">
        <v>5.095238095238095</v>
      </c>
      <c r="C28" s="82" t="n"/>
      <c r="D28" s="82" t="n"/>
      <c r="E28" s="82" t="n"/>
      <c r="F28" s="82" t="n"/>
      <c r="G28" s="82" t="n"/>
      <c r="H28" s="82" t="n"/>
      <c r="I28" s="82" t="n"/>
      <c r="J28" s="8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70" t="inlineStr">
        <is>
          <t>Average Trades per Day</t>
        </is>
      </c>
      <c r="B29" s="75" t="n">
        <v>2.1</v>
      </c>
      <c r="C29" s="82" t="n"/>
      <c r="D29" s="82" t="n"/>
      <c r="E29" s="82" t="n"/>
      <c r="F29" s="82" t="n"/>
      <c r="G29" s="82" t="n"/>
      <c r="H29" s="82" t="n"/>
      <c r="I29" s="82" t="n"/>
      <c r="J29" s="8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70" t="inlineStr">
        <is>
          <t>Average Unique Holdings per Day</t>
        </is>
      </c>
      <c r="B30" s="75" t="n">
        <v>5.647058823529412</v>
      </c>
      <c r="C30" s="82" t="n"/>
      <c r="D30" s="82" t="n"/>
      <c r="E30" s="82" t="n"/>
      <c r="F30" s="82" t="n"/>
      <c r="G30" s="82" t="n"/>
      <c r="H30" s="82" t="n"/>
      <c r="I30" s="82" t="n"/>
      <c r="J30" s="8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70" t="inlineStr">
        <is>
          <t>Average Profit % per trade</t>
        </is>
      </c>
      <c r="B31" s="72" t="n">
        <v>0.08952050809799013</v>
      </c>
      <c r="C31" s="82" t="n"/>
      <c r="D31" s="82" t="n"/>
      <c r="E31" s="82" t="n"/>
      <c r="F31" s="82" t="n"/>
      <c r="G31" s="82" t="n"/>
      <c r="H31" s="82" t="n"/>
      <c r="I31" s="82" t="n"/>
      <c r="J31" s="8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70" t="inlineStr">
        <is>
          <t>Average Loss % per trade</t>
        </is>
      </c>
      <c r="B32" s="72" t="n">
        <v>-0.03866417764165791</v>
      </c>
      <c r="C32" s="82" t="n"/>
      <c r="D32" s="82" t="n"/>
      <c r="E32" s="82" t="n"/>
      <c r="F32" s="82" t="n"/>
      <c r="G32" s="82" t="n"/>
      <c r="H32" s="82" t="n"/>
      <c r="I32" s="82" t="n"/>
      <c r="J32" s="8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70" t="inlineStr">
        <is>
          <t>Average Value per Trade</t>
        </is>
      </c>
      <c r="B33" s="71" t="n">
        <v>1263.707619047619</v>
      </c>
      <c r="C33" s="82" t="n"/>
      <c r="D33" s="82" t="n"/>
      <c r="E33" s="82" t="n"/>
      <c r="F33" s="82" t="n"/>
      <c r="G33" s="82" t="n"/>
      <c r="H33" s="82" t="n"/>
      <c r="I33" s="82" t="n"/>
      <c r="J33" s="8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82" t="n"/>
      <c r="B34" s="82" t="n"/>
      <c r="C34" s="82" t="n"/>
      <c r="D34" s="82" t="n"/>
      <c r="E34" s="82" t="n"/>
      <c r="F34" s="82" t="n"/>
      <c r="G34" s="82" t="n"/>
      <c r="H34" s="82" t="n"/>
      <c r="I34" s="82" t="n"/>
      <c r="J34" s="8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82" t="n"/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82" t="n"/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82" t="n"/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82" t="n"/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82" t="n"/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82" t="n"/>
      <c r="B40" s="82" t="n"/>
      <c r="C40" s="82" t="n"/>
      <c r="D40" s="82" t="n"/>
      <c r="E40" s="82" t="n"/>
      <c r="F40" s="82" t="n"/>
      <c r="G40" s="82" t="n"/>
      <c r="H40" s="82" t="n"/>
      <c r="I40" s="82" t="n"/>
      <c r="J40" s="8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82" t="n"/>
      <c r="B42" s="82" t="n"/>
      <c r="C42" s="82" t="n"/>
      <c r="D42" s="82" t="n"/>
      <c r="E42" s="82" t="n"/>
      <c r="F42" s="82" t="n"/>
      <c r="G42" s="82" t="n"/>
      <c r="H42" s="82" t="n"/>
      <c r="I42" s="82" t="n"/>
      <c r="J42" s="8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82" t="n"/>
      <c r="B43" s="82" t="n"/>
      <c r="C43" s="82" t="n"/>
      <c r="D43" s="82" t="n"/>
      <c r="E43" s="82" t="n"/>
      <c r="F43" s="82" t="n"/>
      <c r="G43" s="82" t="n"/>
      <c r="H43" s="82" t="n"/>
      <c r="I43" s="82" t="n"/>
      <c r="J43" s="8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82" t="n"/>
      <c r="B44" s="82" t="n"/>
      <c r="C44" s="82" t="n"/>
      <c r="D44" s="82" t="n"/>
      <c r="E44" s="82" t="n"/>
      <c r="F44" s="82" t="n"/>
      <c r="G44" s="82" t="n"/>
      <c r="H44" s="82" t="n"/>
      <c r="I44" s="82" t="n"/>
      <c r="J44" s="8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8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8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8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4" t="inlineStr">
        <is>
          <t>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8" t="inlineStr">
        <is>
          <t>Trade Type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76" t="inlineStr">
        <is>
          <t>SUNPHARMA</t>
        </is>
      </c>
      <c r="B2" s="76" t="inlineStr">
        <is>
          <t>SUNPHARMA</t>
        </is>
      </c>
      <c r="C2" s="76" t="inlineStr">
        <is>
          <t>2026-07-21</t>
        </is>
      </c>
      <c r="D2" s="76" t="n">
        <v>1</v>
      </c>
      <c r="E2" s="77" t="n">
        <v>1951</v>
      </c>
      <c r="F2" s="77" t="n">
        <v>1963.199951171875</v>
      </c>
      <c r="G2" s="77">
        <f>E2-F2</f>
        <v/>
      </c>
      <c r="H2" s="77" t="n">
        <v>2091.543361767483</v>
      </c>
      <c r="I2" s="77" t="n">
        <v>1899.028245874071</v>
      </c>
      <c r="J2" s="76" t="inlineStr">
        <is>
          <t>1:2.7</t>
        </is>
      </c>
      <c r="K2" s="76" t="inlineStr">
        <is>
          <t>2026-07-21</t>
        </is>
      </c>
      <c r="L2" s="77" t="n">
        <v>1960</v>
      </c>
      <c r="M2" s="77">
        <f>IF(OR(N2="WIN", N2="LOSS"), (L2-E2)*D2, 0)</f>
        <v/>
      </c>
      <c r="N2" s="76" t="inlineStr">
        <is>
          <t>WIN</t>
        </is>
      </c>
      <c r="O2" s="76" t="inlineStr">
        <is>
          <t>Auto-synced from Zerodha account | Auto-synced sell from Zerodha account</t>
        </is>
      </c>
      <c r="P2" s="78" t="inlineStr">
        <is>
          <t>SWING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6" t="inlineStr">
        <is>
          <t>JSWSTEEL</t>
        </is>
      </c>
      <c r="B3" s="76" t="inlineStr">
        <is>
          <t>JSWSTEEL</t>
        </is>
      </c>
      <c r="C3" s="76" t="inlineStr">
        <is>
          <t>2026-07-21</t>
        </is>
      </c>
      <c r="D3" s="76" t="n">
        <v>1</v>
      </c>
      <c r="E3" s="77" t="n">
        <v>1266.4</v>
      </c>
      <c r="F3" s="77" t="n">
        <v>1268.099975585938</v>
      </c>
      <c r="G3" s="77">
        <f>E3-F3</f>
        <v/>
      </c>
      <c r="H3" s="77" t="n">
        <v>1369.684246737149</v>
      </c>
      <c r="I3" s="77" t="n">
        <v>1217.307840010332</v>
      </c>
      <c r="J3" s="76" t="inlineStr">
        <is>
          <t>1:2.1</t>
        </is>
      </c>
      <c r="K3" s="76" t="inlineStr">
        <is>
          <t>2026-07-21</t>
        </is>
      </c>
      <c r="L3" s="77" t="n">
        <v>1267.1</v>
      </c>
      <c r="M3" s="77">
        <f>IF(OR(N3="WIN", N3="LOSS"), (L3-E3)*D3, 0)</f>
        <v/>
      </c>
      <c r="N3" s="76" t="inlineStr">
        <is>
          <t>WIN</t>
        </is>
      </c>
      <c r="O3" s="76" t="inlineStr">
        <is>
          <t>Auto-synced from Zerodha account | Auto-synced sell from Zerodha account</t>
        </is>
      </c>
      <c r="P3" s="78" t="inlineStr">
        <is>
          <t>SWING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79" t="inlineStr">
        <is>
          <t>TECHM</t>
        </is>
      </c>
      <c r="B4" s="79" t="inlineStr">
        <is>
          <t>TECHM</t>
        </is>
      </c>
      <c r="C4" s="79" t="inlineStr">
        <is>
          <t>2026-07-21</t>
        </is>
      </c>
      <c r="D4" s="79" t="n">
        <v>1</v>
      </c>
      <c r="E4" s="80" t="n">
        <v>1589.1</v>
      </c>
      <c r="F4" s="80" t="n">
        <v>1582.699951171875</v>
      </c>
      <c r="G4" s="80">
        <f>E4-F4</f>
        <v/>
      </c>
      <c r="H4" s="80" t="n">
        <v>1785.968673647753</v>
      </c>
      <c r="I4" s="80" t="n">
        <v>1481.065589933936</v>
      </c>
      <c r="J4" s="79" t="inlineStr">
        <is>
          <t>1:1.8</t>
        </is>
      </c>
      <c r="K4" s="79" t="inlineStr">
        <is>
          <t>2026-07-21</t>
        </is>
      </c>
      <c r="L4" s="80" t="n">
        <v>1575</v>
      </c>
      <c r="M4" s="80">
        <f>IF(OR(N4="WIN", N4="LOSS"), (L4-E4)*D4, 0)</f>
        <v/>
      </c>
      <c r="N4" s="79" t="inlineStr">
        <is>
          <t>LOSS</t>
        </is>
      </c>
      <c r="O4" s="79" t="inlineStr">
        <is>
          <t>Auto-synced from Zerodha account | Auto-synced sell from Zerodha account</t>
        </is>
      </c>
      <c r="P4" s="81" t="inlineStr">
        <is>
          <t>SWING</t>
        </is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6" t="inlineStr">
        <is>
          <t>SONACOMS</t>
        </is>
      </c>
      <c r="B5" s="76" t="inlineStr">
        <is>
          <t>SONACOMS</t>
        </is>
      </c>
      <c r="C5" s="76" t="inlineStr">
        <is>
          <t>2026-07-22</t>
        </is>
      </c>
      <c r="D5" s="76" t="n">
        <v>2</v>
      </c>
      <c r="E5" s="77" t="n">
        <v>734.7</v>
      </c>
      <c r="F5" s="77" t="n">
        <v>730.4500122070312</v>
      </c>
      <c r="G5" s="77">
        <f>E5-F5</f>
        <v/>
      </c>
      <c r="H5" s="77" t="n">
        <v>800.5786220005581</v>
      </c>
      <c r="I5" s="77" t="n">
        <v>695.3857073102679</v>
      </c>
      <c r="J5" s="76" t="inlineStr">
        <is>
          <t>1:1.7</t>
        </is>
      </c>
      <c r="K5" s="78" t="inlineStr">
        <is>
          <t>2026-08-05</t>
        </is>
      </c>
      <c r="L5" s="77" t="n">
        <v>798.25</v>
      </c>
      <c r="M5" s="77">
        <f>IF(OR(N5="WIN", N5="LOSS"), (L5-E5)*D5, 0)</f>
        <v/>
      </c>
      <c r="N5" s="76" t="inlineStr">
        <is>
          <t>WIN</t>
        </is>
      </c>
      <c r="O5" s="76" t="inlineStr">
        <is>
          <t>Auto-synced from Zerodha account | [2026-07-28] State 4 (Cash Only): Hold position, maintain pre-set stop-loss, do not average down. | Auto-synced sell from Zerodha account</t>
        </is>
      </c>
      <c r="P5" s="78" t="inlineStr">
        <is>
          <t>SWING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0" t="inlineStr">
        <is>
          <t>JSWSTEEL</t>
        </is>
      </c>
      <c r="B6" s="20" t="inlineStr">
        <is>
          <t>JSW Steel Limited</t>
        </is>
      </c>
      <c r="C6" s="21" t="inlineStr">
        <is>
          <t>2026-07-22</t>
        </is>
      </c>
      <c r="D6" s="22" t="n">
        <v>1</v>
      </c>
      <c r="E6" s="23" t="n">
        <v>1265.1</v>
      </c>
      <c r="F6" s="23" t="n">
        <v>1265.1</v>
      </c>
      <c r="G6" s="23">
        <f>E6-F6</f>
        <v/>
      </c>
      <c r="H6" s="23" t="n">
        <v>1368.16</v>
      </c>
      <c r="I6" s="23" t="n">
        <v>1217.31</v>
      </c>
      <c r="J6" s="21" t="inlineStr">
        <is>
          <t>1:2.1</t>
        </is>
      </c>
      <c r="K6" s="22" t="n"/>
      <c r="L6" s="23" t="n"/>
      <c r="M6" s="23">
        <f>IF(OR(N6="WIN", N6="LOSS"), (L6-E6)*D6, 0)</f>
        <v/>
      </c>
      <c r="N6" s="21" t="inlineStr">
        <is>
          <t>OPEN</t>
        </is>
      </c>
      <c r="O6" s="20" t="inlineStr">
        <is>
          <t>Auto-synced from Zerodha account | [2026-07-28] State 4 (Cash Only): Hold position, maintain pre-set stop-loss, do not average down.</t>
        </is>
      </c>
      <c r="P6" s="2" t="inlineStr">
        <is>
          <t>SWING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TECHM</t>
        </is>
      </c>
      <c r="B7" s="2" t="inlineStr">
        <is>
          <t>TECHM</t>
        </is>
      </c>
      <c r="C7" s="2" t="inlineStr">
        <is>
          <t>2026-07-27</t>
        </is>
      </c>
      <c r="D7" s="2" t="n">
        <v>1</v>
      </c>
      <c r="E7" s="15" t="n">
        <v>1579</v>
      </c>
      <c r="F7" s="15" t="n">
        <v>1593.900024414062</v>
      </c>
      <c r="G7" s="15">
        <f>E7-F7</f>
        <v/>
      </c>
      <c r="H7" s="15" t="n">
        <v>1773.642944335938</v>
      </c>
      <c r="I7" s="15" t="n">
        <v>1504.028564453125</v>
      </c>
      <c r="J7" s="2" t="inlineStr">
        <is>
          <t>1:2.6</t>
        </is>
      </c>
      <c r="K7" s="2" t="n"/>
      <c r="L7" s="2" t="n"/>
      <c r="M7" s="15">
        <f>IF(OR(N7="WIN", N7="LOSS"), (L7-E7)*D7, 0)</f>
        <v/>
      </c>
      <c r="N7" s="2" t="inlineStr">
        <is>
          <t>OPEN</t>
        </is>
      </c>
      <c r="O7" s="2" t="inlineStr">
        <is>
          <t>Auto-synced from Zerodha account | [2026-07-28] State 4 (Cash Only): Hold position, maintain pre-set stop-loss, do not average down.</t>
        </is>
      </c>
      <c r="P7" s="2" t="inlineStr">
        <is>
          <t>SWING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BERGEPAINT</t>
        </is>
      </c>
      <c r="B8" s="2" t="inlineStr">
        <is>
          <t>Berger Paints India Limited</t>
        </is>
      </c>
      <c r="C8" s="2" t="inlineStr">
        <is>
          <t>2026-07-31</t>
        </is>
      </c>
      <c r="D8" s="2" t="n">
        <v>2</v>
      </c>
      <c r="E8" s="15" t="n">
        <v>519.13</v>
      </c>
      <c r="F8" s="15" t="n">
        <v>521.35</v>
      </c>
      <c r="G8" s="15">
        <f>E8-F8</f>
        <v/>
      </c>
      <c r="H8" s="15" t="n">
        <v>574.85</v>
      </c>
      <c r="I8" s="15" t="n">
        <v>494.6</v>
      </c>
      <c r="J8" s="2" t="inlineStr">
        <is>
          <t>1:2.0</t>
        </is>
      </c>
      <c r="K8" s="2" t="n"/>
      <c r="L8" s="15" t="n"/>
      <c r="M8" s="15">
        <f>IF(OR(N8="WIN", N8="LOSS"), (L8-E8)*D8, 0)</f>
        <v/>
      </c>
      <c r="N8" s="2" t="inlineStr">
        <is>
          <t>OPEN</t>
        </is>
      </c>
      <c r="O8" s="2" t="inlineStr">
        <is>
          <t>Auto-synced from Zerodha holdings</t>
        </is>
      </c>
      <c r="P8" s="2" t="inlineStr">
        <is>
          <t>SWING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ADVANCE</t>
        </is>
      </c>
      <c r="B9" s="2" t="inlineStr">
        <is>
          <t>Advanced Enzyme Technologies Limited</t>
        </is>
      </c>
      <c r="C9" s="2" t="inlineStr">
        <is>
          <t>2026-08-03</t>
        </is>
      </c>
      <c r="D9" s="2" t="n">
        <v>4</v>
      </c>
      <c r="E9" s="15" t="n">
        <v>127.8</v>
      </c>
      <c r="F9" s="15" t="n">
        <v>125.01</v>
      </c>
      <c r="G9" s="15">
        <f>E9-F9</f>
        <v/>
      </c>
      <c r="H9" s="15" t="n">
        <v>145.56</v>
      </c>
      <c r="I9" s="15" t="n">
        <v>114.74</v>
      </c>
      <c r="J9" s="2" t="inlineStr">
        <is>
          <t>1:2.0</t>
        </is>
      </c>
      <c r="K9" s="2" t="n"/>
      <c r="L9" s="15" t="n"/>
      <c r="M9" s="15">
        <f>IF(OR(N9="WIN", N9="LOSS"), (L9-E9)*D9, 0)</f>
        <v/>
      </c>
      <c r="N9" s="2" t="inlineStr">
        <is>
          <t>OPEN</t>
        </is>
      </c>
      <c r="O9" s="2" t="inlineStr">
        <is>
          <t>Buy actual fill price matching Zerodha (corrected from 125.01)</t>
        </is>
      </c>
      <c r="P9" s="2" t="inlineStr">
        <is>
          <t>SWING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81" t="inlineStr">
        <is>
          <t>NESTLEIND</t>
        </is>
      </c>
      <c r="B10" s="81" t="inlineStr">
        <is>
          <t>NESTLEIND</t>
        </is>
      </c>
      <c r="C10" s="81" t="inlineStr">
        <is>
          <t>2026-08-04</t>
        </is>
      </c>
      <c r="D10" s="81" t="n">
        <v>1</v>
      </c>
      <c r="E10" s="80" t="n">
        <v>1530</v>
      </c>
      <c r="F10" s="80" t="n">
        <v>1530</v>
      </c>
      <c r="G10" s="80" t="n">
        <v>0</v>
      </c>
      <c r="H10" s="80" t="n">
        <v>1549.8</v>
      </c>
      <c r="I10" s="80" t="n">
        <v>1520.1</v>
      </c>
      <c r="J10" s="81" t="inlineStr">
        <is>
          <t>1:2.0</t>
        </is>
      </c>
      <c r="K10" s="81" t="inlineStr">
        <is>
          <t>2026-08-04</t>
        </is>
      </c>
      <c r="L10" s="80" t="n">
        <v>1520.1</v>
      </c>
      <c r="M10" s="80">
        <f>IF(OR(N10="WIN", N10="LOSS"), (L10-E10)*D10, 0)</f>
        <v/>
      </c>
      <c r="N10" s="81" t="inlineStr">
        <is>
          <t>LOSS</t>
        </is>
      </c>
      <c r="O10" s="81" t="inlineStr">
        <is>
          <t>Intraday placement. GTT Trigger: 330204955 | Position closed via Stop-Loss GTT trigger. Actual Buy Filled at INR 1523.00</t>
        </is>
      </c>
      <c r="P10" s="81" t="inlineStr">
        <is>
          <t>INTRADAY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81" t="inlineStr">
        <is>
          <t>PIDILITIND</t>
        </is>
      </c>
      <c r="B11" s="81" t="inlineStr">
        <is>
          <t>PIDILITIND</t>
        </is>
      </c>
      <c r="C11" s="81" t="inlineStr">
        <is>
          <t>2026-08-04</t>
        </is>
      </c>
      <c r="D11" s="81" t="n">
        <v>1</v>
      </c>
      <c r="E11" s="80" t="n">
        <v>1642.5</v>
      </c>
      <c r="F11" s="80" t="n">
        <v>1642.5</v>
      </c>
      <c r="G11" s="80" t="n">
        <v>0</v>
      </c>
      <c r="H11" s="80" t="n">
        <v>1658.5</v>
      </c>
      <c r="I11" s="80" t="n">
        <v>1634.5</v>
      </c>
      <c r="J11" s="81" t="inlineStr">
        <is>
          <t>1:2.0</t>
        </is>
      </c>
      <c r="K11" s="81" t="inlineStr">
        <is>
          <t>2026-08-04</t>
        </is>
      </c>
      <c r="L11" s="80" t="n">
        <v>1634.5</v>
      </c>
      <c r="M11" s="80">
        <f>IF(OR(N11="WIN", N11="LOSS"), (L11-E11)*D11, 0)</f>
        <v/>
      </c>
      <c r="N11" s="81" t="inlineStr">
        <is>
          <t>LOSS</t>
        </is>
      </c>
      <c r="O11" s="81" t="inlineStr">
        <is>
          <t>Intraday placement. GTT Trigger: 330204926 | Position closed via Stop-Loss GTT trigger.</t>
        </is>
      </c>
      <c r="P11" s="81" t="inlineStr">
        <is>
          <t>INTRADAY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8" t="inlineStr">
        <is>
          <t>VISAKAIND</t>
        </is>
      </c>
      <c r="B12" s="78" t="inlineStr">
        <is>
          <t>VISAKAIND</t>
        </is>
      </c>
      <c r="C12" s="78" t="inlineStr">
        <is>
          <t>2026-08-05</t>
        </is>
      </c>
      <c r="D12" s="78" t="n">
        <v>8</v>
      </c>
      <c r="E12" s="77" t="n">
        <v>86.98999999999999</v>
      </c>
      <c r="F12" s="77" t="n">
        <v>86.98999999999999</v>
      </c>
      <c r="G12" s="77" t="n">
        <v>0</v>
      </c>
      <c r="H12" s="77" t="n">
        <v>101.83</v>
      </c>
      <c r="I12" s="77" t="n">
        <v>79.56999999999999</v>
      </c>
      <c r="J12" s="78" t="inlineStr">
        <is>
          <t>1:2.0</t>
        </is>
      </c>
      <c r="K12" s="78" t="inlineStr">
        <is>
          <t>2026-08-10</t>
        </is>
      </c>
      <c r="L12" s="77" t="n">
        <v>103.24</v>
      </c>
      <c r="M12" s="77">
        <f>IF(OR(N12="WIN", N12="LOSS"), (L12-E12)*D12, 0)</f>
        <v/>
      </c>
      <c r="N12" s="78" t="inlineStr">
        <is>
          <t>WIN</t>
        </is>
      </c>
      <c r="O12" s="78" t="inlineStr">
        <is>
          <t>Swing AMO placement. GTT Trigger: 330406766 | Auto-synced sell from Zerodha account</t>
        </is>
      </c>
      <c r="P12" s="78" t="inlineStr">
        <is>
          <t>SWING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81" t="inlineStr">
        <is>
          <t>EXCELSOFT</t>
        </is>
      </c>
      <c r="B13" s="81" t="inlineStr">
        <is>
          <t>EXCELSOFT</t>
        </is>
      </c>
      <c r="C13" s="81" t="inlineStr">
        <is>
          <t>2026-08-05</t>
        </is>
      </c>
      <c r="D13" s="81" t="n">
        <v>8</v>
      </c>
      <c r="E13" s="80" t="n">
        <v>82.5</v>
      </c>
      <c r="F13" s="80" t="n">
        <v>82.5</v>
      </c>
      <c r="G13" s="80" t="n">
        <v>0</v>
      </c>
      <c r="H13" s="80" t="n">
        <v>93.81</v>
      </c>
      <c r="I13" s="80" t="n">
        <v>77.58</v>
      </c>
      <c r="J13" s="81" t="inlineStr">
        <is>
          <t>1:2.0</t>
        </is>
      </c>
      <c r="K13" s="81" t="inlineStr">
        <is>
          <t>2026-08-10</t>
        </is>
      </c>
      <c r="L13" s="80" t="n">
        <v>77.58</v>
      </c>
      <c r="M13" s="80">
        <f>IF(OR(N13="WIN", N13="LOSS"), (L13-E13)*D13, 0)</f>
        <v/>
      </c>
      <c r="N13" s="81" t="inlineStr">
        <is>
          <t>LOSS</t>
        </is>
      </c>
      <c r="O13" s="81" t="inlineStr">
        <is>
          <t>Swing AMO placement. GTT Trigger: 330406774 | Auto-synced sell from Zerodha account</t>
        </is>
      </c>
      <c r="P13" s="81" t="inlineStr">
        <is>
          <t>SWING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81" t="inlineStr">
        <is>
          <t>SONATSOFTW</t>
        </is>
      </c>
      <c r="B14" s="81" t="inlineStr">
        <is>
          <t>SONATSOFTW</t>
        </is>
      </c>
      <c r="C14" s="81" t="inlineStr">
        <is>
          <t>2026-08-05</t>
        </is>
      </c>
      <c r="D14" s="81" t="n">
        <v>3</v>
      </c>
      <c r="E14" s="80" t="n">
        <v>341.15</v>
      </c>
      <c r="F14" s="80" t="n">
        <v>341.15</v>
      </c>
      <c r="G14" s="80" t="n">
        <v>0</v>
      </c>
      <c r="H14" s="80" t="n">
        <v>405.1</v>
      </c>
      <c r="I14" s="80" t="n">
        <v>316.2</v>
      </c>
      <c r="J14" s="81" t="inlineStr">
        <is>
          <t>1:2.6</t>
        </is>
      </c>
      <c r="K14" s="81" t="inlineStr">
        <is>
          <t>2026-08-10</t>
        </is>
      </c>
      <c r="L14" s="80" t="n">
        <v>316.2</v>
      </c>
      <c r="M14" s="80">
        <f>IF(OR(N15="WIN", N15="LOSS"), (L15-E15)*D15, 0)</f>
        <v/>
      </c>
      <c r="N14" s="81" t="inlineStr">
        <is>
          <t>LOSS</t>
        </is>
      </c>
      <c r="O14" s="81" t="inlineStr">
        <is>
          <t>Swing Trade placement. GTT Trigger: 330502180 | Auto-synced sell from Zerodha account</t>
        </is>
      </c>
      <c r="P14" s="81" t="inlineStr">
        <is>
          <t>SWING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IFGLEXPOR</t>
        </is>
      </c>
      <c r="B15" s="2" t="inlineStr">
        <is>
          <t>IFGLEXPOR</t>
        </is>
      </c>
      <c r="C15" s="2" t="inlineStr">
        <is>
          <t>2026-08-06</t>
        </is>
      </c>
      <c r="D15" s="2" t="n">
        <v>4</v>
      </c>
      <c r="E15" s="15" t="n">
        <v>219.6</v>
      </c>
      <c r="F15" s="15" t="n">
        <v>219.6</v>
      </c>
      <c r="G15" s="15" t="n">
        <v>0</v>
      </c>
      <c r="H15" s="15" t="n">
        <v>266.25</v>
      </c>
      <c r="I15" s="15" t="n">
        <v>196.3</v>
      </c>
      <c r="J15" s="2" t="inlineStr">
        <is>
          <t>1:2.0</t>
        </is>
      </c>
      <c r="K15" s="2" t="n"/>
      <c r="L15" s="2" t="n"/>
      <c r="M15" s="15">
        <f>IF(OR(N16="WIN", N16="LOSS"), (L16-E16)*D16, 0)</f>
        <v/>
      </c>
      <c r="N15" s="2" t="inlineStr">
        <is>
          <t>OPEN</t>
        </is>
      </c>
      <c r="O15" s="2" t="inlineStr">
        <is>
          <t>Swing AMO placement. GTT Trigger: 330580516</t>
        </is>
      </c>
      <c r="P15" s="2" t="inlineStr">
        <is>
          <t>SWING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8" t="inlineStr">
        <is>
          <t>SAPPHIRE</t>
        </is>
      </c>
      <c r="B16" s="78" t="inlineStr">
        <is>
          <t>SAPPHIRE</t>
        </is>
      </c>
      <c r="C16" s="78" t="inlineStr">
        <is>
          <t>2026-08-06</t>
        </is>
      </c>
      <c r="D16" s="78" t="n">
        <v>4</v>
      </c>
      <c r="E16" s="77" t="n">
        <v>202.5</v>
      </c>
      <c r="F16" s="77" t="n">
        <v>202.5</v>
      </c>
      <c r="G16" s="77" t="n">
        <v>0</v>
      </c>
      <c r="H16" s="77" t="n">
        <v>238.85</v>
      </c>
      <c r="I16" s="77" t="n">
        <v>184.35</v>
      </c>
      <c r="J16" s="78" t="inlineStr">
        <is>
          <t>1:2.0</t>
        </is>
      </c>
      <c r="K16" s="78" t="inlineStr">
        <is>
          <t>2026-08-12</t>
        </is>
      </c>
      <c r="L16" s="77" t="n">
        <v>236.75</v>
      </c>
      <c r="M16" s="77">
        <f>IF(OR(N17="WIN", N17="LOSS"), (L17-E17)*D17, 0)</f>
        <v/>
      </c>
      <c r="N16" s="78" t="inlineStr">
        <is>
          <t>WIN</t>
        </is>
      </c>
      <c r="O16" s="78" t="inlineStr">
        <is>
          <t>Swing AMO placement. GTT Trigger: 330580530 | Auto-synced sell from Zerodha account</t>
        </is>
      </c>
      <c r="P16" s="78" t="inlineStr">
        <is>
          <t>SWING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AEROENTER</t>
        </is>
      </c>
      <c r="B17" s="2" t="inlineStr">
        <is>
          <t>AEROENTER</t>
        </is>
      </c>
      <c r="C17" s="2" t="inlineStr">
        <is>
          <t>2026-08-06</t>
        </is>
      </c>
      <c r="D17" s="2" t="n">
        <v>8</v>
      </c>
      <c r="E17" s="15" t="n">
        <v>132.01</v>
      </c>
      <c r="F17" s="15" t="n">
        <v>132.01</v>
      </c>
      <c r="G17" s="15">
        <f>E18-F18</f>
        <v/>
      </c>
      <c r="H17" s="15" t="n">
        <v>159.05</v>
      </c>
      <c r="I17" s="15" t="n">
        <v>118.7</v>
      </c>
      <c r="J17" s="2" t="inlineStr">
        <is>
          <t>1:2.0</t>
        </is>
      </c>
      <c r="K17" s="2" t="n"/>
      <c r="L17" s="2" t="n"/>
      <c r="M17" s="15">
        <f>IF(OR(N18="WIN", N18="LOSS"), (L18-E18)*D18, 0)</f>
        <v/>
      </c>
      <c r="N17" s="2" t="inlineStr">
        <is>
          <t>OPEN</t>
        </is>
      </c>
      <c r="O17" s="2" t="inlineStr">
        <is>
          <t>Swing AMO placement. GTT Trigger: 330580552</t>
        </is>
      </c>
      <c r="P17" s="2" t="inlineStr">
        <is>
          <t>SWING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81" t="inlineStr">
        <is>
          <t>TATASTEEL</t>
        </is>
      </c>
      <c r="B18" s="81" t="inlineStr">
        <is>
          <t>TATASTEEL</t>
        </is>
      </c>
      <c r="C18" s="81" t="inlineStr">
        <is>
          <t>2026-08-06</t>
        </is>
      </c>
      <c r="D18" s="81" t="n">
        <v>1</v>
      </c>
      <c r="E18" s="80" t="n">
        <v>192.6</v>
      </c>
      <c r="F18" s="80" t="n">
        <v>192.6</v>
      </c>
      <c r="G18" s="80" t="n">
        <v>0</v>
      </c>
      <c r="H18" s="80" t="n">
        <v>195.65</v>
      </c>
      <c r="I18" s="80" t="n">
        <v>191.65</v>
      </c>
      <c r="J18" s="81" t="inlineStr">
        <is>
          <t>1:2.0</t>
        </is>
      </c>
      <c r="K18" s="81" t="inlineStr">
        <is>
          <t>2026-08-06</t>
        </is>
      </c>
      <c r="L18" s="81" t="n">
        <v>191.65</v>
      </c>
      <c r="M18" s="80">
        <f>IF(OR(N19="WIN", N19="LOSS"), (L19-E19)*D19, 0)</f>
        <v/>
      </c>
      <c r="N18" s="81" t="inlineStr">
        <is>
          <t>LOSS</t>
        </is>
      </c>
      <c r="O18" s="81" t="inlineStr">
        <is>
          <t>Intraday AMO placement. GTT Trigger: 330580570 | Closed via GTT Stop Loss.</t>
        </is>
      </c>
      <c r="P18" s="81" t="inlineStr">
        <is>
          <t>INTRADAY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81" t="inlineStr">
        <is>
          <t>HARSHA</t>
        </is>
      </c>
      <c r="B19" s="81" t="inlineStr">
        <is>
          <t>Harsha Engineers International Limited</t>
        </is>
      </c>
      <c r="C19" s="81" t="inlineStr">
        <is>
          <t>2026-08-11</t>
        </is>
      </c>
      <c r="D19" s="81" t="n">
        <v>3</v>
      </c>
      <c r="E19" s="80" t="n">
        <v>432.6</v>
      </c>
      <c r="F19" s="80" t="n">
        <v>432.6</v>
      </c>
      <c r="G19" s="80" t="n">
        <v>0</v>
      </c>
      <c r="H19" s="80" t="n">
        <v>480.15</v>
      </c>
      <c r="I19" s="80" t="n">
        <v>408.85</v>
      </c>
      <c r="J19" s="81" t="inlineStr">
        <is>
          <t>1:2.0</t>
        </is>
      </c>
      <c r="K19" s="81" t="inlineStr">
        <is>
          <t>2026-08-12</t>
        </is>
      </c>
      <c r="L19" s="81" t="n">
        <v>410.45</v>
      </c>
      <c r="M19" s="80" t="n">
        <v>-66.4500000000001</v>
      </c>
      <c r="N19" s="81" t="inlineStr">
        <is>
          <t>LOSS</t>
        </is>
      </c>
      <c r="O19" s="81" t="inlineStr">
        <is>
          <t>AMO Swing Trade. GTT Trigger: 331229921</t>
        </is>
      </c>
      <c r="P19" s="81" t="inlineStr">
        <is>
          <t>SWING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81" t="inlineStr">
        <is>
          <t>CONFIPET</t>
        </is>
      </c>
      <c r="B20" s="81" t="inlineStr">
        <is>
          <t>Confidence Petroleum India Limited</t>
        </is>
      </c>
      <c r="C20" s="81" t="inlineStr">
        <is>
          <t>2026-08-11</t>
        </is>
      </c>
      <c r="D20" s="81" t="n">
        <v>10</v>
      </c>
      <c r="E20" s="80" t="n">
        <v>82.73999999999999</v>
      </c>
      <c r="F20" s="80" t="n">
        <v>82.73999999999999</v>
      </c>
      <c r="G20" s="80" t="n">
        <v>0</v>
      </c>
      <c r="H20" s="80" t="n">
        <v>99.31</v>
      </c>
      <c r="I20" s="80" t="n">
        <v>74.45</v>
      </c>
      <c r="J20" s="81" t="inlineStr">
        <is>
          <t>1:2.0</t>
        </is>
      </c>
      <c r="K20" s="81" t="inlineStr">
        <is>
          <t>2026-08-12</t>
        </is>
      </c>
      <c r="L20" s="80" t="n">
        <v>74.45</v>
      </c>
      <c r="M20" s="80">
        <f>IF(OR(N20="WIN", N20="LOSS"), (L20-E20)*D20, 0)</f>
        <v/>
      </c>
      <c r="N20" s="81" t="inlineStr">
        <is>
          <t>LOSS</t>
        </is>
      </c>
      <c r="O20" s="81" t="inlineStr">
        <is>
          <t>AMO Swing Trade. GTT Trigger: 10002 | Auto-synced sell from Zerodha account</t>
        </is>
      </c>
      <c r="P20" s="81" t="inlineStr">
        <is>
          <t>SWING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BEL</t>
        </is>
      </c>
      <c r="B21" s="2" t="inlineStr">
        <is>
          <t>BEL</t>
        </is>
      </c>
      <c r="C21" s="2" t="inlineStr">
        <is>
          <t>2026-08-12</t>
        </is>
      </c>
      <c r="D21" s="2" t="n">
        <v>5</v>
      </c>
      <c r="E21" s="15" t="n">
        <v>405.85</v>
      </c>
      <c r="F21" s="15" t="n">
        <v>401.3500061035156</v>
      </c>
      <c r="G21" s="15" t="n">
        <v>4.499993896484398</v>
      </c>
      <c r="H21" s="15" t="n">
        <v>429.2642865862165</v>
      </c>
      <c r="I21" s="15" t="n">
        <v>387.3928658621652</v>
      </c>
      <c r="J21" s="2" t="inlineStr">
        <is>
          <t>1:1.3</t>
        </is>
      </c>
      <c r="K21" s="2" t="n"/>
      <c r="L21" s="2" t="n"/>
      <c r="M21" s="15">
        <f>IF(OR(N22="WIN", N22="LOSS"), (L22-E22)*D22, 0)</f>
        <v/>
      </c>
      <c r="N21" s="2" t="inlineStr">
        <is>
          <t>OPEN</t>
        </is>
      </c>
      <c r="O21" s="2" t="inlineStr">
        <is>
          <t>Auto-synced from Zerodha account</t>
        </is>
      </c>
      <c r="P21" s="2" t="inlineStr">
        <is>
          <t>SWING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15" t="n">
        <v>806.25</v>
      </c>
      <c r="F22" s="15" t="n">
        <v>802</v>
      </c>
      <c r="G22" s="15" t="n">
        <v>4.25</v>
      </c>
      <c r="H22" s="15" t="n">
        <v>896.2857142857143</v>
      </c>
      <c r="I22" s="15" t="n">
        <v>754.8571428571429</v>
      </c>
      <c r="J22" s="2" t="inlineStr">
        <is>
          <t>1:1.8</t>
        </is>
      </c>
      <c r="K22" s="2" t="n"/>
      <c r="L22" s="2" t="n"/>
      <c r="M22" s="15">
        <f>IF(OR(N23="WIN", N23="LOSS"), (L23-E23)*D23,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IF(OR(N29="WIN", N29="LOSS"), (L29-E29)*D29, 0)</f>
        <v/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IF(OR(N30="WIN", N30="LOSS"), (L30-E30)*D30, 0)</f>
        <v/>
      </c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>
        <f>IF(OR(N31="WIN", N31="LOSS"), (L31-E31)*D31, 0)</f>
        <v/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IF(OR(N32="WIN", N32="LOSS"), (L32-E32)*D32, 0)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IF(OR(N33="WIN", N33="LOSS"), (L33-E33)*D33, 0)</f>
        <v/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IF(OR(N34="WIN", N34="LOSS"), (L34-E34)*D34,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IF(OR(N35="WIN", N35="LOSS"), (L35-E35)*D35,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IF(OR(N36="WIN", N36="LOSS"), (L36-E36)*D36,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IF(OR(N37="WIN", N37="LOSS"), (L37-E37)*D37,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IF(OR(N38="WIN", N38="LOSS"), (L38-E38)*D38,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IF(OR(N39="WIN", N39="LOSS"), (L39-E39)*D39,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IF(OR(N40="WIN", N40="LOSS"), (L40-E40)*D40,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IF(OR(N41="WIN", N41="LOSS"), (L41-E41)*D41,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IF(OR(N42="WIN", N42="LOSS"), (L42-E42)*D42,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IF(OR(N43="WIN", N43="LOSS"), (L43-E43)*D43,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IF(OR(N44="WIN", N44="LOSS"), (L44-E44)*D44,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IF(OR(N45="WIN", N45="LOSS"), (L45-E45)*D45,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IF(OR(N46="WIN", N46="LOSS"), (L46-E46)*D46,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IF(OR(N47="WIN", N47="LOSS"), (L47-E47)*D47,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IF(OR(N48="WIN", N48="LOSS"), (L48-E48)*D48,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IF(OR(N49="WIN", N49="LOSS"), (L49-E49)*D49,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IF(OR(N50="WIN", N50="LOSS"), (L50-E50)*D50,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IF(OR(N51="WIN", N51="LOSS"), (L51-E51)*D51,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IF(OR(N52="WIN", N52="LOSS"), (L52-E52)*D52,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IF(OR(N53="WIN", N53="LOSS"), (L53-E53)*D53,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IF(OR(N54="WIN", N54="LOSS"), (L54-E54)*D54,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IF(OR(N55="WIN", N55="LOSS"), (L55-E55)*D55,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IF(OR(N56="WIN", N56="LOSS"), (L56-E56)*D56,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IF(OR(N57="WIN", N57="LOSS"), (L57-E57)*D57,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IF(OR(N58="WIN", N58="LOSS"), (L58-E58)*D58,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IF(OR(N59="WIN", N59="LOSS"), (L59-E59)*D59,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IF(OR(N60="WIN", N60="LOSS"), (L60-E60)*D60,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IF(OR(N61="WIN", N61="LOSS"), (L61-E61)*D61,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IF(OR(N62="WIN", N62="LOSS"), (L62-E62)*D62,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IF(OR(N63="WIN", N63="LOSS"), (L63-E63)*D63,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IF(OR(N64="WIN", N64="LOSS"), (L64-E64)*D64,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IF(OR(N65="WIN", N65="LOSS"), (L65-E65)*D65,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IF(OR(N66="WIN", N66="LOSS"), (L66-E66)*D66,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IF(OR(N67="WIN", N67="LOSS"), (L67-E67)*D67,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IF(OR(N68="WIN", N68="LOSS"), (L68-E68)*D68,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IF(OR(N69="WIN", N69="LOSS"), (L69-E69)*D69,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IF(OR(N70="WIN", N70="LOSS"), (L70-E70)*D70,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IF(OR(N71="WIN", N71="LOSS"), (L71-E71)*D71,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IF(OR(N72="WIN", N72="LOSS"), (L72-E72)*D72,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IF(OR(N73="WIN", N73="LOSS"), (L73-E73)*D73,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IF(OR(N74="WIN", N74="LOSS"), (L74-E74)*D74,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IF(OR(N75="WIN", N75="LOSS"), (L75-E75)*D75,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IF(OR(N76="WIN", N76="LOSS"), (L76-E76)*D76,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IF(OR(N77="WIN", N77="LOSS"), (L77-E77)*D77,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IF(OR(N78="WIN", N78="LOSS"), (L78-E78)*D78,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IF(OR(N79="WIN", N79="LOSS"), (L79-E79)*D79,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IF(OR(N80="WIN", N80="LOSS"), (L80-E80)*D80,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IF(OR(N81="WIN", N81="LOSS"), (L81-E81)*D81,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IF(OR(N82="WIN", N82="LOSS"), (L82-E82)*D82,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IF(OR(N83="WIN", N83="LOSS"), (L83-E83)*D83,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IF(OR(N84="WIN", N84="LOSS"), (L84-E84)*D84,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IF(OR(N85="WIN", N85="LOSS"), (L85-E85)*D85,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IF(OR(N86="WIN", N86="LOSS"), (L86-E86)*D86,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IF(OR(N87="WIN", N87="LOSS"), (L87-E87)*D87,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IF(OR(N88="WIN", N88="LOSS"), (L88-E88)*D88,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IF(OR(N89="WIN", N89="LOSS"), (L89-E89)*D89,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IF(OR(N90="WIN", N90="LOSS"), (L90-E90)*D90,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IF(OR(N91="WIN", N91="LOSS"), (L91-E91)*D91,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IF(OR(N92="WIN", N92="LOSS"), (L92-E92)*D92,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IF(OR(N93="WIN", N93="LOSS"), (L93-E93)*D93,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IF(OR(N94="WIN", N94="LOSS"), (L94-E94)*D94,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IF(OR(N95="WIN", N95="LOSS"), (L95-E95)*D95,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IF(OR(N96="WIN", N96="LOSS"), (L96-E96)*D96,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IF(OR(N97="WIN", N97="LOSS"), (L97-E97)*D97,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IF(OR(N98="WIN", N98="LOSS"), (L98-E98)*D98,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IF(OR(N99="WIN", N99="LOSS"), (L99-E99)*D99,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IF(OR(N100="WIN", N100="LOSS"), (L100-E100)*D100,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IF(OR(N101="WIN", N101="LOSS"), (L101-E101)*D101,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IF(OR(N102="WIN", N102="LOSS"), (L102-E102)*D102,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IF(OR(N103="WIN", N103="LOSS"), (L103-E103)*D103,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IF(OR(N104="WIN", N104="LOSS"), (L104-E104)*D104,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IF(OR(N105="WIN", N105="LOSS"), (L105-E105)*D105,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IF(OR(N106="WIN", N106="LOSS"), (L106-E106)*D106,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IF(OR(N107="WIN", N107="LOSS"), (L107-E107)*D107,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IF(OR(N108="WIN", N108="LOSS"), (L108-E108)*D108,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IF(OR(N109="WIN", N109="LOSS"), (L109-E109)*D109,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IF(OR(N110="WIN", N110="LOSS"), (L110-E110)*D110,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IF(OR(N111="WIN", N111="LOSS"), (L111-E111)*D111,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IF(OR(N112="WIN", N112="LOSS"), (L112-E112)*D112,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IF(OR(N113="WIN", N113="LOSS"), (L113-E113)*D113,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IF(OR(N114="WIN", N114="LOSS"), (L114-E114)*D114,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IF(OR(N115="WIN", N115="LOSS"), (L115-E115)*D115,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IF(OR(N116="WIN", N116="LOSS"), (L116-E116)*D116,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IF(OR(N117="WIN", N117="LOSS"), (L117-E117)*D117,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IF(OR(N118="WIN", N118="LOSS"), (L118-E118)*D118,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IF(OR(N119="WIN", N119="LOSS"), (L119-E119)*D119,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IF(OR(N120="WIN", N120="LOSS"), (L120-E120)*D120,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IF(OR(N121="WIN", N121="LOSS"), (L121-E121)*D121,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IF(OR(N122="WIN", N122="LOSS"), (L122-E122)*D122,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IF(OR(N123="WIN", N123="LOSS"), (L123-E123)*D123,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IF(OR(N124="WIN", N124="LOSS"), (L124-E124)*D124,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IF(OR(N125="WIN", N125="LOSS"), (L125-E125)*D125,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IF(OR(N126="WIN", N126="LOSS"), (L126-E126)*D126,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IF(OR(N127="WIN", N127="LOSS"), (L127-E127)*D127,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IF(OR(N128="WIN", N128="LOSS"), (L128-E128)*D128,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IF(OR(N129="WIN", N129="LOSS"), (L129-E129)*D129,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IF(OR(N130="WIN", N130="LOSS"), (L130-E130)*D130,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IF(OR(N131="WIN", N131="LOSS"), (L131-E131)*D131,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IF(OR(N132="WIN", N132="LOSS"), (L132-E132)*D132,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IF(OR(N133="WIN", N133="LOSS"), (L133-E133)*D133,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IF(OR(N134="WIN", N134="LOSS"), (L134-E134)*D134,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IF(OR(N135="WIN", N135="LOSS"), (L135-E135)*D135,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IF(OR(N136="WIN", N136="LOSS"), (L136-E136)*D136,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IF(OR(N137="WIN", N137="LOSS"), (L137-E137)*D137,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IF(OR(N138="WIN", N138="LOSS"), (L138-E138)*D138,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IF(OR(N139="WIN", N139="LOSS"), (L139-E139)*D139,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IF(OR(N140="WIN", N140="LOSS"), (L140-E140)*D140,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IF(OR(N141="WIN", N141="LOSS"), (L141-E141)*D141,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IF(OR(N142="WIN", N142="LOSS"), (L142-E142)*D142,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IF(OR(N143="WIN", N143="LOSS"), (L143-E143)*D143,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IF(OR(N144="WIN", N144="LOSS"), (L144-E144)*D144,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IF(OR(N145="WIN", N145="LOSS"), (L145-E145)*D145,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IF(OR(N146="WIN", N146="LOSS"), (L146-E146)*D146,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IF(OR(N147="WIN", N147="LOSS"), (L147-E147)*D147,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IF(OR(N148="WIN", N148="LOSS"), (L148-E148)*D148,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IF(OR(N149="WIN", N149="LOSS"), (L149-E149)*D149,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IF(OR(N150="WIN", N150="LOSS"), (L150-E150)*D150,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IF(OR(N151="WIN", N151="LOSS"), (L151-E151)*D151,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IF(OR(N152="WIN", N152="LOSS"), (L152-E152)*D152,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IF(OR(N153="WIN", N153="LOSS"), (L153-E153)*D153,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IF(OR(N154="WIN", N154="LOSS"), (L154-E154)*D154,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IF(OR(N155="WIN", N155="LOSS"), (L155-E155)*D155,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IF(OR(N156="WIN", N156="LOSS"), (L156-E156)*D156,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IF(OR(N157="WIN", N157="LOSS"), (L157-E157)*D157,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IF(OR(N158="WIN", N158="LOSS"), (L158-E158)*D158,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IF(OR(N159="WIN", N159="LOSS"), (L159-E159)*D159,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IF(OR(N160="WIN", N160="LOSS"), (L160-E160)*D160,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IF(OR(N161="WIN", N161="LOSS"), (L161-E161)*D161,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IF(OR(N162="WIN", N162="LOSS"), (L162-E162)*D162,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IF(OR(N163="WIN", N163="LOSS"), (L163-E163)*D163,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IF(OR(N164="WIN", N164="LOSS"), (L164-E164)*D164,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IF(OR(N165="WIN", N165="LOSS"), (L165-E165)*D165,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IF(OR(N166="WIN", N166="LOSS"), (L166-E166)*D166,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IF(OR(N167="WIN", N167="LOSS"), (L167-E167)*D167,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IF(OR(N168="WIN", N168="LOSS"), (L168-E168)*D168,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IF(OR(N169="WIN", N169="LOSS"), (L169-E169)*D169,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IF(OR(N170="WIN", N170="LOSS"), (L170-E170)*D170,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IF(OR(N171="WIN", N171="LOSS"), (L171-E171)*D171,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IF(OR(N172="WIN", N172="LOSS"), (L172-E172)*D172,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IF(OR(N173="WIN", N173="LOSS"), (L173-E173)*D173,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IF(OR(N174="WIN", N174="LOSS"), (L174-E174)*D174,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IF(OR(N175="WIN", N175="LOSS"), (L175-E175)*D175,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IF(OR(N176="WIN", N176="LOSS"), (L176-E176)*D176,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IF(OR(N177="WIN", N177="LOSS"), (L177-E177)*D177,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IF(OR(N178="WIN", N178="LOSS"), (L178-E178)*D178,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IF(OR(N179="WIN", N179="LOSS"), (L179-E179)*D179,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IF(OR(N180="WIN", N180="LOSS"), (L180-E180)*D180,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IF(OR(N181="WIN", N181="LOSS"), (L181-E181)*D181,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IF(OR(N182="WIN", N182="LOSS"), (L182-E182)*D182,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IF(OR(N183="WIN", N183="LOSS"), (L183-E183)*D183,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IF(OR(N184="WIN", N184="LOSS"), (L184-E184)*D184,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IF(OR(N185="WIN", N185="LOSS"), (L185-E185)*D185,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IF(OR(N186="WIN", N186="LOSS"), (L186-E186)*D186,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IF(OR(N187="WIN", N187="LOSS"), (L187-E187)*D187,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IF(OR(N188="WIN", N188="LOSS"), (L188-E188)*D188,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IF(OR(N189="WIN", N189="LOSS"), (L189-E189)*D189,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IF(OR(N190="WIN", N190="LOSS"), (L190-E190)*D190,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IF(OR(N191="WIN", N191="LOSS"), (L191-E191)*D191,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IF(OR(N192="WIN", N192="LOSS"), (L192-E192)*D192,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IF(OR(N193="WIN", N193="LOSS"), (L193-E193)*D193,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IF(OR(N194="WIN", N194="LOSS"), (L194-E194)*D194,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IF(OR(N195="WIN", N195="LOSS"), (L195-E195)*D195,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IF(OR(N196="WIN", N196="LOSS"), (L196-E196)*D196,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IF(OR(N197="WIN", N197="LOSS"), (L197-E197)*D197,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IF(OR(N198="WIN", N198="LOSS"), (L198-E198)*D198,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IF(OR(N199="WIN", N199="LOSS"), (L199-E199)*D199,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IF(OR(N200="WIN", N200="LOSS"), (L200-E200)*D200,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IF(OR(N201="WIN", N201="LOSS"), (L201-E201)*D201,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IF(OR(N202="WIN", N202="LOSS"), (L202-E202)*D202,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IF(OR(N203="WIN", N203="LOSS"), (L203-E203)*D203,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IF(OR(N204="WIN", N204="LOSS"), (L204-E204)*D204,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IF(OR(N205="WIN", N205="LOSS"), (L205-E205)*D205,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IF(OR(N206="WIN", N206="LOSS"), (L206-E206)*D206,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IF(OR(N207="WIN", N207="LOSS"), (L207-E207)*D207,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IF(OR(N208="WIN", N208="LOSS"), (L208-E208)*D208,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IF(OR(N209="WIN", N209="LOSS"), (L209-E209)*D209,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IF(OR(N210="WIN", N210="LOSS"), (L210-E210)*D210,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IF(OR(N211="WIN", N211="LOSS"), (L211-E211)*D211,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IF(OR(N212="WIN", N212="LOSS"), (L212-E212)*D212,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IF(OR(N213="WIN", N213="LOSS"), (L213-E213)*D213,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IF(OR(N214="WIN", N214="LOSS"), (L214-E214)*D214,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IF(OR(N215="WIN", N215="LOSS"), (L215-E215)*D215,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IF(OR(N216="WIN", N216="LOSS"), (L216-E216)*D216,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IF(OR(N217="WIN", N217="LOSS"), (L217-E217)*D217,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IF(OR(N218="WIN", N218="LOSS"), (L218-E218)*D218,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IF(OR(N219="WIN", N219="LOSS"), (L219-E219)*D219,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IF(OR(N220="WIN", N220="LOSS"), (L220-E220)*D220,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IF(OR(N221="WIN", N221="LOSS"), (L221-E221)*D221,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IF(OR(N222="WIN", N222="LOSS"), (L222-E222)*D222,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IF(OR(N223="WIN", N223="LOSS"), (L223-E223)*D223,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IF(OR(N224="WIN", N224="LOSS"), (L224-E224)*D224,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IF(OR(N225="WIN", N225="LOSS"), (L225-E225)*D225,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IF(OR(N226="WIN", N226="LOSS"), (L226-E226)*D226,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IF(OR(N227="WIN", N227="LOSS"), (L227-E227)*D227,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IF(OR(N228="WIN", N228="LOSS"), (L228-E228)*D228,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IF(OR(N229="WIN", N229="LOSS"), (L229-E229)*D229,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IF(OR(N230="WIN", N230="LOSS"), (L230-E230)*D230,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IF(OR(N231="WIN", N231="LOSS"), (L231-E231)*D231,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IF(OR(N232="WIN", N232="LOSS"), (L232-E232)*D232,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IF(OR(N233="WIN", N233="LOSS"), (L233-E233)*D233,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IF(OR(N234="WIN", N234="LOSS"), (L234-E234)*D234,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IF(OR(N235="WIN", N235="LOSS"), (L235-E235)*D235,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IF(OR(N236="WIN", N236="LOSS"), (L236-E236)*D236,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IF(OR(N237="WIN", N237="LOSS"), (L237-E237)*D237,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IF(OR(N238="WIN", N238="LOSS"), (L238-E238)*D238,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IF(OR(N239="WIN", N239="LOSS"), (L239-E239)*D239,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IF(OR(N240="WIN", N240="LOSS"), (L240-E240)*D240,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IF(OR(N241="WIN", N241="LOSS"), (L241-E241)*D241,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IF(OR(N242="WIN", N242="LOSS"), (L242-E242)*D242,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IF(OR(N243="WIN", N243="LOSS"), (L243-E243)*D243,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IF(OR(N244="WIN", N244="LOSS"), (L244-E244)*D244,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IF(OR(N245="WIN", N245="LOSS"), (L245-E245)*D245,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IF(OR(N246="WIN", N246="LOSS"), (L246-E246)*D246,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IF(OR(N247="WIN", N247="LOSS"), (L247-E247)*D247,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IF(OR(N248="WIN", N248="LOSS"), (L248-E248)*D248,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IF(OR(N249="WIN", N249="LOSS"), (L249-E249)*D249,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IF(OR(N250="WIN", N250="LOSS"), (L250-E250)*D250,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IF(OR(N251="WIN", N251="LOSS"), (L251-E251)*D251,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IF(OR(N252="WIN", N252="LOSS"), (L252-E252)*D252,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IF(OR(N253="WIN", N253="LOSS"), (L253-E253)*D253,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IF(OR(N254="WIN", N254="LOSS"), (L254-E254)*D254,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IF(OR(N255="WIN", N255="LOSS"), (L255-E255)*D255,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IF(OR(N256="WIN", N256="LOSS"), (L256-E256)*D256,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IF(OR(N257="WIN", N257="LOSS"), (L257-E257)*D257,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IF(OR(N258="WIN", N258="LOSS"), (L258-E258)*D258,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IF(OR(N259="WIN", N259="LOSS"), (L259-E259)*D259,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IF(OR(N260="WIN", N260="LOSS"), (L260-E260)*D260,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IF(OR(N261="WIN", N261="LOSS"), (L261-E261)*D261,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IF(OR(N262="WIN", N262="LOSS"), (L262-E262)*D262,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IF(OR(N263="WIN", N263="LOSS"), (L263-E263)*D263,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IF(OR(N264="WIN", N264="LOSS"), (L264-E264)*D264,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IF(OR(N265="WIN", N265="LOSS"), (L265-E265)*D265,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IF(OR(N266="WIN", N266="LOSS"), (L266-E266)*D266,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IF(OR(N267="WIN", N267="LOSS"), (L267-E267)*D267,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IF(OR(N268="WIN", N268="LOSS"), (L268-E268)*D268,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IF(OR(N269="WIN", N269="LOSS"), (L269-E269)*D269,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IF(OR(N270="WIN", N270="LOSS"), (L270-E270)*D270,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IF(OR(N271="WIN", N271="LOSS"), (L271-E271)*D271,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IF(OR(N272="WIN", N272="LOSS"), (L272-E272)*D272,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IF(OR(N273="WIN", N273="LOSS"), (L273-E273)*D273,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IF(OR(N274="WIN", N274="LOSS"), (L274-E274)*D274,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IF(OR(N275="WIN", N275="LOSS"), (L275-E275)*D275,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IF(OR(N276="WIN", N276="LOSS"), (L276-E276)*D276,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IF(OR(N277="WIN", N277="LOSS"), (L277-E277)*D277,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IF(OR(N278="WIN", N278="LOSS"), (L278-E278)*D278,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IF(OR(N279="WIN", N279="LOSS"), (L279-E279)*D279,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IF(OR(N280="WIN", N280="LOSS"), (L280-E280)*D280,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IF(OR(N281="WIN", N281="LOSS"), (L281-E281)*D281,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IF(OR(N282="WIN", N282="LOSS"), (L282-E282)*D282,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IF(OR(N283="WIN", N283="LOSS"), (L283-E283)*D283,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IF(OR(N284="WIN", N284="LOSS"), (L284-E284)*D284,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IF(OR(N285="WIN", N285="LOSS"), (L285-E285)*D285,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IF(OR(N286="WIN", N286="LOSS"), (L286-E286)*D286,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IF(OR(N287="WIN", N287="LOSS"), (L287-E287)*D287,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IF(OR(N288="WIN", N288="LOSS"), (L288-E288)*D288,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IF(OR(N289="WIN", N289="LOSS"), (L289-E289)*D289,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IF(OR(N290="WIN", N290="LOSS"), (L290-E290)*D290,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IF(OR(N291="WIN", N291="LOSS"), (L291-E291)*D291,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IF(OR(N292="WIN", N292="LOSS"), (L292-E292)*D292,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IF(OR(N293="WIN", N293="LOSS"), (L293-E293)*D293,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IF(OR(N294="WIN", N294="LOSS"), (L294-E294)*D294,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IF(OR(N295="WIN", N295="LOSS"), (L295-E295)*D295,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IF(OR(N296="WIN", N296="LOSS"), (L296-E296)*D296,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IF(OR(N297="WIN", N297="LOSS"), (L297-E297)*D297,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IF(OR(N298="WIN", N298="LOSS"), (L298-E298)*D298,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IF(OR(N299="WIN", N299="LOSS"), (L299-E299)*D299,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IF(OR(N300="WIN", N300="LOSS"), (L300-E300)*D300,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IF(OR(N301="WIN", N301="LOSS"), (L301-E301)*D301,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IF(OR(N302="WIN", N302="LOSS"), (L302-E302)*D302,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IF(OR(N303="WIN", N303="LOSS"), (L303-E303)*D303,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IF(OR(N304="WIN", N304="LOSS"), (L304-E304)*D304,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IF(OR(N305="WIN", N305="LOSS"), (L305-E305)*D305,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IF(OR(N306="WIN", N306="LOSS"), (L306-E306)*D306,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IF(OR(N307="WIN", N307="LOSS"), (L307-E307)*D307,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IF(OR(N308="WIN", N308="LOSS"), (L308-E308)*D308,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IF(OR(N309="WIN", N309="LOSS"), (L309-E309)*D309,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IF(OR(N310="WIN", N310="LOSS"), (L310-E310)*D310,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IF(OR(N311="WIN", N311="LOSS"), (L311-E311)*D311,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IF(OR(N312="WIN", N312="LOSS"), (L312-E312)*D312,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IF(OR(N313="WIN", N313="LOSS"), (L313-E313)*D313,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IF(OR(N314="WIN", N314="LOSS"), (L314-E314)*D314,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IF(OR(N315="WIN", N315="LOSS"), (L315-E315)*D315,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IF(OR(N316="WIN", N316="LOSS"), (L316-E316)*D316,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IF(OR(N317="WIN", N317="LOSS"), (L317-E317)*D317,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IF(OR(N318="WIN", N318="LOSS"), (L318-E318)*D318,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IF(OR(N319="WIN", N319="LOSS"), (L319-E319)*D319,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IF(OR(N320="WIN", N320="LOSS"), (L320-E320)*D320,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IF(OR(N321="WIN", N321="LOSS"), (L321-E321)*D321,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IF(OR(N322="WIN", N322="LOSS"), (L322-E322)*D322,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IF(OR(N323="WIN", N323="LOSS"), (L323-E323)*D323,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IF(OR(N324="WIN", N324="LOSS"), (L324-E324)*D324,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IF(OR(N325="WIN", N325="LOSS"), (L325-E325)*D325,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IF(OR(N326="WIN", N326="LOSS"), (L326-E326)*D326,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IF(OR(N327="WIN", N327="LOSS"), (L327-E327)*D327,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IF(OR(N328="WIN", N328="LOSS"), (L328-E328)*D328,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IF(OR(N329="WIN", N329="LOSS"), (L329-E329)*D329,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IF(OR(N330="WIN", N330="LOSS"), (L330-E330)*D330,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IF(OR(N331="WIN", N331="LOSS"), (L331-E331)*D331,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IF(OR(N332="WIN", N332="LOSS"), (L332-E332)*D332,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IF(OR(N333="WIN", N333="LOSS"), (L333-E333)*D333,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IF(OR(N334="WIN", N334="LOSS"), (L334-E334)*D334,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IF(OR(N335="WIN", N335="LOSS"), (L335-E335)*D335,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IF(OR(N336="WIN", N336="LOSS"), (L336-E336)*D336,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IF(OR(N337="WIN", N337="LOSS"), (L337-E337)*D337,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IF(OR(N338="WIN", N338="LOSS"), (L338-E338)*D338,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IF(OR(N339="WIN", N339="LOSS"), (L339-E339)*D339,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IF(OR(N340="WIN", N340="LOSS"), (L340-E340)*D340,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IF(OR(N341="WIN", N341="LOSS"), (L341-E341)*D341,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IF(OR(N342="WIN", N342="LOSS"), (L342-E342)*D342,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IF(OR(N343="WIN", N343="LOSS"), (L343-E343)*D343,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IF(OR(N344="WIN", N344="LOSS"), (L344-E344)*D344,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IF(OR(N345="WIN", N345="LOSS"), (L345-E345)*D345,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IF(OR(N346="WIN", N346="LOSS"), (L346-E346)*D346,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IF(OR(N347="WIN", N347="LOSS"), (L347-E347)*D347,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IF(OR(N348="WIN", N348="LOSS"), (L348-E348)*D348,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IF(OR(N349="WIN", N349="LOSS"), (L349-E349)*D349,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IF(OR(N350="WIN", N350="LOSS"), (L350-E350)*D350,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IF(OR(N351="WIN", N351="LOSS"), (L351-E351)*D351,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IF(OR(N352="WIN", N352="LOSS"), (L352-E352)*D352,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IF(OR(N353="WIN", N353="LOSS"), (L353-E353)*D353,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IF(OR(N354="WIN", N354="LOSS"), (L354-E354)*D354,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IF(OR(N355="WIN", N355="LOSS"), (L355-E355)*D355,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IF(OR(N356="WIN", N356="LOSS"), (L356-E356)*D356,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IF(OR(N357="WIN", N357="LOSS"), (L357-E357)*D357,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IF(OR(N358="WIN", N358="LOSS"), (L358-E358)*D358,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IF(OR(N359="WIN", N359="LOSS"), (L359-E359)*D359,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IF(OR(N360="WIN", N360="LOSS"), (L360-E360)*D360,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IF(OR(N361="WIN", N361="LOSS"), (L361-E361)*D361,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IF(OR(N362="WIN", N362="LOSS"), (L362-E362)*D362,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IF(OR(N363="WIN", N363="LOSS"), (L363-E363)*D363,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IF(OR(N364="WIN", N364="LOSS"), (L364-E364)*D364,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IF(OR(N365="WIN", N365="LOSS"), (L365-E365)*D365,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IF(OR(N366="WIN", N366="LOSS"), (L366-E366)*D366,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IF(OR(N367="WIN", N367="LOSS"), (L367-E367)*D367,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IF(OR(N368="WIN", N368="LOSS"), (L368-E368)*D368,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IF(OR(N369="WIN", N369="LOSS"), (L369-E369)*D369,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IF(OR(N370="WIN", N370="LOSS"), (L370-E370)*D370,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IF(OR(N371="WIN", N371="LOSS"), (L371-E371)*D371,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IF(OR(N372="WIN", N372="LOSS"), (L372-E372)*D372,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IF(OR(N373="WIN", N373="LOSS"), (L373-E373)*D373,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IF(OR(N374="WIN", N374="LOSS"), (L374-E374)*D374,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IF(OR(N375="WIN", N375="LOSS"), (L375-E375)*D375,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IF(OR(N376="WIN", N376="LOSS"), (L376-E376)*D376,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IF(OR(N377="WIN", N377="LOSS"), (L377-E377)*D377,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IF(OR(N378="WIN", N378="LOSS"), (L378-E378)*D378,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IF(OR(N379="WIN", N379="LOSS"), (L379-E379)*D379,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IF(OR(N380="WIN", N380="LOSS"), (L380-E380)*D380,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IF(OR(N381="WIN", N381="LOSS"), (L381-E381)*D381,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IF(OR(N382="WIN", N382="LOSS"), (L382-E382)*D382,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IF(OR(N383="WIN", N383="LOSS"), (L383-E383)*D383,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IF(OR(N384="WIN", N384="LOSS"), (L384-E384)*D384,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IF(OR(N385="WIN", N385="LOSS"), (L385-E385)*D385,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IF(OR(N386="WIN", N386="LOSS"), (L386-E386)*D386,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IF(OR(N387="WIN", N387="LOSS"), (L387-E387)*D387,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IF(OR(N388="WIN", N388="LOSS"), (L388-E388)*D388,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IF(OR(N389="WIN", N389="LOSS"), (L389-E389)*D389,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IF(OR(N390="WIN", N390="LOSS"), (L390-E390)*D390,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IF(OR(N391="WIN", N391="LOSS"), (L391-E391)*D391,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IF(OR(N392="WIN", N392="LOSS"), (L392-E392)*D392,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IF(OR(N393="WIN", N393="LOSS"), (L393-E393)*D393,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IF(OR(N394="WIN", N394="LOSS"), (L394-E394)*D394,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IF(OR(N395="WIN", N395="LOSS"), (L395-E395)*D395,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IF(OR(N396="WIN", N396="LOSS"), (L396-E396)*D396,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IF(OR(N397="WIN", N397="LOSS"), (L397-E397)*D397,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IF(OR(N398="WIN", N398="LOSS"), (L398-E398)*D398,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IF(OR(N399="WIN", N399="LOSS"), (L399-E399)*D399,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IF(OR(N400="WIN", N400="LOSS"), (L400-E400)*D400,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IF(OR(N401="WIN", N401="LOSS"), (L401-E401)*D401,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IF(OR(N402="WIN", N402="LOSS"), (L402-E402)*D402,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IF(OR(N403="WIN", N403="LOSS"), (L403-E403)*D403,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IF(OR(N404="WIN", N404="LOSS"), (L404-E404)*D404,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IF(OR(N405="WIN", N405="LOSS"), (L405-E405)*D405,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IF(OR(N406="WIN", N406="LOSS"), (L406-E406)*D406,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IF(OR(N407="WIN", N407="LOSS"), (L407-E407)*D407,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IF(OR(N408="WIN", N408="LOSS"), (L408-E408)*D408,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IF(OR(N409="WIN", N409="LOSS"), (L409-E409)*D409,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IF(OR(N410="WIN", N410="LOSS"), (L410-E410)*D410,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IF(OR(N411="WIN", N411="LOSS"), (L411-E411)*D411,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IF(OR(N412="WIN", N412="LOSS"), (L412-E412)*D412,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IF(OR(N413="WIN", N413="LOSS"), (L413-E413)*D413,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IF(OR(N414="WIN", N414="LOSS"), (L414-E414)*D414,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IF(OR(N415="WIN", N415="LOSS"), (L415-E415)*D415,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IF(OR(N416="WIN", N416="LOSS"), (L416-E416)*D416,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IF(OR(N417="WIN", N417="LOSS"), (L417-E417)*D417,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IF(OR(N418="WIN", N418="LOSS"), (L418-E418)*D418,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IF(OR(N419="WIN", N419="LOSS"), (L419-E419)*D419,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IF(OR(N420="WIN", N420="LOSS"), (L420-E420)*D420,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IF(OR(N421="WIN", N421="LOSS"), (L421-E421)*D421,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IF(OR(N422="WIN", N422="LOSS"), (L422-E422)*D422,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IF(OR(N423="WIN", N423="LOSS"), (L423-E423)*D423,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IF(OR(N424="WIN", N424="LOSS"), (L424-E424)*D424,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IF(OR(N425="WIN", N425="LOSS"), (L425-E425)*D425,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IF(OR(N426="WIN", N426="LOSS"), (L426-E426)*D426,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IF(OR(N427="WIN", N427="LOSS"), (L427-E427)*D427,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IF(OR(N428="WIN", N428="LOSS"), (L428-E428)*D428,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IF(OR(N429="WIN", N429="LOSS"), (L429-E429)*D429,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IF(OR(N430="WIN", N430="LOSS"), (L430-E430)*D430,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IF(OR(N431="WIN", N431="LOSS"), (L431-E431)*D431,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IF(OR(N432="WIN", N432="LOSS"), (L432-E432)*D432,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IF(OR(N433="WIN", N433="LOSS"), (L433-E433)*D433,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IF(OR(N434="WIN", N434="LOSS"), (L434-E434)*D434,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IF(OR(N435="WIN", N435="LOSS"), (L435-E435)*D435,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IF(OR(N436="WIN", N436="LOSS"), (L436-E436)*D436,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IF(OR(N437="WIN", N437="LOSS"), (L437-E437)*D437,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IF(OR(N438="WIN", N438="LOSS"), (L438-E438)*D438,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IF(OR(N439="WIN", N439="LOSS"), (L439-E439)*D439,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IF(OR(N440="WIN", N440="LOSS"), (L440-E440)*D440,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IF(OR(N441="WIN", N441="LOSS"), (L441-E441)*D441,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IF(OR(N442="WIN", N442="LOSS"), (L442-E442)*D442,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IF(OR(N443="WIN", N443="LOSS"), (L443-E443)*D443,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IF(OR(N444="WIN", N444="LOSS"), (L444-E444)*D444,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IF(OR(N445="WIN", N445="LOSS"), (L445-E445)*D445,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IF(OR(N446="WIN", N446="LOSS"), (L446-E446)*D446,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IF(OR(N447="WIN", N447="LOSS"), (L447-E447)*D447,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IF(OR(N448="WIN", N448="LOSS"), (L448-E448)*D448,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IF(OR(N449="WIN", N449="LOSS"), (L449-E449)*D449,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IF(OR(N450="WIN", N450="LOSS"), (L450-E450)*D450,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IF(OR(N451="WIN", N451="LOSS"), (L451-E451)*D451,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IF(OR(N452="WIN", N452="LOSS"), (L452-E452)*D452,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IF(OR(N453="WIN", N453="LOSS"), (L453-E453)*D453,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IF(OR(N454="WIN", N454="LOSS"), (L454-E454)*D454,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IF(OR(N455="WIN", N455="LOSS"), (L455-E455)*D455,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IF(OR(N456="WIN", N456="LOSS"), (L456-E456)*D456,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IF(OR(N457="WIN", N457="LOSS"), (L457-E457)*D457,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IF(OR(N458="WIN", N458="LOSS"), (L458-E458)*D458,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IF(OR(N459="WIN", N459="LOSS"), (L459-E459)*D459,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IF(OR(N460="WIN", N460="LOSS"), (L460-E460)*D460,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IF(OR(N461="WIN", N461="LOSS"), (L461-E461)*D461,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IF(OR(N462="WIN", N462="LOSS"), (L462-E462)*D462,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IF(OR(N463="WIN", N463="LOSS"), (L463-E463)*D463,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IF(OR(N464="WIN", N464="LOSS"), (L464-E464)*D464,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IF(OR(N465="WIN", N465="LOSS"), (L465-E465)*D465,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IF(OR(N466="WIN", N466="LOSS"), (L466-E466)*D466,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IF(OR(N467="WIN", N467="LOSS"), (L467-E467)*D467,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IF(OR(N468="WIN", N468="LOSS"), (L468-E468)*D468,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IF(OR(N469="WIN", N469="LOSS"), (L469-E469)*D469,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IF(OR(N470="WIN", N470="LOSS"), (L470-E470)*D470,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IF(OR(N471="WIN", N471="LOSS"), (L471-E471)*D471,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IF(OR(N472="WIN", N472="LOSS"), (L472-E472)*D472,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IF(OR(N473="WIN", N473="LOSS"), (L473-E473)*D473,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IF(OR(N474="WIN", N474="LOSS"), (L474-E474)*D474,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IF(OR(N475="WIN", N475="LOSS"), (L475-E475)*D475,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IF(OR(N476="WIN", N476="LOSS"), (L476-E476)*D476,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IF(OR(N477="WIN", N477="LOSS"), (L477-E477)*D477,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IF(OR(N478="WIN", N478="LOSS"), (L478-E478)*D478,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IF(OR(N479="WIN", N479="LOSS"), (L479-E479)*D479,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IF(OR(N480="WIN", N480="LOSS"), (L480-E480)*D480,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IF(OR(N481="WIN", N481="LOSS"), (L481-E481)*D481,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IF(OR(N482="WIN", N482="LOSS"), (L482-E482)*D482,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IF(OR(N483="WIN", N483="LOSS"), (L483-E483)*D483,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IF(OR(N484="WIN", N484="LOSS"), (L484-E484)*D484,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IF(OR(N485="WIN", N485="LOSS"), (L485-E485)*D485,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IF(OR(N486="WIN", N486="LOSS"), (L486-E486)*D486,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IF(OR(N487="WIN", N487="LOSS"), (L487-E487)*D487,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IF(OR(N488="WIN", N488="LOSS"), (L488-E488)*D488,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IF(OR(N489="WIN", N489="LOSS"), (L489-E489)*D489,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IF(OR(N490="WIN", N490="LOSS"), (L490-E490)*D490,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IF(OR(N491="WIN", N491="LOSS"), (L491-E491)*D491,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>
        <f>IF(OR(N492="WIN", N492="LOSS"), (L492-E492)*D492, 0)</f>
        <v/>
      </c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>
        <f>IF(OR(N493="WIN", N493="LOSS"), (L493-E493)*D493, 0)</f>
        <v/>
      </c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>
        <f>IF(OR(N494="WIN", N494="LOSS"), (L494-E494)*D494, 0)</f>
        <v/>
      </c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>
        <f>IF(OR(N495="WIN", N495="LOSS"), (L495-E495)*D495, 0)</f>
        <v/>
      </c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>
        <f>IF(OR(N496="WIN", N496="LOSS"), (L496-E496)*D496, 0)</f>
        <v/>
      </c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>
        <f>IF(OR(N497="WIN", N497="LOSS"), (L497-E497)*D497, 0)</f>
        <v/>
      </c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>
        <f>IF(OR(N498="WIN", N498="LOSS"), (L498-E498)*D498, 0)</f>
        <v/>
      </c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>
        <f>IF(OR(N499="WIN", N499="LOSS"), (L499-E499)*D499, 0)</f>
        <v/>
      </c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>
        <f>IF(OR(N500="WIN", N500="LOSS"), (L500-E500)*D500, 0)</f>
        <v/>
      </c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</t>
        </is>
      </c>
      <c r="B2" s="14" t="inlineStr">
        <is>
          <t>JSWSTEEL</t>
        </is>
      </c>
      <c r="C2" s="14" t="inlineStr">
        <is>
          <t>JSW Steel Limited</t>
        </is>
      </c>
      <c r="D2" s="14" t="inlineStr">
        <is>
          <t>96/100</t>
        </is>
      </c>
      <c r="E2" s="15" t="n">
        <v>1267.400024414062</v>
      </c>
      <c r="F2" s="15" t="n">
        <v>1217.533463494685</v>
      </c>
      <c r="G2" s="15" t="n">
        <v>1367.133146252818</v>
      </c>
      <c r="H2" s="14" t="inlineStr">
        <is>
          <t>1:2.0</t>
        </is>
      </c>
      <c r="I2" s="14" t="n">
        <v>1</v>
      </c>
      <c r="J2" s="15" t="n">
        <v>1267.400024414062</v>
      </c>
      <c r="K2" s="14" t="inlineStr">
        <is>
          <t>SKIPPED_BEARISH_REGIME</t>
        </is>
      </c>
      <c r="L2" s="14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</t>
        </is>
      </c>
      <c r="B3" s="14" t="inlineStr">
        <is>
          <t>LUPIN</t>
        </is>
      </c>
      <c r="C3" s="14" t="inlineStr">
        <is>
          <t>Lupin Limited</t>
        </is>
      </c>
      <c r="D3" s="14" t="inlineStr">
        <is>
          <t>96/100</t>
        </is>
      </c>
      <c r="E3" s="15" t="n">
        <v>2514.800048828125</v>
      </c>
      <c r="F3" s="15" t="n">
        <v>2414.086713938525</v>
      </c>
      <c r="G3" s="15" t="n">
        <v>2716.226718607325</v>
      </c>
      <c r="H3" s="14" t="inlineStr">
        <is>
          <t>1:2.0</t>
        </is>
      </c>
      <c r="I3" s="14" t="n">
        <v>0</v>
      </c>
      <c r="J3" s="15" t="n">
        <v>0</v>
      </c>
      <c r="K3" s="14" t="inlineStr">
        <is>
          <t>SKIPPED_BEARISH_REGIME</t>
        </is>
      </c>
      <c r="L3" s="14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</t>
        </is>
      </c>
      <c r="B4" s="14" t="inlineStr">
        <is>
          <t>ULTRACEMCO</t>
        </is>
      </c>
      <c r="C4" s="14" t="inlineStr">
        <is>
          <t>UltraTech Cement Limited</t>
        </is>
      </c>
      <c r="D4" s="14" t="inlineStr">
        <is>
          <t>94/100</t>
        </is>
      </c>
      <c r="E4" s="15" t="n">
        <v>12094</v>
      </c>
      <c r="F4" s="15" t="n">
        <v>11658.42857142857</v>
      </c>
      <c r="G4" s="15" t="n">
        <v>12965.14285714286</v>
      </c>
      <c r="H4" s="14" t="inlineStr">
        <is>
          <t>1:2.0</t>
        </is>
      </c>
      <c r="I4" s="14" t="n">
        <v>0</v>
      </c>
      <c r="J4" s="15" t="n">
        <v>0</v>
      </c>
      <c r="K4" s="14" t="inlineStr">
        <is>
          <t>SKIPPED_BEARISH_REGIME</t>
        </is>
      </c>
      <c r="L4" s="14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</t>
        </is>
      </c>
      <c r="B5" s="14" t="inlineStr">
        <is>
          <t>NAVINFLUOR</t>
        </is>
      </c>
      <c r="C5" s="14" t="inlineStr">
        <is>
          <t>Navin Fluorine International Limited</t>
        </is>
      </c>
      <c r="D5" s="14" t="inlineStr">
        <is>
          <t>94/100</t>
        </is>
      </c>
      <c r="E5" s="15" t="n">
        <v>7882</v>
      </c>
      <c r="F5" s="15" t="n">
        <v>7455.142857142857</v>
      </c>
      <c r="G5" s="15" t="n">
        <v>8735.714285714286</v>
      </c>
      <c r="H5" s="14" t="inlineStr">
        <is>
          <t>1:2.0</t>
        </is>
      </c>
      <c r="I5" s="14" t="n">
        <v>0</v>
      </c>
      <c r="J5" s="15" t="n">
        <v>0</v>
      </c>
      <c r="K5" s="14" t="inlineStr">
        <is>
          <t>SKIPPED_BEARISH_REGIME</t>
        </is>
      </c>
      <c r="L5" s="14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</t>
        </is>
      </c>
      <c r="B6" s="14" t="inlineStr">
        <is>
          <t>ERIS</t>
        </is>
      </c>
      <c r="C6" s="14" t="inlineStr">
        <is>
          <t>Eris Lifesciences Limited</t>
        </is>
      </c>
      <c r="D6" s="14" t="inlineStr">
        <is>
          <t>94/100</t>
        </is>
      </c>
      <c r="E6" s="15" t="n">
        <v>1470</v>
      </c>
      <c r="F6" s="15" t="n">
        <v>1391.314226422991</v>
      </c>
      <c r="G6" s="15" t="n">
        <v>1627.371547154018</v>
      </c>
      <c r="H6" s="14" t="inlineStr">
        <is>
          <t>1:2.0</t>
        </is>
      </c>
      <c r="I6" s="14" t="n">
        <v>1</v>
      </c>
      <c r="J6" s="15" t="n">
        <v>1470</v>
      </c>
      <c r="K6" s="14" t="inlineStr">
        <is>
          <t>SKIPPED_BEARISH_REGIME</t>
        </is>
      </c>
      <c r="L6" s="14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2026-07-22</t>
        </is>
      </c>
      <c r="B7" s="14" t="inlineStr">
        <is>
          <t>JSWSTEEL</t>
        </is>
      </c>
      <c r="C7" s="14" t="inlineStr">
        <is>
          <t>JSW Steel Limited</t>
        </is>
      </c>
      <c r="D7" s="14" t="inlineStr">
        <is>
          <t>96/100</t>
        </is>
      </c>
      <c r="E7" s="15" t="n">
        <v>1267.4</v>
      </c>
      <c r="F7" s="15" t="n">
        <v>1219.23</v>
      </c>
      <c r="G7" s="15" t="n">
        <v>1363.73</v>
      </c>
      <c r="H7" s="14" t="inlineStr">
        <is>
          <t>1:2.0</t>
        </is>
      </c>
      <c r="I7" s="14" t="n">
        <v>1</v>
      </c>
      <c r="J7" s="15" t="n">
        <v>1267.4</v>
      </c>
      <c r="K7" s="14" t="inlineStr">
        <is>
          <t>SKIPPED_BEARISH_REGIME</t>
        </is>
      </c>
      <c r="L7" s="14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</t>
        </is>
      </c>
      <c r="B8" s="14" t="inlineStr">
        <is>
          <t>SONACOMS</t>
        </is>
      </c>
      <c r="C8" s="14" t="inlineStr">
        <is>
          <t>Sona BLW Precision Forgings Limited</t>
        </is>
      </c>
      <c r="D8" s="14" t="inlineStr">
        <is>
          <t>92/100</t>
        </is>
      </c>
      <c r="E8" s="15" t="n">
        <v>732.75</v>
      </c>
      <c r="F8" s="15" t="n">
        <v>703.5</v>
      </c>
      <c r="G8" s="15" t="n">
        <v>797.86</v>
      </c>
      <c r="H8" s="14" t="inlineStr">
        <is>
          <t>1:2.0</t>
        </is>
      </c>
      <c r="I8" s="14" t="n">
        <v>2</v>
      </c>
      <c r="J8" s="15" t="n">
        <v>1465.5</v>
      </c>
      <c r="K8" s="14" t="inlineStr">
        <is>
          <t>SKIPPED_BEARISH_REGIME</t>
        </is>
      </c>
      <c r="L8" s="14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</t>
        </is>
      </c>
      <c r="B9" s="14" t="inlineStr">
        <is>
          <t>LUPIN</t>
        </is>
      </c>
      <c r="C9" s="14" t="inlineStr">
        <is>
          <t>Lupin Limited</t>
        </is>
      </c>
      <c r="D9" s="14" t="inlineStr">
        <is>
          <t>96/100</t>
        </is>
      </c>
      <c r="E9" s="15" t="n">
        <v>2514.8</v>
      </c>
      <c r="F9" s="15" t="n">
        <v>2417.09</v>
      </c>
      <c r="G9" s="15" t="n">
        <v>2710.23</v>
      </c>
      <c r="H9" s="14" t="inlineStr">
        <is>
          <t>1:2.0</t>
        </is>
      </c>
      <c r="I9" s="14" t="n">
        <v>0</v>
      </c>
      <c r="J9" s="15" t="n">
        <v>0</v>
      </c>
      <c r="K9" s="14" t="inlineStr">
        <is>
          <t>SKIPPED_BEARISH_REGIME</t>
        </is>
      </c>
      <c r="L9" s="14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</t>
        </is>
      </c>
      <c r="B10" s="14" t="inlineStr">
        <is>
          <t>HAL</t>
        </is>
      </c>
      <c r="C10" s="14" t="inlineStr">
        <is>
          <t>Hindustan Aeronautics Limited</t>
        </is>
      </c>
      <c r="D10" s="14" t="inlineStr">
        <is>
          <t>90/100</t>
        </is>
      </c>
      <c r="E10" s="15" t="n">
        <v>4581.7</v>
      </c>
      <c r="F10" s="15" t="n">
        <v>4414.33</v>
      </c>
      <c r="G10" s="15" t="n">
        <v>4916.44</v>
      </c>
      <c r="H10" s="14" t="inlineStr">
        <is>
          <t>1:2.0</t>
        </is>
      </c>
      <c r="I10" s="14" t="n">
        <v>0</v>
      </c>
      <c r="J10" s="15" t="n">
        <v>0</v>
      </c>
      <c r="K10" s="14" t="inlineStr">
        <is>
          <t>SKIPPED_BEARISH_REGIME</t>
        </is>
      </c>
      <c r="L10" s="14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</t>
        </is>
      </c>
      <c r="B11" s="14" t="inlineStr">
        <is>
          <t>SHREECEM</t>
        </is>
      </c>
      <c r="C11" s="14" t="inlineStr">
        <is>
          <t>Shree Cement Limited</t>
        </is>
      </c>
      <c r="D11" s="14" t="inlineStr">
        <is>
          <t>92/100</t>
        </is>
      </c>
      <c r="E11" s="15" t="n">
        <v>27245</v>
      </c>
      <c r="F11" s="15" t="n">
        <v>26152.92</v>
      </c>
      <c r="G11" s="15" t="n">
        <v>29429.17</v>
      </c>
      <c r="H11" s="14" t="inlineStr">
        <is>
          <t>1:2.0</t>
        </is>
      </c>
      <c r="I11" s="14" t="n">
        <v>0</v>
      </c>
      <c r="J11" s="15" t="n">
        <v>0</v>
      </c>
      <c r="K11" s="14" t="inlineStr">
        <is>
          <t>SKIPPED_BEARISH_REGIME</t>
        </is>
      </c>
      <c r="L11" s="14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15" t="n">
        <v>1559.5</v>
      </c>
      <c r="F12" s="15" t="n">
        <v>1508.1</v>
      </c>
      <c r="G12" s="15" t="n">
        <v>1746.3</v>
      </c>
      <c r="H12" s="2" t="inlineStr">
        <is>
          <t>1:2.0</t>
        </is>
      </c>
      <c r="I12" s="2" t="n">
        <v>0</v>
      </c>
      <c r="J12" s="15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15" t="n">
        <v>521.35</v>
      </c>
      <c r="F13" s="15" t="n">
        <v>494.6</v>
      </c>
      <c r="G13" s="15" t="n">
        <v>574.85</v>
      </c>
      <c r="H13" s="2" t="inlineStr">
        <is>
          <t>1:2.0</t>
        </is>
      </c>
      <c r="I13" s="2" t="n">
        <v>1</v>
      </c>
      <c r="J13" s="15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15" t="n">
        <v>1530</v>
      </c>
      <c r="F14" s="15" t="n">
        <v>1520.11</v>
      </c>
      <c r="G14" s="15" t="n">
        <v>1549.77</v>
      </c>
      <c r="H14" s="2" t="inlineStr">
        <is>
          <t>1:2.0</t>
        </is>
      </c>
      <c r="I14" s="2" t="n">
        <v>1</v>
      </c>
      <c r="J14" s="15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15" t="n">
        <v>1642.5</v>
      </c>
      <c r="F15" s="15" t="n">
        <v>1634.5</v>
      </c>
      <c r="G15" s="15" t="n">
        <v>1658.5</v>
      </c>
      <c r="H15" s="2" t="inlineStr">
        <is>
          <t>1:2.0</t>
        </is>
      </c>
      <c r="I15" s="2" t="n">
        <v>1</v>
      </c>
      <c r="J15" s="15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15" t="n">
        <v>472.8999938964844</v>
      </c>
      <c r="F16" s="15" t="n">
        <v>445.4499947684152</v>
      </c>
      <c r="G16" s="15" t="n">
        <v>527.7999921526227</v>
      </c>
      <c r="H16" s="2" t="inlineStr">
        <is>
          <t>1:2.0</t>
        </is>
      </c>
      <c r="I16" s="2" t="n">
        <v>0</v>
      </c>
      <c r="J16" s="15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15" t="n">
        <v>1408</v>
      </c>
      <c r="F17" s="15" t="n">
        <v>1341.771414620536</v>
      </c>
      <c r="G17" s="15" t="n">
        <v>1540.457170758929</v>
      </c>
      <c r="H17" s="2" t="inlineStr">
        <is>
          <t>1:2.0</t>
        </is>
      </c>
      <c r="I17" s="2" t="n">
        <v>0</v>
      </c>
      <c r="J17" s="15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15" t="n">
        <v>764.0499877929688</v>
      </c>
      <c r="F18" s="15" t="n">
        <v>717.2571149553571</v>
      </c>
      <c r="G18" s="15" t="n">
        <v>857.6357334681919</v>
      </c>
      <c r="H18" s="2" t="inlineStr">
        <is>
          <t>1:2.0</t>
        </is>
      </c>
      <c r="I18" s="2" t="n">
        <v>0</v>
      </c>
      <c r="J18" s="15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15" t="n">
        <v>1461.400024414062</v>
      </c>
      <c r="F19" s="15" t="n">
        <v>1350.727503014851</v>
      </c>
      <c r="G19" s="15" t="n">
        <v>1682.745067212486</v>
      </c>
      <c r="H19" s="2" t="inlineStr">
        <is>
          <t>1:2.0</t>
        </is>
      </c>
      <c r="I19" s="2" t="n">
        <v>0</v>
      </c>
      <c r="J19" s="15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15" t="n">
        <v>1353.099975585938</v>
      </c>
      <c r="F20" s="15" t="n">
        <v>1214.848859742893</v>
      </c>
      <c r="G20" s="15" t="n">
        <v>1629.602207272027</v>
      </c>
      <c r="H20" s="2" t="inlineStr">
        <is>
          <t>1:2.0</t>
        </is>
      </c>
      <c r="I20" s="2" t="n">
        <v>0</v>
      </c>
      <c r="J20" s="15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15" t="n">
        <v>1885.7</v>
      </c>
      <c r="F21" s="15" t="n">
        <v>1818.6</v>
      </c>
      <c r="G21" s="15" t="n">
        <v>2019.85</v>
      </c>
      <c r="H21" s="2" t="inlineStr">
        <is>
          <t>1:2.0</t>
        </is>
      </c>
      <c r="I21" s="2" t="n">
        <v>0</v>
      </c>
      <c r="J21" s="15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15" t="n">
        <v>141.06</v>
      </c>
      <c r="F22" s="15" t="n">
        <v>134.5</v>
      </c>
      <c r="G22" s="15" t="n">
        <v>154.2</v>
      </c>
      <c r="H22" s="2" t="inlineStr">
        <is>
          <t>1:2.0</t>
        </is>
      </c>
      <c r="I22" s="2" t="n">
        <v>0</v>
      </c>
      <c r="J22" s="15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15" t="n">
        <v>1731.9</v>
      </c>
      <c r="F23" s="15" t="n">
        <v>1699.65</v>
      </c>
      <c r="G23" s="15" t="n">
        <v>1796.4</v>
      </c>
      <c r="H23" s="2" t="inlineStr">
        <is>
          <t>1:2.0</t>
        </is>
      </c>
      <c r="I23" s="2" t="n">
        <v>0</v>
      </c>
      <c r="J23" s="15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15" t="n">
        <v>738.7</v>
      </c>
      <c r="F24" s="15" t="n">
        <v>726.55</v>
      </c>
      <c r="G24" s="15" t="n">
        <v>763</v>
      </c>
      <c r="H24" s="2" t="inlineStr">
        <is>
          <t>1:2.0</t>
        </is>
      </c>
      <c r="I24" s="2" t="n">
        <v>0</v>
      </c>
      <c r="J24" s="15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15" t="n">
        <v>3572.6</v>
      </c>
      <c r="F25" s="15" t="n">
        <v>3521.3</v>
      </c>
      <c r="G25" s="15" t="n">
        <v>3675.2</v>
      </c>
      <c r="H25" s="2" t="inlineStr">
        <is>
          <t>1:2.0</t>
        </is>
      </c>
      <c r="I25" s="2" t="n">
        <v>0</v>
      </c>
      <c r="J25" s="15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15" t="n">
        <v>803.5499877929688</v>
      </c>
      <c r="F26" s="15" t="n">
        <v>754.6499895368304</v>
      </c>
      <c r="G26" s="15" t="n">
        <v>901.3499843052456</v>
      </c>
      <c r="H26" s="2" t="inlineStr">
        <is>
          <t>1:2.0</t>
        </is>
      </c>
      <c r="I26" s="2" t="n">
        <v>0</v>
      </c>
      <c r="J26" s="15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15" t="n">
        <v>432.6000061035156</v>
      </c>
      <c r="F27" s="15" t="n">
        <v>408.8357151576451</v>
      </c>
      <c r="G27" s="15" t="n">
        <v>480.1285879952567</v>
      </c>
      <c r="H27" s="2" t="inlineStr">
        <is>
          <t>1:2.0</t>
        </is>
      </c>
      <c r="I27" s="2" t="n">
        <v>0</v>
      </c>
      <c r="J27" s="15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15" t="n">
        <v>1424.900024414062</v>
      </c>
      <c r="F28" s="15" t="n">
        <v>1320.614310128348</v>
      </c>
      <c r="G28" s="15" t="n">
        <v>1633.471452985491</v>
      </c>
      <c r="H28" s="2" t="inlineStr">
        <is>
          <t>1:2.0</t>
        </is>
      </c>
      <c r="I28" s="2" t="n">
        <v>0</v>
      </c>
      <c r="J28" s="15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15" t="n">
        <v>5623.5</v>
      </c>
      <c r="F29" s="15" t="n">
        <v>5378.120418563584</v>
      </c>
      <c r="G29" s="15" t="n">
        <v>6114.259162872831</v>
      </c>
      <c r="H29" s="2" t="inlineStr">
        <is>
          <t>1:2.0</t>
        </is>
      </c>
      <c r="I29" s="2" t="n">
        <v>0</v>
      </c>
      <c r="J29" s="15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15" t="n">
        <v>1923.699951171875</v>
      </c>
      <c r="F30" s="15" t="n">
        <v>1723.614240373884</v>
      </c>
      <c r="G30" s="15" t="n">
        <v>2323.871372767857</v>
      </c>
      <c r="H30" s="2" t="inlineStr">
        <is>
          <t>1:2.0</t>
        </is>
      </c>
      <c r="I30" s="2" t="n">
        <v>0</v>
      </c>
      <c r="J30" s="15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15" t="n">
        <v>405.85</v>
      </c>
      <c r="F31" s="15" t="n">
        <v>399.4</v>
      </c>
      <c r="G31" s="15" t="n">
        <v>418.75</v>
      </c>
      <c r="H31" s="2" t="inlineStr">
        <is>
          <t>1:2.0</t>
        </is>
      </c>
      <c r="I31" s="2" t="n">
        <v>0</v>
      </c>
      <c r="J31" s="15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15" t="n">
        <v>881</v>
      </c>
      <c r="F32" s="15" t="n">
        <v>873.4</v>
      </c>
      <c r="G32" s="15" t="n">
        <v>896.25</v>
      </c>
      <c r="H32" s="2" t="inlineStr">
        <is>
          <t>1:2.0</t>
        </is>
      </c>
      <c r="I32" s="2" t="n">
        <v>0</v>
      </c>
      <c r="J32" s="15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15" t="n">
        <v>153.07</v>
      </c>
      <c r="F33" s="15" t="n">
        <v>151.85</v>
      </c>
      <c r="G33" s="15" t="n">
        <v>155.45</v>
      </c>
      <c r="H33" s="2" t="inlineStr">
        <is>
          <t>1:2.0</t>
        </is>
      </c>
      <c r="I33" s="2" t="n">
        <v>0</v>
      </c>
      <c r="J33" s="15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15" t="n">
        <v>1205</v>
      </c>
      <c r="F34" s="15" t="n">
        <v>1189.6</v>
      </c>
      <c r="G34" s="15" t="n">
        <v>1235.85</v>
      </c>
      <c r="H34" s="2" t="inlineStr">
        <is>
          <t>1:2.0</t>
        </is>
      </c>
      <c r="I34" s="2" t="n">
        <v>0</v>
      </c>
      <c r="J34" s="15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15" t="n">
        <v>1746.1</v>
      </c>
      <c r="F35" s="15" t="n">
        <v>1722.5</v>
      </c>
      <c r="G35" s="15" t="n">
        <v>1793.25</v>
      </c>
      <c r="H35" s="2" t="inlineStr">
        <is>
          <t>1:2.0</t>
        </is>
      </c>
      <c r="I35" s="2" t="n">
        <v>0</v>
      </c>
      <c r="J35" s="15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14" t="inlineStr">
        <is>
          <t>Date</t>
        </is>
      </c>
      <c r="B1" s="14" t="inlineStr">
        <is>
          <t>Type</t>
        </is>
      </c>
      <c r="C1" s="14" t="inlineStr">
        <is>
          <t>Amount</t>
        </is>
      </c>
      <c r="D1" s="14" t="inlineStr">
        <is>
          <t>Notes</t>
        </is>
      </c>
      <c r="E1" s="2" t="n"/>
      <c r="F1" s="2" t="n"/>
    </row>
    <row r="2">
      <c r="A2" s="14" t="inlineStr">
        <is>
          <t>21-7-2026</t>
        </is>
      </c>
      <c r="B2" s="14" t="inlineStr">
        <is>
          <t>DEPOSIT</t>
        </is>
      </c>
      <c r="C2" s="15" t="n">
        <v>10000</v>
      </c>
      <c r="D2" s="2" t="n"/>
      <c r="E2" s="2" t="n"/>
      <c r="F2" s="2" t="n"/>
    </row>
    <row r="3">
      <c r="A3" s="14" t="inlineStr">
        <is>
          <t>2026-07-22</t>
        </is>
      </c>
      <c r="B3" s="14" t="inlineStr">
        <is>
          <t>WITHDRAWAL</t>
        </is>
      </c>
      <c r="C3" s="15" t="n">
        <v>1.76</v>
      </c>
      <c r="D3" s="14" t="inlineStr">
        <is>
          <t>Brokerage &amp; taxes on SONACOMS BUY (2 qty @ 734.70)</t>
        </is>
      </c>
      <c r="E3" s="2" t="n"/>
      <c r="F3" s="2" t="n"/>
    </row>
    <row r="4">
      <c r="A4" s="14" t="inlineStr">
        <is>
          <t>2026-07-22</t>
        </is>
      </c>
      <c r="B4" s="14" t="inlineStr">
        <is>
          <t>WITHDRAWAL</t>
        </is>
      </c>
      <c r="C4" s="15" t="n">
        <v>1.52</v>
      </c>
      <c r="D4" s="14" t="inlineStr">
        <is>
          <t>Brokerage &amp; taxes on JSWSTEEL BUY (1 qty @ 1265.10)</t>
        </is>
      </c>
      <c r="E4" s="2" t="n"/>
      <c r="F4" s="2" t="n"/>
    </row>
    <row r="5">
      <c r="A5" s="14" t="inlineStr">
        <is>
          <t>2026-07-24</t>
        </is>
      </c>
      <c r="B5" s="14" t="inlineStr">
        <is>
          <t>WITHDRAWAL</t>
        </is>
      </c>
      <c r="C5" s="15" t="n">
        <v>181.62</v>
      </c>
      <c r="D5" s="14" t="inlineStr">
        <is>
          <t>Adjustment: Brokerage &amp; taxes on past completed trades (SUNPHARMA, JSWSTEEL, TECHM)</t>
        </is>
      </c>
      <c r="E5" s="2" t="n"/>
      <c r="F5" s="2" t="n"/>
    </row>
    <row r="6">
      <c r="A6" s="14" t="inlineStr">
        <is>
          <t>2026-07-27</t>
        </is>
      </c>
      <c r="B6" s="14" t="inlineStr">
        <is>
          <t>WITHDRAWAL</t>
        </is>
      </c>
      <c r="C6" s="15" t="n">
        <v>1.89</v>
      </c>
      <c r="D6" s="14" t="inlineStr">
        <is>
          <t>Brokerage &amp; taxes on TECHM BUY (1 qty @ 1579.00)</t>
        </is>
      </c>
      <c r="E6" s="2" t="n"/>
      <c r="F6" s="2" t="n"/>
    </row>
    <row r="7">
      <c r="A7" s="14" t="inlineStr">
        <is>
          <t>2026-07-31</t>
        </is>
      </c>
      <c r="B7" s="14" t="inlineStr">
        <is>
          <t>WITHDRAWAL</t>
        </is>
      </c>
      <c r="C7" s="15" t="n">
        <v>1.76</v>
      </c>
      <c r="D7" s="14" t="inlineStr">
        <is>
          <t>Brokerage &amp; taxes on BERGEPAINT BUY</t>
        </is>
      </c>
      <c r="E7" s="2" t="n"/>
      <c r="F7" s="2" t="n"/>
    </row>
    <row r="8">
      <c r="A8" s="14" t="inlineStr">
        <is>
          <t>2026-08-03</t>
        </is>
      </c>
      <c r="B8" s="14" t="inlineStr">
        <is>
          <t>WITHDRAWAL</t>
        </is>
      </c>
      <c r="C8" s="15" t="n">
        <v>0.61</v>
      </c>
      <c r="D8" s="14" t="inlineStr">
        <is>
          <t>Brokerage &amp; taxes on ADVANCE BUY (4 qty @ 127.80)</t>
        </is>
      </c>
      <c r="E8" s="2" t="n"/>
      <c r="F8" s="2" t="n"/>
    </row>
    <row r="9">
      <c r="A9" s="14" t="inlineStr">
        <is>
          <t>2026-08-03</t>
        </is>
      </c>
      <c r="B9" s="14" t="inlineStr">
        <is>
          <t>WITHDRAWAL</t>
        </is>
      </c>
      <c r="C9" s="15" t="n">
        <v>0.12</v>
      </c>
      <c r="D9" s="14" t="inlineStr">
        <is>
          <t>Brokerage &amp; taxes on ADVANCE BUY (1 qty @ 100.00)</t>
        </is>
      </c>
      <c r="E9" s="2" t="n"/>
      <c r="F9" s="2" t="n"/>
    </row>
    <row r="10">
      <c r="A10" s="14" t="inlineStr">
        <is>
          <t>2026-08-04</t>
        </is>
      </c>
      <c r="B10" s="14" t="inlineStr">
        <is>
          <t>WITHDRAWAL</t>
        </is>
      </c>
      <c r="C10" s="15" t="n">
        <v>1.84</v>
      </c>
      <c r="D10" s="14" t="inlineStr">
        <is>
          <t>Brokerage &amp; taxes on NESTLEIND BUY (1 qty @ 1530.00)</t>
        </is>
      </c>
      <c r="E10" s="2" t="n"/>
      <c r="F10" s="2" t="n"/>
    </row>
    <row r="11">
      <c r="A11" s="14" t="inlineStr">
        <is>
          <t>2026-08-04</t>
        </is>
      </c>
      <c r="B11" s="14" t="inlineStr">
        <is>
          <t>WITHDRAWAL</t>
        </is>
      </c>
      <c r="C11" s="15" t="n">
        <v>1.97</v>
      </c>
      <c r="D11" s="14" t="inlineStr">
        <is>
          <t>Brokerage &amp; taxes on PIDILITIND BUY (1 qty @ 1642.50)</t>
        </is>
      </c>
      <c r="E11" s="2" t="n"/>
      <c r="F11" s="2" t="n"/>
    </row>
    <row r="12">
      <c r="A12" s="14" t="inlineStr">
        <is>
          <t>2026-08-04</t>
        </is>
      </c>
      <c r="B12" s="14" t="inlineStr">
        <is>
          <t>WITHDRAWAL</t>
        </is>
      </c>
      <c r="C12" s="15" t="n">
        <v>1.83</v>
      </c>
      <c r="D12" s="14" t="inlineStr">
        <is>
          <t>Brokerage &amp; taxes on NESTLEIND SELL (1 qty @ 1520.10)</t>
        </is>
      </c>
      <c r="E12" s="2" t="n"/>
      <c r="F12" s="2" t="n"/>
    </row>
    <row r="13">
      <c r="A13" s="14" t="inlineStr">
        <is>
          <t>2026-08-04</t>
        </is>
      </c>
      <c r="B13" s="14" t="inlineStr">
        <is>
          <t>WITHDRAWAL</t>
        </is>
      </c>
      <c r="C13" s="15" t="n">
        <v>1.96</v>
      </c>
      <c r="D13" s="14" t="inlineStr">
        <is>
          <t>Brokerage &amp; taxes on PIDILITIND SELL (1 qty @ 1634.50)</t>
        </is>
      </c>
      <c r="E13" s="2" t="n"/>
      <c r="F13" s="2" t="n"/>
    </row>
    <row r="14">
      <c r="A14" s="14" t="inlineStr">
        <is>
          <t>2026-08-05</t>
        </is>
      </c>
      <c r="B14" s="14" t="inlineStr">
        <is>
          <t>WITHDRAWAL</t>
        </is>
      </c>
      <c r="C14" s="15" t="n">
        <v>0.84</v>
      </c>
      <c r="D14" s="14" t="inlineStr">
        <is>
          <t>Brokerage &amp; taxes on VISAKAIND BUY (8 qty @ 86.99)</t>
        </is>
      </c>
      <c r="E14" s="2" t="n"/>
      <c r="F14" s="2" t="n"/>
    </row>
    <row r="15">
      <c r="A15" s="14" t="inlineStr">
        <is>
          <t>2026-08-05</t>
        </is>
      </c>
      <c r="B15" s="14" t="inlineStr">
        <is>
          <t>WITHDRAWAL</t>
        </is>
      </c>
      <c r="C15" s="15" t="n">
        <v>0.8</v>
      </c>
      <c r="D15" s="14" t="inlineStr">
        <is>
          <t>Brokerage &amp; taxes on EXCELSOFT BUY (8 qty @ 82.99)</t>
        </is>
      </c>
      <c r="E15" s="2" t="n"/>
      <c r="F15" s="2" t="n"/>
    </row>
    <row r="16">
      <c r="A16" s="14" t="inlineStr">
        <is>
          <t>2026-08-05</t>
        </is>
      </c>
      <c r="B16" s="14" t="inlineStr">
        <is>
          <t>WITHDRAWAL</t>
        </is>
      </c>
      <c r="C16" s="15" t="n">
        <v>0.79</v>
      </c>
      <c r="D16" s="14" t="inlineStr">
        <is>
          <t>Brokerage &amp; taxes on EXCELSOFT BUY (8 qty @ 82.50)</t>
        </is>
      </c>
      <c r="E16" s="2" t="n"/>
      <c r="F16" s="2" t="n"/>
    </row>
    <row r="17">
      <c r="A17" s="14" t="inlineStr">
        <is>
          <t>2026-08-05</t>
        </is>
      </c>
      <c r="B17" s="14" t="inlineStr">
        <is>
          <t>WITHDRAWAL</t>
        </is>
      </c>
      <c r="C17" s="15" t="n">
        <v>17.59</v>
      </c>
      <c r="D17" s="14" t="inlineStr">
        <is>
          <t>Brokerage &amp; taxes on SONACOMS SELL (2 qty @ 798.25)</t>
        </is>
      </c>
      <c r="E17" s="2" t="n"/>
      <c r="F17" s="2" t="n"/>
    </row>
    <row r="18">
      <c r="A18" s="14" t="inlineStr">
        <is>
          <t>2026-08-05</t>
        </is>
      </c>
      <c r="B18" s="14" t="inlineStr">
        <is>
          <t>WITHDRAWAL</t>
        </is>
      </c>
      <c r="C18" s="15" t="n">
        <v>1.23</v>
      </c>
      <c r="D18" s="14" t="inlineStr">
        <is>
          <t>Brokerage &amp; taxes on SONATSOFTW BUY (3 qty @ 341.20)</t>
        </is>
      </c>
      <c r="E18" s="2" t="n"/>
      <c r="F18" s="2" t="n"/>
    </row>
    <row r="19">
      <c r="A19" s="14" t="inlineStr">
        <is>
          <t>2026-08-05</t>
        </is>
      </c>
      <c r="B19" s="14" t="inlineStr">
        <is>
          <t>WITHDRAWAL</t>
        </is>
      </c>
      <c r="C19" s="15" t="n">
        <v>1.23</v>
      </c>
      <c r="D19" s="14" t="inlineStr">
        <is>
          <t>Brokerage &amp; taxes on SONATSOFTW BUY (3 qty @ 341.15)</t>
        </is>
      </c>
      <c r="E19" s="2" t="n"/>
      <c r="F19" s="2" t="n"/>
    </row>
    <row r="20">
      <c r="A20" s="14" t="inlineStr">
        <is>
          <t>2026-08-05</t>
        </is>
      </c>
      <c r="B20" s="14" t="inlineStr">
        <is>
          <t>WITHDRAWAL</t>
        </is>
      </c>
      <c r="C20" s="15" t="n">
        <v>1.05</v>
      </c>
      <c r="D20" s="14" t="inlineStr">
        <is>
          <t>Brokerage &amp; taxes on IFGLEXPOR BUY (4 qty @ 219.60)</t>
        </is>
      </c>
      <c r="E20" s="2" t="n"/>
      <c r="F20" s="2" t="n"/>
    </row>
    <row r="21" ht="15.75" customHeight="1" s="61">
      <c r="A21" s="14" t="inlineStr">
        <is>
          <t>2026-08-05</t>
        </is>
      </c>
      <c r="B21" s="14" t="inlineStr">
        <is>
          <t>WITHDRAWAL</t>
        </is>
      </c>
      <c r="C21" s="15" t="n">
        <v>0.97</v>
      </c>
      <c r="D21" s="14" t="inlineStr">
        <is>
          <t>Brokerage &amp; taxes on SAPPHIRE BUY (4 qty @ 202.50)</t>
        </is>
      </c>
      <c r="E21" s="2" t="n"/>
      <c r="F21" s="2" t="n"/>
    </row>
    <row r="22" ht="15.75" customHeight="1" s="61">
      <c r="A22" s="14" t="inlineStr">
        <is>
          <t>2026-08-05</t>
        </is>
      </c>
      <c r="B22" s="14" t="inlineStr">
        <is>
          <t>WITHDRAWAL</t>
        </is>
      </c>
      <c r="C22" s="15" t="n">
        <v>1.27</v>
      </c>
      <c r="D22" s="14" t="inlineStr">
        <is>
          <t>Brokerage &amp; taxes on AEROENTER BUY (8 qty @ 132.15)</t>
        </is>
      </c>
      <c r="E22" s="2" t="n"/>
      <c r="F22" s="2" t="n"/>
    </row>
    <row r="23" ht="15.75" customHeight="1" s="61">
      <c r="A23" s="14" t="inlineStr">
        <is>
          <t>2026-08-05</t>
        </is>
      </c>
      <c r="B23" s="14" t="inlineStr">
        <is>
          <t>WITHDRAWAL</t>
        </is>
      </c>
      <c r="C23" s="15" t="n">
        <v>0.6899999999999999</v>
      </c>
      <c r="D23" s="14" t="inlineStr">
        <is>
          <t>Brokerage &amp; taxes on TATASTEEL BUY (3 qty @ 193.00)</t>
        </is>
      </c>
      <c r="E23" s="2" t="n"/>
      <c r="F23" s="2" t="n"/>
    </row>
    <row r="24" ht="15.75" customHeight="1" s="61">
      <c r="A24" s="14" t="inlineStr">
        <is>
          <t>2026-08-06</t>
        </is>
      </c>
      <c r="B24" s="14" t="inlineStr">
        <is>
          <t>WITHDRAWAL</t>
        </is>
      </c>
      <c r="C24" s="15" t="n">
        <v>1.27</v>
      </c>
      <c r="D24" s="14" t="inlineStr">
        <is>
          <t>Brokerage &amp; taxes on AEROENTER BUY (8 qty @ 132.01)</t>
        </is>
      </c>
      <c r="E24" s="2" t="n"/>
      <c r="F24" s="2" t="n"/>
    </row>
    <row r="25" ht="15.75" customHeight="1" s="61">
      <c r="A25" s="14" t="inlineStr">
        <is>
          <t>2026-08-06</t>
        </is>
      </c>
      <c r="B25" s="14" t="inlineStr">
        <is>
          <t>WITHDRAWAL</t>
        </is>
      </c>
      <c r="C25" s="15" t="n">
        <v>0.23</v>
      </c>
      <c r="D25" s="14" t="inlineStr">
        <is>
          <t>Brokerage &amp; taxes on TATASTEEL BUY (1 qty @ 192.60)</t>
        </is>
      </c>
      <c r="E25" s="2" t="n"/>
      <c r="F25" s="2" t="n"/>
    </row>
    <row r="26" ht="15.75" customHeight="1" s="61">
      <c r="A26" s="14" t="inlineStr">
        <is>
          <t>2026-08-06</t>
        </is>
      </c>
      <c r="B26" s="14" t="inlineStr">
        <is>
          <t>WITHDRAWAL</t>
        </is>
      </c>
      <c r="C26" s="15" t="n">
        <v>16.13</v>
      </c>
      <c r="D26" s="14" t="inlineStr">
        <is>
          <t>Brokerage &amp; taxes on TATASTEEL SELL (1 qty @ 191.65)</t>
        </is>
      </c>
      <c r="E26" s="2" t="n"/>
      <c r="F26" s="2" t="n"/>
    </row>
    <row r="27" ht="15.75" customHeight="1" s="61">
      <c r="A27" s="14" t="inlineStr">
        <is>
          <t>2026-08-10</t>
        </is>
      </c>
      <c r="B27" s="14" t="inlineStr">
        <is>
          <t>WITHDRAWAL</t>
        </is>
      </c>
      <c r="C27" s="15" t="n">
        <v>16.79</v>
      </c>
      <c r="D27" s="14" t="inlineStr">
        <is>
          <t>Brokerage &amp; taxes on VISAKAIND SELL (8 qty @ 103.24)</t>
        </is>
      </c>
      <c r="E27" s="2" t="n"/>
      <c r="F27" s="2" t="n"/>
    </row>
    <row r="28" ht="15.75" customHeight="1" s="61">
      <c r="A28" s="14" t="inlineStr">
        <is>
          <t>2026-08-10</t>
        </is>
      </c>
      <c r="B28" s="14" t="inlineStr">
        <is>
          <t>WITHDRAWAL</t>
        </is>
      </c>
      <c r="C28" s="15" t="n">
        <v>16.92</v>
      </c>
      <c r="D28" s="14" t="inlineStr">
        <is>
          <t>Brokerage &amp; taxes on SONATSOFTW SELL (3 qty @ 316.20)</t>
        </is>
      </c>
      <c r="E28" s="2" t="n"/>
      <c r="F28" s="2" t="n"/>
    </row>
    <row r="29" ht="15.75" customHeight="1" s="61">
      <c r="A29" s="14" t="inlineStr">
        <is>
          <t>2026-08-10</t>
        </is>
      </c>
      <c r="B29" s="14" t="inlineStr">
        <is>
          <t>WITHDRAWAL</t>
        </is>
      </c>
      <c r="C29" s="15" t="n">
        <v>16.58</v>
      </c>
      <c r="D29" s="14" t="inlineStr">
        <is>
          <t>Brokerage &amp; taxes on EXCELSOFT SELL (8 qty @ 77.58)</t>
        </is>
      </c>
      <c r="E29" s="2" t="n"/>
      <c r="F29" s="2" t="n"/>
    </row>
    <row r="30" ht="15.75" customHeight="1" s="61">
      <c r="A30" s="14" t="inlineStr">
        <is>
          <t>2026-08-11</t>
        </is>
      </c>
      <c r="B30" s="14" t="inlineStr">
        <is>
          <t>WITHDRAWAL</t>
        </is>
      </c>
      <c r="C30" s="15" t="n">
        <v>1.56</v>
      </c>
      <c r="D30" s="14" t="inlineStr">
        <is>
          <t>Brokerage &amp; taxes on HARSHA BUY (3 qty @ 432.60)</t>
        </is>
      </c>
      <c r="E30" s="2" t="n"/>
      <c r="F30" s="2" t="n"/>
    </row>
    <row r="31" ht="15.75" customHeight="1" s="61">
      <c r="A31" s="14" t="inlineStr">
        <is>
          <t>2026-08-11</t>
        </is>
      </c>
      <c r="B31" s="14" t="inlineStr">
        <is>
          <t>WITHDRAWAL</t>
        </is>
      </c>
      <c r="C31" s="15" t="n">
        <v>0.99</v>
      </c>
      <c r="D31" s="14" t="inlineStr">
        <is>
          <t>Brokerage &amp; taxes on CONFIPET BUY (10 qty @ 82.74)</t>
        </is>
      </c>
      <c r="E31" s="2" t="n"/>
      <c r="F31" s="2" t="n"/>
    </row>
    <row r="32" ht="15.75" customHeight="1" s="61">
      <c r="A32" s="2" t="inlineStr">
        <is>
          <t>2026-08-12</t>
        </is>
      </c>
      <c r="B32" s="2" t="inlineStr">
        <is>
          <t>WITHDRAWAL</t>
        </is>
      </c>
      <c r="C32" s="15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61">
      <c r="A33" s="2" t="inlineStr">
        <is>
          <t>2026-08-12</t>
        </is>
      </c>
      <c r="B33" s="2" t="inlineStr">
        <is>
          <t>WITHDRAWAL</t>
        </is>
      </c>
      <c r="C33" s="15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61">
      <c r="A34" s="2" t="inlineStr">
        <is>
          <t>2026-08-12</t>
        </is>
      </c>
      <c r="B34" s="2" t="inlineStr">
        <is>
          <t>WITHDRAWAL</t>
        </is>
      </c>
      <c r="C34" s="15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61">
      <c r="A35" s="2" t="inlineStr">
        <is>
          <t>2026-08-12</t>
        </is>
      </c>
      <c r="B35" s="2" t="inlineStr">
        <is>
          <t>WITHDRAWAL</t>
        </is>
      </c>
      <c r="C35" s="15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61">
      <c r="A36" s="2" t="n"/>
      <c r="B36" s="2" t="n"/>
      <c r="C36" s="2" t="n"/>
      <c r="D36" s="2" t="n"/>
      <c r="E36" s="2" t="n"/>
      <c r="F36" s="2" t="n"/>
    </row>
    <row r="37" ht="15.75" customHeight="1" s="61">
      <c r="A37" s="2" t="n"/>
      <c r="B37" s="2" t="n"/>
      <c r="C37" s="2" t="n"/>
      <c r="D37" s="2" t="n"/>
      <c r="E37" s="2" t="n"/>
      <c r="F37" s="2" t="n"/>
    </row>
    <row r="38" ht="15.75" customHeight="1" s="61">
      <c r="A38" s="2" t="n"/>
      <c r="B38" s="2" t="n"/>
      <c r="C38" s="2" t="n"/>
      <c r="D38" s="2" t="n"/>
      <c r="E38" s="2" t="n"/>
      <c r="F38" s="2" t="n"/>
    </row>
    <row r="39" ht="15.75" customHeight="1" s="61">
      <c r="A39" s="2" t="n"/>
      <c r="B39" s="2" t="n"/>
      <c r="C39" s="2" t="n"/>
      <c r="D39" s="2" t="n"/>
      <c r="E39" s="2" t="n"/>
      <c r="F39" s="2" t="n"/>
    </row>
    <row r="40" ht="15.75" customHeight="1" s="61">
      <c r="A40" s="2" t="n"/>
      <c r="B40" s="2" t="n"/>
      <c r="C40" s="2" t="n"/>
      <c r="D40" s="2" t="n"/>
      <c r="E40" s="2" t="n"/>
      <c r="F40" s="2" t="n"/>
    </row>
    <row r="41" ht="15.75" customHeight="1" s="61">
      <c r="A41" s="2" t="n"/>
      <c r="B41" s="2" t="n"/>
      <c r="C41" s="2" t="n"/>
      <c r="D41" s="2" t="n"/>
      <c r="E41" s="2" t="n"/>
      <c r="F41" s="2" t="n"/>
    </row>
    <row r="42" ht="15.75" customHeight="1" s="61">
      <c r="A42" s="2" t="n"/>
      <c r="B42" s="2" t="n"/>
      <c r="C42" s="2" t="n"/>
      <c r="D42" s="2" t="n"/>
      <c r="E42" s="2" t="n"/>
      <c r="F42" s="2" t="n"/>
    </row>
    <row r="43" ht="15.75" customHeight="1" s="61">
      <c r="A43" s="2" t="n"/>
      <c r="B43" s="2" t="n"/>
      <c r="C43" s="2" t="n"/>
      <c r="D43" s="2" t="n"/>
      <c r="E43" s="2" t="n"/>
      <c r="F43" s="2" t="n"/>
    </row>
    <row r="44" ht="15.75" customHeight="1" s="61">
      <c r="A44" s="2" t="n"/>
      <c r="B44" s="2" t="n"/>
      <c r="C44" s="2" t="n"/>
      <c r="D44" s="2" t="n"/>
      <c r="E44" s="2" t="n"/>
      <c r="F44" s="2" t="n"/>
    </row>
    <row r="45" ht="15.75" customHeight="1" s="61">
      <c r="A45" s="2" t="n"/>
      <c r="B45" s="2" t="n"/>
      <c r="C45" s="2" t="n"/>
      <c r="D45" s="2" t="n"/>
      <c r="E45" s="2" t="n"/>
      <c r="F45" s="2" t="n"/>
    </row>
    <row r="46" ht="15.75" customHeight="1" s="61">
      <c r="A46" s="2" t="n"/>
      <c r="B46" s="2" t="n"/>
      <c r="C46" s="2" t="n"/>
      <c r="D46" s="2" t="n"/>
      <c r="E46" s="2" t="n"/>
      <c r="F46" s="2" t="n"/>
    </row>
    <row r="47" ht="15.75" customHeight="1" s="61">
      <c r="A47" s="2" t="n"/>
      <c r="B47" s="2" t="n"/>
      <c r="C47" s="2" t="n"/>
      <c r="D47" s="2" t="n"/>
      <c r="E47" s="2" t="n"/>
      <c r="F47" s="2" t="n"/>
    </row>
    <row r="48" ht="15.75" customHeight="1" s="61">
      <c r="A48" s="2" t="n"/>
      <c r="B48" s="2" t="n"/>
      <c r="C48" s="2" t="n"/>
      <c r="D48" s="2" t="n"/>
      <c r="E48" s="2" t="n"/>
      <c r="F48" s="2" t="n"/>
    </row>
    <row r="49" ht="15.75" customHeight="1" s="61">
      <c r="A49" s="2" t="n"/>
      <c r="B49" s="2" t="n"/>
      <c r="C49" s="2" t="n"/>
      <c r="D49" s="2" t="n"/>
      <c r="E49" s="2" t="n"/>
      <c r="F49" s="2" t="n"/>
    </row>
    <row r="50" ht="15.75" customHeight="1" s="61">
      <c r="A50" s="2" t="n"/>
      <c r="B50" s="2" t="n"/>
      <c r="C50" s="2" t="n"/>
      <c r="D50" s="2" t="n"/>
      <c r="E50" s="2" t="n"/>
      <c r="F50" s="2" t="n"/>
    </row>
    <row r="51" ht="15.75" customHeight="1" s="61">
      <c r="A51" s="2" t="n"/>
      <c r="B51" s="2" t="n"/>
      <c r="C51" s="2" t="n"/>
      <c r="D51" s="2" t="n"/>
      <c r="E51" s="2" t="n"/>
      <c r="F51" s="2" t="n"/>
    </row>
    <row r="52" ht="15.75" customHeight="1" s="61">
      <c r="A52" s="2" t="n"/>
      <c r="B52" s="2" t="n"/>
      <c r="C52" s="2" t="n"/>
      <c r="D52" s="2" t="n"/>
      <c r="E52" s="2" t="n"/>
      <c r="F52" s="2" t="n"/>
    </row>
    <row r="53" ht="15.75" customHeight="1" s="61">
      <c r="A53" s="2" t="n"/>
      <c r="B53" s="2" t="n"/>
      <c r="C53" s="2" t="n"/>
      <c r="D53" s="2" t="n"/>
      <c r="E53" s="2" t="n"/>
      <c r="F53" s="2" t="n"/>
    </row>
    <row r="54" ht="15.75" customHeight="1" s="61">
      <c r="A54" s="2" t="n"/>
      <c r="B54" s="2" t="n"/>
      <c r="C54" s="2" t="n"/>
      <c r="D54" s="2" t="n"/>
      <c r="E54" s="2" t="n"/>
      <c r="F54" s="2" t="n"/>
    </row>
    <row r="55" ht="15.75" customHeight="1" s="61">
      <c r="A55" s="2" t="n"/>
      <c r="B55" s="2" t="n"/>
      <c r="C55" s="2" t="n"/>
      <c r="D55" s="2" t="n"/>
      <c r="E55" s="2" t="n"/>
      <c r="F55" s="2" t="n"/>
    </row>
    <row r="56" ht="15.75" customHeight="1" s="61">
      <c r="A56" s="2" t="n"/>
      <c r="B56" s="2" t="n"/>
      <c r="C56" s="2" t="n"/>
      <c r="D56" s="2" t="n"/>
      <c r="E56" s="2" t="n"/>
      <c r="F56" s="2" t="n"/>
    </row>
    <row r="57" ht="15.75" customHeight="1" s="61">
      <c r="A57" s="2" t="n"/>
      <c r="B57" s="2" t="n"/>
      <c r="C57" s="2" t="n"/>
      <c r="D57" s="2" t="n"/>
      <c r="E57" s="2" t="n"/>
      <c r="F57" s="2" t="n"/>
    </row>
    <row r="58" ht="15.75" customHeight="1" s="61">
      <c r="A58" s="2" t="n"/>
      <c r="B58" s="2" t="n"/>
      <c r="C58" s="2" t="n"/>
      <c r="D58" s="2" t="n"/>
      <c r="E58" s="2" t="n"/>
      <c r="F58" s="2" t="n"/>
    </row>
    <row r="59" ht="15.75" customHeight="1" s="61">
      <c r="A59" s="2" t="n"/>
      <c r="B59" s="2" t="n"/>
      <c r="C59" s="2" t="n"/>
      <c r="D59" s="2" t="n"/>
      <c r="E59" s="2" t="n"/>
      <c r="F59" s="2" t="n"/>
    </row>
    <row r="60" ht="15.75" customHeight="1" s="61">
      <c r="A60" s="2" t="n"/>
      <c r="B60" s="2" t="n"/>
      <c r="C60" s="2" t="n"/>
      <c r="D60" s="2" t="n"/>
      <c r="E60" s="2" t="n"/>
      <c r="F60" s="2" t="n"/>
    </row>
    <row r="61" ht="15.75" customHeight="1" s="61">
      <c r="A61" s="2" t="n"/>
      <c r="B61" s="2" t="n"/>
      <c r="C61" s="2" t="n"/>
      <c r="D61" s="2" t="n"/>
      <c r="E61" s="2" t="n"/>
      <c r="F61" s="2" t="n"/>
    </row>
    <row r="62" ht="15.75" customHeight="1" s="61">
      <c r="A62" s="2" t="n"/>
      <c r="B62" s="2" t="n"/>
      <c r="C62" s="2" t="n"/>
      <c r="D62" s="2" t="n"/>
      <c r="E62" s="2" t="n"/>
      <c r="F62" s="2" t="n"/>
    </row>
    <row r="63" ht="15.75" customHeight="1" s="61">
      <c r="A63" s="2" t="n"/>
      <c r="B63" s="2" t="n"/>
      <c r="C63" s="2" t="n"/>
      <c r="D63" s="2" t="n"/>
      <c r="E63" s="2" t="n"/>
      <c r="F63" s="2" t="n"/>
    </row>
    <row r="64" ht="15.75" customHeight="1" s="61">
      <c r="A64" s="2" t="n"/>
      <c r="B64" s="2" t="n"/>
      <c r="C64" s="2" t="n"/>
      <c r="D64" s="2" t="n"/>
      <c r="E64" s="2" t="n"/>
      <c r="F64" s="2" t="n"/>
    </row>
    <row r="65" ht="15.75" customHeight="1" s="61">
      <c r="A65" s="2" t="n"/>
      <c r="B65" s="2" t="n"/>
      <c r="C65" s="2" t="n"/>
      <c r="D65" s="2" t="n"/>
      <c r="E65" s="2" t="n"/>
      <c r="F65" s="2" t="n"/>
    </row>
    <row r="66" ht="15.75" customHeight="1" s="61">
      <c r="A66" s="2" t="n"/>
      <c r="B66" s="2" t="n"/>
      <c r="C66" s="2" t="n"/>
      <c r="D66" s="2" t="n"/>
      <c r="E66" s="2" t="n"/>
      <c r="F66" s="2" t="n"/>
    </row>
    <row r="67" ht="15.75" customHeight="1" s="61">
      <c r="A67" s="2" t="n"/>
      <c r="B67" s="2" t="n"/>
      <c r="C67" s="2" t="n"/>
      <c r="D67" s="2" t="n"/>
      <c r="E67" s="2" t="n"/>
      <c r="F67" s="2" t="n"/>
    </row>
    <row r="68" ht="15.75" customHeight="1" s="61">
      <c r="A68" s="2" t="n"/>
      <c r="B68" s="2" t="n"/>
      <c r="C68" s="2" t="n"/>
      <c r="D68" s="2" t="n"/>
      <c r="E68" s="2" t="n"/>
      <c r="F68" s="2" t="n"/>
    </row>
    <row r="69" ht="15.75" customHeight="1" s="61">
      <c r="A69" s="2" t="n"/>
      <c r="B69" s="2" t="n"/>
      <c r="C69" s="2" t="n"/>
      <c r="D69" s="2" t="n"/>
      <c r="E69" s="2" t="n"/>
      <c r="F69" s="2" t="n"/>
    </row>
    <row r="70" ht="15.75" customHeight="1" s="61">
      <c r="A70" s="2" t="n"/>
      <c r="B70" s="2" t="n"/>
      <c r="C70" s="2" t="n"/>
      <c r="D70" s="2" t="n"/>
      <c r="E70" s="2" t="n"/>
      <c r="F70" s="2" t="n"/>
    </row>
    <row r="71" ht="15.75" customHeight="1" s="61">
      <c r="A71" s="2" t="n"/>
      <c r="B71" s="2" t="n"/>
      <c r="C71" s="2" t="n"/>
      <c r="D71" s="2" t="n"/>
      <c r="E71" s="2" t="n"/>
      <c r="F71" s="2" t="n"/>
    </row>
    <row r="72" ht="15.75" customHeight="1" s="61">
      <c r="A72" s="2" t="n"/>
      <c r="B72" s="2" t="n"/>
      <c r="C72" s="2" t="n"/>
      <c r="D72" s="2" t="n"/>
      <c r="E72" s="2" t="n"/>
      <c r="F72" s="2" t="n"/>
    </row>
    <row r="73" ht="15.75" customHeight="1" s="61">
      <c r="A73" s="2" t="n"/>
      <c r="B73" s="2" t="n"/>
      <c r="C73" s="2" t="n"/>
      <c r="D73" s="2" t="n"/>
      <c r="E73" s="2" t="n"/>
      <c r="F73" s="2" t="n"/>
    </row>
    <row r="74" ht="15.75" customHeight="1" s="61">
      <c r="A74" s="2" t="n"/>
      <c r="B74" s="2" t="n"/>
      <c r="C74" s="2" t="n"/>
      <c r="D74" s="2" t="n"/>
      <c r="E74" s="2" t="n"/>
      <c r="F74" s="2" t="n"/>
    </row>
    <row r="75" ht="15.75" customHeight="1" s="61">
      <c r="A75" s="2" t="n"/>
      <c r="B75" s="2" t="n"/>
      <c r="C75" s="2" t="n"/>
      <c r="D75" s="2" t="n"/>
      <c r="E75" s="2" t="n"/>
      <c r="F75" s="2" t="n"/>
    </row>
    <row r="76" ht="15.75" customHeight="1" s="61">
      <c r="A76" s="2" t="n"/>
      <c r="B76" s="2" t="n"/>
      <c r="C76" s="2" t="n"/>
      <c r="D76" s="2" t="n"/>
      <c r="E76" s="2" t="n"/>
      <c r="F76" s="2" t="n"/>
    </row>
    <row r="77" ht="15.75" customHeight="1" s="61">
      <c r="A77" s="2" t="n"/>
      <c r="B77" s="2" t="n"/>
      <c r="C77" s="2" t="n"/>
      <c r="D77" s="2" t="n"/>
      <c r="E77" s="2" t="n"/>
      <c r="F77" s="2" t="n"/>
    </row>
    <row r="78" ht="15.75" customHeight="1" s="61">
      <c r="A78" s="2" t="n"/>
      <c r="B78" s="2" t="n"/>
      <c r="C78" s="2" t="n"/>
      <c r="D78" s="2" t="n"/>
      <c r="E78" s="2" t="n"/>
      <c r="F78" s="2" t="n"/>
    </row>
    <row r="79" ht="15.75" customHeight="1" s="61">
      <c r="A79" s="2" t="n"/>
      <c r="B79" s="2" t="n"/>
      <c r="C79" s="2" t="n"/>
      <c r="D79" s="2" t="n"/>
      <c r="E79" s="2" t="n"/>
      <c r="F79" s="2" t="n"/>
    </row>
    <row r="80" ht="15.75" customHeight="1" s="61">
      <c r="A80" s="2" t="n"/>
      <c r="B80" s="2" t="n"/>
      <c r="C80" s="2" t="n"/>
      <c r="D80" s="2" t="n"/>
      <c r="E80" s="2" t="n"/>
      <c r="F80" s="2" t="n"/>
    </row>
    <row r="81" ht="15.75" customHeight="1" s="61">
      <c r="A81" s="2" t="n"/>
      <c r="B81" s="2" t="n"/>
      <c r="C81" s="2" t="n"/>
      <c r="D81" s="2" t="n"/>
      <c r="E81" s="2" t="n"/>
      <c r="F81" s="2" t="n"/>
    </row>
    <row r="82" ht="15.75" customHeight="1" s="61">
      <c r="A82" s="2" t="n"/>
      <c r="B82" s="2" t="n"/>
      <c r="C82" s="2" t="n"/>
      <c r="D82" s="2" t="n"/>
      <c r="E82" s="2" t="n"/>
      <c r="F82" s="2" t="n"/>
    </row>
    <row r="83" ht="15.75" customHeight="1" s="61">
      <c r="A83" s="2" t="n"/>
      <c r="B83" s="2" t="n"/>
      <c r="C83" s="2" t="n"/>
      <c r="D83" s="2" t="n"/>
      <c r="E83" s="2" t="n"/>
      <c r="F83" s="2" t="n"/>
    </row>
    <row r="84" ht="15.75" customHeight="1" s="61">
      <c r="A84" s="2" t="n"/>
      <c r="B84" s="2" t="n"/>
      <c r="C84" s="2" t="n"/>
      <c r="D84" s="2" t="n"/>
      <c r="E84" s="2" t="n"/>
      <c r="F84" s="2" t="n"/>
    </row>
    <row r="85" ht="15.75" customHeight="1" s="61">
      <c r="A85" s="2" t="n"/>
      <c r="B85" s="2" t="n"/>
      <c r="C85" s="2" t="n"/>
      <c r="D85" s="2" t="n"/>
      <c r="E85" s="2" t="n"/>
      <c r="F85" s="2" t="n"/>
    </row>
    <row r="86" ht="15.75" customHeight="1" s="61">
      <c r="A86" s="2" t="n"/>
      <c r="B86" s="2" t="n"/>
      <c r="C86" s="2" t="n"/>
      <c r="D86" s="2" t="n"/>
      <c r="E86" s="2" t="n"/>
      <c r="F86" s="2" t="n"/>
    </row>
    <row r="87" ht="15.75" customHeight="1" s="61">
      <c r="A87" s="2" t="n"/>
      <c r="B87" s="2" t="n"/>
      <c r="C87" s="2" t="n"/>
      <c r="D87" s="2" t="n"/>
      <c r="E87" s="2" t="n"/>
      <c r="F87" s="2" t="n"/>
    </row>
    <row r="88" ht="15.75" customHeight="1" s="61">
      <c r="A88" s="2" t="n"/>
      <c r="B88" s="2" t="n"/>
      <c r="C88" s="2" t="n"/>
      <c r="D88" s="2" t="n"/>
      <c r="E88" s="2" t="n"/>
      <c r="F88" s="2" t="n"/>
    </row>
    <row r="89" ht="15.75" customHeight="1" s="61">
      <c r="A89" s="2" t="n"/>
      <c r="B89" s="2" t="n"/>
      <c r="C89" s="2" t="n"/>
      <c r="D89" s="2" t="n"/>
      <c r="E89" s="2" t="n"/>
      <c r="F89" s="2" t="n"/>
    </row>
    <row r="90" ht="15.75" customHeight="1" s="61">
      <c r="A90" s="2" t="n"/>
      <c r="B90" s="2" t="n"/>
      <c r="C90" s="2" t="n"/>
      <c r="D90" s="2" t="n"/>
      <c r="E90" s="2" t="n"/>
      <c r="F90" s="2" t="n"/>
    </row>
    <row r="91" ht="15.75" customHeight="1" s="61">
      <c r="A91" s="2" t="n"/>
      <c r="B91" s="2" t="n"/>
      <c r="C91" s="2" t="n"/>
      <c r="D91" s="2" t="n"/>
      <c r="E91" s="2" t="n"/>
      <c r="F91" s="2" t="n"/>
    </row>
    <row r="92" ht="15.75" customHeight="1" s="61">
      <c r="A92" s="2" t="n"/>
      <c r="B92" s="2" t="n"/>
      <c r="C92" s="2" t="n"/>
      <c r="D92" s="2" t="n"/>
      <c r="E92" s="2" t="n"/>
      <c r="F92" s="2" t="n"/>
    </row>
    <row r="93" ht="15.75" customHeight="1" s="61">
      <c r="A93" s="2" t="n"/>
      <c r="B93" s="2" t="n"/>
      <c r="C93" s="2" t="n"/>
      <c r="D93" s="2" t="n"/>
      <c r="E93" s="2" t="n"/>
      <c r="F93" s="2" t="n"/>
    </row>
    <row r="94" ht="15.75" customHeight="1" s="61">
      <c r="A94" s="2" t="n"/>
      <c r="B94" s="2" t="n"/>
      <c r="C94" s="2" t="n"/>
      <c r="D94" s="2" t="n"/>
      <c r="E94" s="2" t="n"/>
      <c r="F94" s="2" t="n"/>
    </row>
    <row r="95" ht="15.75" customHeight="1" s="61">
      <c r="A95" s="2" t="n"/>
      <c r="B95" s="2" t="n"/>
      <c r="C95" s="2" t="n"/>
      <c r="D95" s="2" t="n"/>
      <c r="E95" s="2" t="n"/>
      <c r="F95" s="2" t="n"/>
    </row>
    <row r="96" ht="15.75" customHeight="1" s="61">
      <c r="A96" s="2" t="n"/>
      <c r="B96" s="2" t="n"/>
      <c r="C96" s="2" t="n"/>
      <c r="D96" s="2" t="n"/>
      <c r="E96" s="2" t="n"/>
      <c r="F96" s="2" t="n"/>
    </row>
    <row r="97" ht="15.75" customHeight="1" s="61">
      <c r="A97" s="2" t="n"/>
      <c r="B97" s="2" t="n"/>
      <c r="C97" s="2" t="n"/>
      <c r="D97" s="2" t="n"/>
      <c r="E97" s="2" t="n"/>
      <c r="F97" s="2" t="n"/>
    </row>
    <row r="98" ht="15.75" customHeight="1" s="61">
      <c r="A98" s="2" t="n"/>
      <c r="B98" s="2" t="n"/>
      <c r="C98" s="2" t="n"/>
      <c r="D98" s="2" t="n"/>
      <c r="E98" s="2" t="n"/>
      <c r="F98" s="2" t="n"/>
    </row>
    <row r="99" ht="15.75" customHeight="1" s="61">
      <c r="A99" s="2" t="n"/>
      <c r="B99" s="2" t="n"/>
      <c r="C99" s="2" t="n"/>
      <c r="D99" s="2" t="n"/>
      <c r="E99" s="2" t="n"/>
      <c r="F99" s="2" t="n"/>
    </row>
    <row r="100" ht="15.75" customHeight="1" s="61">
      <c r="A100" s="2" t="n"/>
      <c r="B100" s="2" t="n"/>
      <c r="C100" s="2" t="n"/>
      <c r="D100" s="2" t="n"/>
      <c r="E100" s="2" t="n"/>
      <c r="F100" s="2" t="n"/>
    </row>
    <row r="101" ht="15.75" customHeight="1" s="61">
      <c r="A101" s="2" t="n"/>
      <c r="B101" s="2" t="n"/>
      <c r="C101" s="2" t="n"/>
      <c r="D101" s="2" t="n"/>
      <c r="E101" s="2" t="n"/>
      <c r="F101" s="2" t="n"/>
    </row>
    <row r="102" ht="15.75" customHeight="1" s="61">
      <c r="A102" s="2" t="n"/>
      <c r="B102" s="2" t="n"/>
      <c r="C102" s="2" t="n"/>
      <c r="D102" s="2" t="n"/>
      <c r="E102" s="2" t="n"/>
      <c r="F102" s="2" t="n"/>
    </row>
    <row r="103" ht="15.75" customHeight="1" s="61">
      <c r="A103" s="2" t="n"/>
      <c r="B103" s="2" t="n"/>
      <c r="C103" s="2" t="n"/>
      <c r="D103" s="2" t="n"/>
      <c r="E103" s="2" t="n"/>
      <c r="F103" s="2" t="n"/>
    </row>
    <row r="104" ht="15.75" customHeight="1" s="61">
      <c r="A104" s="2" t="n"/>
      <c r="B104" s="2" t="n"/>
      <c r="C104" s="2" t="n"/>
      <c r="D104" s="2" t="n"/>
      <c r="E104" s="2" t="n"/>
      <c r="F104" s="2" t="n"/>
    </row>
    <row r="105" ht="15.75" customHeight="1" s="61">
      <c r="A105" s="2" t="n"/>
      <c r="B105" s="2" t="n"/>
      <c r="C105" s="2" t="n"/>
      <c r="D105" s="2" t="n"/>
      <c r="E105" s="2" t="n"/>
      <c r="F105" s="2" t="n"/>
    </row>
    <row r="106" ht="15.75" customHeight="1" s="61">
      <c r="A106" s="2" t="n"/>
      <c r="B106" s="2" t="n"/>
      <c r="C106" s="2" t="n"/>
      <c r="D106" s="2" t="n"/>
      <c r="E106" s="2" t="n"/>
      <c r="F106" s="2" t="n"/>
    </row>
    <row r="107" ht="15.75" customHeight="1" s="61">
      <c r="A107" s="2" t="n"/>
      <c r="B107" s="2" t="n"/>
      <c r="C107" s="2" t="n"/>
      <c r="D107" s="2" t="n"/>
      <c r="E107" s="2" t="n"/>
      <c r="F107" s="2" t="n"/>
    </row>
    <row r="108" ht="15.75" customHeight="1" s="61">
      <c r="A108" s="2" t="n"/>
      <c r="B108" s="2" t="n"/>
      <c r="C108" s="2" t="n"/>
      <c r="D108" s="2" t="n"/>
      <c r="E108" s="2" t="n"/>
      <c r="F108" s="2" t="n"/>
    </row>
    <row r="109" ht="15.75" customHeight="1" s="61">
      <c r="A109" s="2" t="n"/>
      <c r="B109" s="2" t="n"/>
      <c r="C109" s="2" t="n"/>
      <c r="D109" s="2" t="n"/>
      <c r="E109" s="2" t="n"/>
      <c r="F109" s="2" t="n"/>
    </row>
    <row r="110" ht="15.75" customHeight="1" s="61">
      <c r="A110" s="2" t="n"/>
      <c r="B110" s="2" t="n"/>
      <c r="C110" s="2" t="n"/>
      <c r="D110" s="2" t="n"/>
      <c r="E110" s="2" t="n"/>
      <c r="F110" s="2" t="n"/>
    </row>
    <row r="111" ht="15.75" customHeight="1" s="61">
      <c r="A111" s="2" t="n"/>
      <c r="B111" s="2" t="n"/>
      <c r="C111" s="2" t="n"/>
      <c r="D111" s="2" t="n"/>
      <c r="E111" s="2" t="n"/>
      <c r="F111" s="2" t="n"/>
    </row>
    <row r="112" ht="15.75" customHeight="1" s="61">
      <c r="A112" s="2" t="n"/>
      <c r="B112" s="2" t="n"/>
      <c r="C112" s="2" t="n"/>
      <c r="D112" s="2" t="n"/>
      <c r="E112" s="2" t="n"/>
      <c r="F112" s="2" t="n"/>
    </row>
    <row r="113" ht="15.75" customHeight="1" s="61">
      <c r="A113" s="2" t="n"/>
      <c r="B113" s="2" t="n"/>
      <c r="C113" s="2" t="n"/>
      <c r="D113" s="2" t="n"/>
      <c r="E113" s="2" t="n"/>
      <c r="F113" s="2" t="n"/>
    </row>
    <row r="114" ht="15.75" customHeight="1" s="61">
      <c r="A114" s="2" t="n"/>
      <c r="B114" s="2" t="n"/>
      <c r="C114" s="2" t="n"/>
      <c r="D114" s="2" t="n"/>
      <c r="E114" s="2" t="n"/>
      <c r="F114" s="2" t="n"/>
    </row>
    <row r="115" ht="15.75" customHeight="1" s="61">
      <c r="A115" s="2" t="n"/>
      <c r="B115" s="2" t="n"/>
      <c r="C115" s="2" t="n"/>
      <c r="D115" s="2" t="n"/>
      <c r="E115" s="2" t="n"/>
      <c r="F115" s="2" t="n"/>
    </row>
    <row r="116" ht="15.75" customHeight="1" s="61">
      <c r="A116" s="2" t="n"/>
      <c r="B116" s="2" t="n"/>
      <c r="C116" s="2" t="n"/>
      <c r="D116" s="2" t="n"/>
      <c r="E116" s="2" t="n"/>
      <c r="F116" s="2" t="n"/>
    </row>
    <row r="117" ht="15.75" customHeight="1" s="61">
      <c r="A117" s="2" t="n"/>
      <c r="B117" s="2" t="n"/>
      <c r="C117" s="2" t="n"/>
      <c r="D117" s="2" t="n"/>
      <c r="E117" s="2" t="n"/>
      <c r="F117" s="2" t="n"/>
    </row>
    <row r="118" ht="15.75" customHeight="1" s="61">
      <c r="A118" s="2" t="n"/>
      <c r="B118" s="2" t="n"/>
      <c r="C118" s="2" t="n"/>
      <c r="D118" s="2" t="n"/>
      <c r="E118" s="2" t="n"/>
      <c r="F118" s="2" t="n"/>
    </row>
    <row r="119" ht="15.75" customHeight="1" s="61">
      <c r="A119" s="2" t="n"/>
      <c r="B119" s="2" t="n"/>
      <c r="C119" s="2" t="n"/>
      <c r="D119" s="2" t="n"/>
      <c r="E119" s="2" t="n"/>
      <c r="F119" s="2" t="n"/>
    </row>
    <row r="120" ht="15.75" customHeight="1" s="61">
      <c r="A120" s="2" t="n"/>
      <c r="B120" s="2" t="n"/>
      <c r="C120" s="2" t="n"/>
      <c r="D120" s="2" t="n"/>
      <c r="E120" s="2" t="n"/>
      <c r="F120" s="2" t="n"/>
    </row>
    <row r="121" ht="15.75" customHeight="1" s="61">
      <c r="A121" s="2" t="n"/>
      <c r="B121" s="2" t="n"/>
      <c r="C121" s="2" t="n"/>
      <c r="D121" s="2" t="n"/>
      <c r="E121" s="2" t="n"/>
      <c r="F121" s="2" t="n"/>
    </row>
    <row r="122" ht="15.75" customHeight="1" s="61">
      <c r="A122" s="2" t="n"/>
      <c r="B122" s="2" t="n"/>
      <c r="C122" s="2" t="n"/>
      <c r="D122" s="2" t="n"/>
      <c r="E122" s="2" t="n"/>
      <c r="F122" s="2" t="n"/>
    </row>
    <row r="123" ht="15.75" customHeight="1" s="61">
      <c r="A123" s="2" t="n"/>
      <c r="B123" s="2" t="n"/>
      <c r="C123" s="2" t="n"/>
      <c r="D123" s="2" t="n"/>
      <c r="E123" s="2" t="n"/>
      <c r="F123" s="2" t="n"/>
    </row>
    <row r="124" ht="15.75" customHeight="1" s="61">
      <c r="A124" s="2" t="n"/>
      <c r="B124" s="2" t="n"/>
      <c r="C124" s="2" t="n"/>
      <c r="D124" s="2" t="n"/>
      <c r="E124" s="2" t="n"/>
      <c r="F124" s="2" t="n"/>
    </row>
    <row r="125" ht="15.75" customHeight="1" s="61">
      <c r="A125" s="2" t="n"/>
      <c r="B125" s="2" t="n"/>
      <c r="C125" s="2" t="n"/>
      <c r="D125" s="2" t="n"/>
      <c r="E125" s="2" t="n"/>
      <c r="F125" s="2" t="n"/>
    </row>
    <row r="126" ht="15.75" customHeight="1" s="61">
      <c r="A126" s="2" t="n"/>
      <c r="B126" s="2" t="n"/>
      <c r="C126" s="2" t="n"/>
      <c r="D126" s="2" t="n"/>
      <c r="E126" s="2" t="n"/>
      <c r="F126" s="2" t="n"/>
    </row>
    <row r="127" ht="15.75" customHeight="1" s="61">
      <c r="A127" s="2" t="n"/>
      <c r="B127" s="2" t="n"/>
      <c r="C127" s="2" t="n"/>
      <c r="D127" s="2" t="n"/>
      <c r="E127" s="2" t="n"/>
      <c r="F127" s="2" t="n"/>
    </row>
    <row r="128" ht="15.75" customHeight="1" s="61">
      <c r="A128" s="2" t="n"/>
      <c r="B128" s="2" t="n"/>
      <c r="C128" s="2" t="n"/>
      <c r="D128" s="2" t="n"/>
      <c r="E128" s="2" t="n"/>
      <c r="F128" s="2" t="n"/>
    </row>
    <row r="129" ht="15.75" customHeight="1" s="61">
      <c r="A129" s="2" t="n"/>
      <c r="B129" s="2" t="n"/>
      <c r="C129" s="2" t="n"/>
      <c r="D129" s="2" t="n"/>
      <c r="E129" s="2" t="n"/>
      <c r="F129" s="2" t="n"/>
    </row>
    <row r="130" ht="15.75" customHeight="1" s="61">
      <c r="A130" s="2" t="n"/>
      <c r="B130" s="2" t="n"/>
      <c r="C130" s="2" t="n"/>
      <c r="D130" s="2" t="n"/>
      <c r="E130" s="2" t="n"/>
      <c r="F130" s="2" t="n"/>
    </row>
    <row r="131" ht="15.75" customHeight="1" s="61">
      <c r="A131" s="2" t="n"/>
      <c r="B131" s="2" t="n"/>
      <c r="C131" s="2" t="n"/>
      <c r="D131" s="2" t="n"/>
      <c r="E131" s="2" t="n"/>
      <c r="F131" s="2" t="n"/>
    </row>
    <row r="132" ht="15.75" customHeight="1" s="61">
      <c r="A132" s="2" t="n"/>
      <c r="B132" s="2" t="n"/>
      <c r="C132" s="2" t="n"/>
      <c r="D132" s="2" t="n"/>
      <c r="E132" s="2" t="n"/>
      <c r="F132" s="2" t="n"/>
    </row>
    <row r="133" ht="15.75" customHeight="1" s="61">
      <c r="A133" s="2" t="n"/>
      <c r="B133" s="2" t="n"/>
      <c r="C133" s="2" t="n"/>
      <c r="D133" s="2" t="n"/>
      <c r="E133" s="2" t="n"/>
      <c r="F133" s="2" t="n"/>
    </row>
    <row r="134" ht="15.75" customHeight="1" s="61">
      <c r="A134" s="2" t="n"/>
      <c r="B134" s="2" t="n"/>
      <c r="C134" s="2" t="n"/>
      <c r="D134" s="2" t="n"/>
      <c r="E134" s="2" t="n"/>
      <c r="F134" s="2" t="n"/>
    </row>
    <row r="135" ht="15.75" customHeight="1" s="61">
      <c r="A135" s="2" t="n"/>
      <c r="B135" s="2" t="n"/>
      <c r="C135" s="2" t="n"/>
      <c r="D135" s="2" t="n"/>
      <c r="E135" s="2" t="n"/>
      <c r="F135" s="2" t="n"/>
    </row>
    <row r="136" ht="15.75" customHeight="1" s="61">
      <c r="A136" s="2" t="n"/>
      <c r="B136" s="2" t="n"/>
      <c r="C136" s="2" t="n"/>
      <c r="D136" s="2" t="n"/>
      <c r="E136" s="2" t="n"/>
      <c r="F136" s="2" t="n"/>
    </row>
    <row r="137" ht="15.75" customHeight="1" s="61">
      <c r="A137" s="2" t="n"/>
      <c r="B137" s="2" t="n"/>
      <c r="C137" s="2" t="n"/>
      <c r="D137" s="2" t="n"/>
      <c r="E137" s="2" t="n"/>
      <c r="F137" s="2" t="n"/>
    </row>
    <row r="138" ht="15.75" customHeight="1" s="61">
      <c r="A138" s="2" t="n"/>
      <c r="B138" s="2" t="n"/>
      <c r="C138" s="2" t="n"/>
      <c r="D138" s="2" t="n"/>
      <c r="E138" s="2" t="n"/>
      <c r="F138" s="2" t="n"/>
    </row>
    <row r="139" ht="15.75" customHeight="1" s="61">
      <c r="A139" s="2" t="n"/>
      <c r="B139" s="2" t="n"/>
      <c r="C139" s="2" t="n"/>
      <c r="D139" s="2" t="n"/>
      <c r="E139" s="2" t="n"/>
      <c r="F139" s="2" t="n"/>
    </row>
    <row r="140" ht="15.75" customHeight="1" s="61">
      <c r="A140" s="2" t="n"/>
      <c r="B140" s="2" t="n"/>
      <c r="C140" s="2" t="n"/>
      <c r="D140" s="2" t="n"/>
      <c r="E140" s="2" t="n"/>
      <c r="F140" s="2" t="n"/>
    </row>
    <row r="141" ht="15.75" customHeight="1" s="61">
      <c r="A141" s="2" t="n"/>
      <c r="B141" s="2" t="n"/>
      <c r="C141" s="2" t="n"/>
      <c r="D141" s="2" t="n"/>
      <c r="E141" s="2" t="n"/>
      <c r="F141" s="2" t="n"/>
    </row>
    <row r="142" ht="15.75" customHeight="1" s="61">
      <c r="A142" s="2" t="n"/>
      <c r="B142" s="2" t="n"/>
      <c r="C142" s="2" t="n"/>
      <c r="D142" s="2" t="n"/>
      <c r="E142" s="2" t="n"/>
      <c r="F142" s="2" t="n"/>
    </row>
    <row r="143" ht="15.75" customHeight="1" s="61">
      <c r="A143" s="2" t="n"/>
      <c r="B143" s="2" t="n"/>
      <c r="C143" s="2" t="n"/>
      <c r="D143" s="2" t="n"/>
      <c r="E143" s="2" t="n"/>
      <c r="F143" s="2" t="n"/>
    </row>
    <row r="144" ht="15.75" customHeight="1" s="61">
      <c r="A144" s="2" t="n"/>
      <c r="B144" s="2" t="n"/>
      <c r="C144" s="2" t="n"/>
      <c r="D144" s="2" t="n"/>
      <c r="E144" s="2" t="n"/>
      <c r="F144" s="2" t="n"/>
    </row>
    <row r="145" ht="15.75" customHeight="1" s="61">
      <c r="A145" s="2" t="n"/>
      <c r="B145" s="2" t="n"/>
      <c r="C145" s="2" t="n"/>
      <c r="D145" s="2" t="n"/>
      <c r="E145" s="2" t="n"/>
      <c r="F145" s="2" t="n"/>
    </row>
    <row r="146" ht="15.75" customHeight="1" s="61">
      <c r="A146" s="2" t="n"/>
      <c r="B146" s="2" t="n"/>
      <c r="C146" s="2" t="n"/>
      <c r="D146" s="2" t="n"/>
      <c r="E146" s="2" t="n"/>
      <c r="F146" s="2" t="n"/>
    </row>
    <row r="147" ht="15.75" customHeight="1" s="61">
      <c r="A147" s="2" t="n"/>
      <c r="B147" s="2" t="n"/>
      <c r="C147" s="2" t="n"/>
      <c r="D147" s="2" t="n"/>
      <c r="E147" s="2" t="n"/>
      <c r="F147" s="2" t="n"/>
    </row>
    <row r="148" ht="15.75" customHeight="1" s="61">
      <c r="A148" s="2" t="n"/>
      <c r="B148" s="2" t="n"/>
      <c r="C148" s="2" t="n"/>
      <c r="D148" s="2" t="n"/>
      <c r="E148" s="2" t="n"/>
      <c r="F148" s="2" t="n"/>
    </row>
    <row r="149" ht="15.75" customHeight="1" s="61">
      <c r="A149" s="2" t="n"/>
      <c r="B149" s="2" t="n"/>
      <c r="C149" s="2" t="n"/>
      <c r="D149" s="2" t="n"/>
      <c r="E149" s="2" t="n"/>
      <c r="F149" s="2" t="n"/>
    </row>
    <row r="150" ht="15.75" customHeight="1" s="61">
      <c r="A150" s="2" t="n"/>
      <c r="B150" s="2" t="n"/>
      <c r="C150" s="2" t="n"/>
      <c r="D150" s="2" t="n"/>
      <c r="E150" s="2" t="n"/>
      <c r="F150" s="2" t="n"/>
    </row>
    <row r="151" ht="15.75" customHeight="1" s="61">
      <c r="A151" s="2" t="n"/>
      <c r="B151" s="2" t="n"/>
      <c r="C151" s="2" t="n"/>
      <c r="D151" s="2" t="n"/>
      <c r="E151" s="2" t="n"/>
      <c r="F151" s="2" t="n"/>
    </row>
    <row r="152" ht="15.75" customHeight="1" s="61">
      <c r="A152" s="2" t="n"/>
      <c r="B152" s="2" t="n"/>
      <c r="C152" s="2" t="n"/>
      <c r="D152" s="2" t="n"/>
      <c r="E152" s="2" t="n"/>
      <c r="F152" s="2" t="n"/>
    </row>
    <row r="153" ht="15.75" customHeight="1" s="61">
      <c r="A153" s="2" t="n"/>
      <c r="B153" s="2" t="n"/>
      <c r="C153" s="2" t="n"/>
      <c r="D153" s="2" t="n"/>
      <c r="E153" s="2" t="n"/>
      <c r="F153" s="2" t="n"/>
    </row>
    <row r="154" ht="15.75" customHeight="1" s="61">
      <c r="A154" s="2" t="n"/>
      <c r="B154" s="2" t="n"/>
      <c r="C154" s="2" t="n"/>
      <c r="D154" s="2" t="n"/>
      <c r="E154" s="2" t="n"/>
      <c r="F154" s="2" t="n"/>
    </row>
    <row r="155" ht="15.75" customHeight="1" s="61">
      <c r="A155" s="2" t="n"/>
      <c r="B155" s="2" t="n"/>
      <c r="C155" s="2" t="n"/>
      <c r="D155" s="2" t="n"/>
      <c r="E155" s="2" t="n"/>
      <c r="F155" s="2" t="n"/>
    </row>
    <row r="156" ht="15.75" customHeight="1" s="61">
      <c r="A156" s="2" t="n"/>
      <c r="B156" s="2" t="n"/>
      <c r="C156" s="2" t="n"/>
      <c r="D156" s="2" t="n"/>
      <c r="E156" s="2" t="n"/>
      <c r="F156" s="2" t="n"/>
    </row>
    <row r="157" ht="15.75" customHeight="1" s="61">
      <c r="A157" s="2" t="n"/>
      <c r="B157" s="2" t="n"/>
      <c r="C157" s="2" t="n"/>
      <c r="D157" s="2" t="n"/>
      <c r="E157" s="2" t="n"/>
      <c r="F157" s="2" t="n"/>
    </row>
    <row r="158" ht="15.75" customHeight="1" s="61">
      <c r="A158" s="2" t="n"/>
      <c r="B158" s="2" t="n"/>
      <c r="C158" s="2" t="n"/>
      <c r="D158" s="2" t="n"/>
      <c r="E158" s="2" t="n"/>
      <c r="F158" s="2" t="n"/>
    </row>
    <row r="159" ht="15.75" customHeight="1" s="61">
      <c r="A159" s="2" t="n"/>
      <c r="B159" s="2" t="n"/>
      <c r="C159" s="2" t="n"/>
      <c r="D159" s="2" t="n"/>
      <c r="E159" s="2" t="n"/>
      <c r="F159" s="2" t="n"/>
    </row>
    <row r="160" ht="15.75" customHeight="1" s="61">
      <c r="A160" s="2" t="n"/>
      <c r="B160" s="2" t="n"/>
      <c r="C160" s="2" t="n"/>
      <c r="D160" s="2" t="n"/>
      <c r="E160" s="2" t="n"/>
      <c r="F160" s="2" t="n"/>
    </row>
    <row r="161" ht="15.75" customHeight="1" s="61">
      <c r="A161" s="2" t="n"/>
      <c r="B161" s="2" t="n"/>
      <c r="C161" s="2" t="n"/>
      <c r="D161" s="2" t="n"/>
      <c r="E161" s="2" t="n"/>
      <c r="F161" s="2" t="n"/>
    </row>
    <row r="162" ht="15.75" customHeight="1" s="61">
      <c r="A162" s="2" t="n"/>
      <c r="B162" s="2" t="n"/>
      <c r="C162" s="2" t="n"/>
      <c r="D162" s="2" t="n"/>
      <c r="E162" s="2" t="n"/>
      <c r="F162" s="2" t="n"/>
    </row>
    <row r="163" ht="15.75" customHeight="1" s="61">
      <c r="A163" s="2" t="n"/>
      <c r="B163" s="2" t="n"/>
      <c r="C163" s="2" t="n"/>
      <c r="D163" s="2" t="n"/>
      <c r="E163" s="2" t="n"/>
      <c r="F163" s="2" t="n"/>
    </row>
    <row r="164" ht="15.75" customHeight="1" s="61">
      <c r="A164" s="2" t="n"/>
      <c r="B164" s="2" t="n"/>
      <c r="C164" s="2" t="n"/>
      <c r="D164" s="2" t="n"/>
      <c r="E164" s="2" t="n"/>
      <c r="F164" s="2" t="n"/>
    </row>
    <row r="165" ht="15.75" customHeight="1" s="61">
      <c r="A165" s="2" t="n"/>
      <c r="B165" s="2" t="n"/>
      <c r="C165" s="2" t="n"/>
      <c r="D165" s="2" t="n"/>
      <c r="E165" s="2" t="n"/>
      <c r="F165" s="2" t="n"/>
    </row>
    <row r="166" ht="15.75" customHeight="1" s="61">
      <c r="A166" s="2" t="n"/>
      <c r="B166" s="2" t="n"/>
      <c r="C166" s="2" t="n"/>
      <c r="D166" s="2" t="n"/>
      <c r="E166" s="2" t="n"/>
      <c r="F166" s="2" t="n"/>
    </row>
    <row r="167" ht="15.75" customHeight="1" s="61">
      <c r="A167" s="2" t="n"/>
      <c r="B167" s="2" t="n"/>
      <c r="C167" s="2" t="n"/>
      <c r="D167" s="2" t="n"/>
      <c r="E167" s="2" t="n"/>
      <c r="F167" s="2" t="n"/>
    </row>
    <row r="168" ht="15.75" customHeight="1" s="61">
      <c r="A168" s="2" t="n"/>
      <c r="B168" s="2" t="n"/>
      <c r="C168" s="2" t="n"/>
      <c r="D168" s="2" t="n"/>
      <c r="E168" s="2" t="n"/>
      <c r="F168" s="2" t="n"/>
    </row>
    <row r="169" ht="15.75" customHeight="1" s="61">
      <c r="A169" s="2" t="n"/>
      <c r="B169" s="2" t="n"/>
      <c r="C169" s="2" t="n"/>
      <c r="D169" s="2" t="n"/>
      <c r="E169" s="2" t="n"/>
      <c r="F169" s="2" t="n"/>
    </row>
    <row r="170" ht="15.75" customHeight="1" s="61">
      <c r="A170" s="2" t="n"/>
      <c r="B170" s="2" t="n"/>
      <c r="C170" s="2" t="n"/>
      <c r="D170" s="2" t="n"/>
      <c r="E170" s="2" t="n"/>
      <c r="F170" s="2" t="n"/>
    </row>
    <row r="171" ht="15.75" customHeight="1" s="61">
      <c r="A171" s="2" t="n"/>
      <c r="B171" s="2" t="n"/>
      <c r="C171" s="2" t="n"/>
      <c r="D171" s="2" t="n"/>
      <c r="E171" s="2" t="n"/>
      <c r="F171" s="2" t="n"/>
    </row>
    <row r="172" ht="15.75" customHeight="1" s="61">
      <c r="A172" s="2" t="n"/>
      <c r="B172" s="2" t="n"/>
      <c r="C172" s="2" t="n"/>
      <c r="D172" s="2" t="n"/>
      <c r="E172" s="2" t="n"/>
      <c r="F172" s="2" t="n"/>
    </row>
    <row r="173" ht="15.75" customHeight="1" s="61">
      <c r="A173" s="2" t="n"/>
      <c r="B173" s="2" t="n"/>
      <c r="C173" s="2" t="n"/>
      <c r="D173" s="2" t="n"/>
      <c r="E173" s="2" t="n"/>
      <c r="F173" s="2" t="n"/>
    </row>
    <row r="174" ht="15.75" customHeight="1" s="61">
      <c r="A174" s="2" t="n"/>
      <c r="B174" s="2" t="n"/>
      <c r="C174" s="2" t="n"/>
      <c r="D174" s="2" t="n"/>
      <c r="E174" s="2" t="n"/>
      <c r="F174" s="2" t="n"/>
    </row>
    <row r="175" ht="15.75" customHeight="1" s="61">
      <c r="A175" s="2" t="n"/>
      <c r="B175" s="2" t="n"/>
      <c r="C175" s="2" t="n"/>
      <c r="D175" s="2" t="n"/>
      <c r="E175" s="2" t="n"/>
      <c r="F175" s="2" t="n"/>
    </row>
    <row r="176" ht="15.75" customHeight="1" s="61">
      <c r="A176" s="2" t="n"/>
      <c r="B176" s="2" t="n"/>
      <c r="C176" s="2" t="n"/>
      <c r="D176" s="2" t="n"/>
      <c r="E176" s="2" t="n"/>
      <c r="F176" s="2" t="n"/>
    </row>
    <row r="177" ht="15.75" customHeight="1" s="61">
      <c r="A177" s="2" t="n"/>
      <c r="B177" s="2" t="n"/>
      <c r="C177" s="2" t="n"/>
      <c r="D177" s="2" t="n"/>
      <c r="E177" s="2" t="n"/>
      <c r="F177" s="2" t="n"/>
    </row>
    <row r="178" ht="15.75" customHeight="1" s="61">
      <c r="A178" s="2" t="n"/>
      <c r="B178" s="2" t="n"/>
      <c r="C178" s="2" t="n"/>
      <c r="D178" s="2" t="n"/>
      <c r="E178" s="2" t="n"/>
      <c r="F178" s="2" t="n"/>
    </row>
    <row r="179" ht="15.75" customHeight="1" s="61">
      <c r="A179" s="2" t="n"/>
      <c r="B179" s="2" t="n"/>
      <c r="C179" s="2" t="n"/>
      <c r="D179" s="2" t="n"/>
      <c r="E179" s="2" t="n"/>
      <c r="F179" s="2" t="n"/>
    </row>
    <row r="180" ht="15.75" customHeight="1" s="61">
      <c r="A180" s="2" t="n"/>
      <c r="B180" s="2" t="n"/>
      <c r="C180" s="2" t="n"/>
      <c r="D180" s="2" t="n"/>
      <c r="E180" s="2" t="n"/>
      <c r="F180" s="2" t="n"/>
    </row>
    <row r="181" ht="15.75" customHeight="1" s="61">
      <c r="A181" s="2" t="n"/>
      <c r="B181" s="2" t="n"/>
      <c r="C181" s="2" t="n"/>
      <c r="D181" s="2" t="n"/>
      <c r="E181" s="2" t="n"/>
      <c r="F181" s="2" t="n"/>
    </row>
    <row r="182" ht="15.75" customHeight="1" s="61">
      <c r="A182" s="2" t="n"/>
      <c r="B182" s="2" t="n"/>
      <c r="C182" s="2" t="n"/>
      <c r="D182" s="2" t="n"/>
      <c r="E182" s="2" t="n"/>
      <c r="F182" s="2" t="n"/>
    </row>
    <row r="183" ht="15.75" customHeight="1" s="61">
      <c r="A183" s="2" t="n"/>
      <c r="B183" s="2" t="n"/>
      <c r="C183" s="2" t="n"/>
      <c r="D183" s="2" t="n"/>
      <c r="E183" s="2" t="n"/>
      <c r="F183" s="2" t="n"/>
    </row>
    <row r="184" ht="15.75" customHeight="1" s="61">
      <c r="A184" s="2" t="n"/>
      <c r="B184" s="2" t="n"/>
      <c r="C184" s="2" t="n"/>
      <c r="D184" s="2" t="n"/>
      <c r="E184" s="2" t="n"/>
      <c r="F184" s="2" t="n"/>
    </row>
    <row r="185" ht="15.75" customHeight="1" s="61">
      <c r="A185" s="2" t="n"/>
      <c r="B185" s="2" t="n"/>
      <c r="C185" s="2" t="n"/>
      <c r="D185" s="2" t="n"/>
      <c r="E185" s="2" t="n"/>
      <c r="F185" s="2" t="n"/>
    </row>
    <row r="186" ht="15.75" customHeight="1" s="61">
      <c r="A186" s="2" t="n"/>
      <c r="B186" s="2" t="n"/>
      <c r="C186" s="2" t="n"/>
      <c r="D186" s="2" t="n"/>
      <c r="E186" s="2" t="n"/>
      <c r="F186" s="2" t="n"/>
    </row>
    <row r="187" ht="15.75" customHeight="1" s="61">
      <c r="A187" s="2" t="n"/>
      <c r="B187" s="2" t="n"/>
      <c r="C187" s="2" t="n"/>
      <c r="D187" s="2" t="n"/>
      <c r="E187" s="2" t="n"/>
      <c r="F187" s="2" t="n"/>
    </row>
    <row r="188" ht="15.75" customHeight="1" s="61">
      <c r="A188" s="2" t="n"/>
      <c r="B188" s="2" t="n"/>
      <c r="C188" s="2" t="n"/>
      <c r="D188" s="2" t="n"/>
      <c r="E188" s="2" t="n"/>
      <c r="F188" s="2" t="n"/>
    </row>
    <row r="189" ht="15.75" customHeight="1" s="61">
      <c r="A189" s="2" t="n"/>
      <c r="B189" s="2" t="n"/>
      <c r="C189" s="2" t="n"/>
      <c r="D189" s="2" t="n"/>
      <c r="E189" s="2" t="n"/>
      <c r="F189" s="2" t="n"/>
    </row>
    <row r="190" ht="15.75" customHeight="1" s="61">
      <c r="A190" s="2" t="n"/>
      <c r="B190" s="2" t="n"/>
      <c r="C190" s="2" t="n"/>
      <c r="D190" s="2" t="n"/>
      <c r="E190" s="2" t="n"/>
      <c r="F190" s="2" t="n"/>
    </row>
    <row r="191" ht="15.75" customHeight="1" s="61">
      <c r="A191" s="2" t="n"/>
      <c r="B191" s="2" t="n"/>
      <c r="C191" s="2" t="n"/>
      <c r="D191" s="2" t="n"/>
      <c r="E191" s="2" t="n"/>
      <c r="F191" s="2" t="n"/>
    </row>
    <row r="192" ht="15.75" customHeight="1" s="61">
      <c r="A192" s="2" t="n"/>
      <c r="B192" s="2" t="n"/>
      <c r="C192" s="2" t="n"/>
      <c r="D192" s="2" t="n"/>
      <c r="E192" s="2" t="n"/>
      <c r="F192" s="2" t="n"/>
    </row>
    <row r="193" ht="15.75" customHeight="1" s="61">
      <c r="A193" s="2" t="n"/>
      <c r="B193" s="2" t="n"/>
      <c r="C193" s="2" t="n"/>
      <c r="D193" s="2" t="n"/>
      <c r="E193" s="2" t="n"/>
      <c r="F193" s="2" t="n"/>
    </row>
    <row r="194" ht="15.75" customHeight="1" s="61">
      <c r="A194" s="2" t="n"/>
      <c r="B194" s="2" t="n"/>
      <c r="C194" s="2" t="n"/>
      <c r="D194" s="2" t="n"/>
      <c r="E194" s="2" t="n"/>
      <c r="F194" s="2" t="n"/>
    </row>
    <row r="195" ht="15.75" customHeight="1" s="61">
      <c r="A195" s="2" t="n"/>
      <c r="B195" s="2" t="n"/>
      <c r="C195" s="2" t="n"/>
      <c r="D195" s="2" t="n"/>
      <c r="E195" s="2" t="n"/>
      <c r="F195" s="2" t="n"/>
    </row>
    <row r="196" ht="15.75" customHeight="1" s="61">
      <c r="A196" s="2" t="n"/>
      <c r="B196" s="2" t="n"/>
      <c r="C196" s="2" t="n"/>
      <c r="D196" s="2" t="n"/>
      <c r="E196" s="2" t="n"/>
      <c r="F196" s="2" t="n"/>
    </row>
    <row r="197" ht="15.75" customHeight="1" s="61">
      <c r="A197" s="2" t="n"/>
      <c r="B197" s="2" t="n"/>
      <c r="C197" s="2" t="n"/>
      <c r="D197" s="2" t="n"/>
      <c r="E197" s="2" t="n"/>
      <c r="F197" s="2" t="n"/>
    </row>
    <row r="198" ht="15.75" customHeight="1" s="61">
      <c r="A198" s="2" t="n"/>
      <c r="B198" s="2" t="n"/>
      <c r="C198" s="2" t="n"/>
      <c r="D198" s="2" t="n"/>
      <c r="E198" s="2" t="n"/>
      <c r="F198" s="2" t="n"/>
    </row>
    <row r="199" ht="15.75" customHeight="1" s="61">
      <c r="A199" s="2" t="n"/>
      <c r="B199" s="2" t="n"/>
      <c r="C199" s="2" t="n"/>
      <c r="D199" s="2" t="n"/>
      <c r="E199" s="2" t="n"/>
      <c r="F199" s="2" t="n"/>
    </row>
    <row r="200" ht="15.75" customHeight="1" s="61">
      <c r="A200" s="2" t="n"/>
      <c r="B200" s="2" t="n"/>
      <c r="C200" s="2" t="n"/>
      <c r="D200" s="2" t="n"/>
      <c r="E200" s="2" t="n"/>
      <c r="F200" s="2" t="n"/>
    </row>
    <row r="201" ht="15.75" customHeight="1" s="61">
      <c r="A201" s="2" t="n"/>
      <c r="B201" s="2" t="n"/>
      <c r="C201" s="2" t="n"/>
      <c r="D201" s="2" t="n"/>
      <c r="E201" s="2" t="n"/>
      <c r="F201" s="2" t="n"/>
    </row>
    <row r="202" ht="15.75" customHeight="1" s="61">
      <c r="A202" s="2" t="n"/>
      <c r="B202" s="2" t="n"/>
      <c r="C202" s="2" t="n"/>
      <c r="D202" s="2" t="n"/>
      <c r="E202" s="2" t="n"/>
      <c r="F202" s="2" t="n"/>
    </row>
    <row r="203" ht="15.75" customHeight="1" s="61">
      <c r="A203" s="2" t="n"/>
      <c r="B203" s="2" t="n"/>
      <c r="C203" s="2" t="n"/>
      <c r="D203" s="2" t="n"/>
      <c r="E203" s="2" t="n"/>
      <c r="F203" s="2" t="n"/>
    </row>
    <row r="204" ht="15.75" customHeight="1" s="61">
      <c r="A204" s="2" t="n"/>
      <c r="B204" s="2" t="n"/>
      <c r="C204" s="2" t="n"/>
      <c r="D204" s="2" t="n"/>
      <c r="E204" s="2" t="n"/>
      <c r="F204" s="2" t="n"/>
    </row>
    <row r="205" ht="15.75" customHeight="1" s="61">
      <c r="A205" s="2" t="n"/>
      <c r="B205" s="2" t="n"/>
      <c r="C205" s="2" t="n"/>
      <c r="D205" s="2" t="n"/>
      <c r="E205" s="2" t="n"/>
      <c r="F205" s="2" t="n"/>
    </row>
    <row r="206" ht="15.75" customHeight="1" s="61">
      <c r="A206" s="2" t="n"/>
      <c r="B206" s="2" t="n"/>
      <c r="C206" s="2" t="n"/>
      <c r="D206" s="2" t="n"/>
      <c r="E206" s="2" t="n"/>
      <c r="F206" s="2" t="n"/>
    </row>
    <row r="207" ht="15.75" customHeight="1" s="61">
      <c r="A207" s="2" t="n"/>
      <c r="B207" s="2" t="n"/>
      <c r="C207" s="2" t="n"/>
      <c r="D207" s="2" t="n"/>
      <c r="E207" s="2" t="n"/>
      <c r="F207" s="2" t="n"/>
    </row>
    <row r="208" ht="15.75" customHeight="1" s="61">
      <c r="A208" s="2" t="n"/>
      <c r="B208" s="2" t="n"/>
      <c r="C208" s="2" t="n"/>
      <c r="D208" s="2" t="n"/>
      <c r="E208" s="2" t="n"/>
      <c r="F208" s="2" t="n"/>
    </row>
    <row r="209" ht="15.75" customHeight="1" s="61">
      <c r="A209" s="2" t="n"/>
      <c r="B209" s="2" t="n"/>
      <c r="C209" s="2" t="n"/>
      <c r="D209" s="2" t="n"/>
      <c r="E209" s="2" t="n"/>
      <c r="F209" s="2" t="n"/>
    </row>
    <row r="210" ht="15.75" customHeight="1" s="61">
      <c r="A210" s="2" t="n"/>
      <c r="B210" s="2" t="n"/>
      <c r="C210" s="2" t="n"/>
      <c r="D210" s="2" t="n"/>
      <c r="E210" s="2" t="n"/>
      <c r="F210" s="2" t="n"/>
    </row>
    <row r="211" ht="15.75" customHeight="1" s="61">
      <c r="A211" s="2" t="n"/>
      <c r="B211" s="2" t="n"/>
      <c r="C211" s="2" t="n"/>
      <c r="D211" s="2" t="n"/>
      <c r="E211" s="2" t="n"/>
      <c r="F211" s="2" t="n"/>
    </row>
    <row r="212" ht="15.75" customHeight="1" s="61">
      <c r="A212" s="2" t="n"/>
      <c r="B212" s="2" t="n"/>
      <c r="C212" s="2" t="n"/>
      <c r="D212" s="2" t="n"/>
      <c r="E212" s="2" t="n"/>
      <c r="F212" s="2" t="n"/>
    </row>
    <row r="213" ht="15.75" customHeight="1" s="61">
      <c r="A213" s="2" t="n"/>
      <c r="B213" s="2" t="n"/>
      <c r="C213" s="2" t="n"/>
      <c r="D213" s="2" t="n"/>
      <c r="E213" s="2" t="n"/>
      <c r="F213" s="2" t="n"/>
    </row>
    <row r="214" ht="15.75" customHeight="1" s="61">
      <c r="A214" s="2" t="n"/>
      <c r="B214" s="2" t="n"/>
      <c r="C214" s="2" t="n"/>
      <c r="D214" s="2" t="n"/>
      <c r="E214" s="2" t="n"/>
      <c r="F214" s="2" t="n"/>
    </row>
    <row r="215" ht="15.75" customHeight="1" s="61">
      <c r="A215" s="2" t="n"/>
      <c r="B215" s="2" t="n"/>
      <c r="C215" s="2" t="n"/>
      <c r="D215" s="2" t="n"/>
      <c r="E215" s="2" t="n"/>
      <c r="F215" s="2" t="n"/>
    </row>
    <row r="216" ht="15.75" customHeight="1" s="61">
      <c r="A216" s="2" t="n"/>
      <c r="B216" s="2" t="n"/>
      <c r="C216" s="2" t="n"/>
      <c r="D216" s="2" t="n"/>
      <c r="E216" s="2" t="n"/>
      <c r="F216" s="2" t="n"/>
    </row>
    <row r="217" ht="15.75" customHeight="1" s="61">
      <c r="A217" s="2" t="n"/>
      <c r="B217" s="2" t="n"/>
      <c r="C217" s="2" t="n"/>
      <c r="D217" s="2" t="n"/>
      <c r="E217" s="2" t="n"/>
      <c r="F217" s="2" t="n"/>
    </row>
    <row r="218" ht="15.75" customHeight="1" s="61">
      <c r="A218" s="2" t="n"/>
      <c r="B218" s="2" t="n"/>
      <c r="C218" s="2" t="n"/>
      <c r="D218" s="2" t="n"/>
      <c r="E218" s="2" t="n"/>
      <c r="F218" s="2" t="n"/>
    </row>
    <row r="219" ht="15.75" customHeight="1" s="61">
      <c r="A219" s="2" t="n"/>
      <c r="B219" s="2" t="n"/>
      <c r="C219" s="2" t="n"/>
      <c r="D219" s="2" t="n"/>
      <c r="E219" s="2" t="n"/>
      <c r="F219" s="2" t="n"/>
    </row>
    <row r="220" ht="15.75" customHeight="1" s="61">
      <c r="A220" s="2" t="n"/>
      <c r="B220" s="2" t="n"/>
      <c r="C220" s="2" t="n"/>
      <c r="D220" s="2" t="n"/>
      <c r="E220" s="2" t="n"/>
      <c r="F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  <row r="1001">
      <c r="A1001" s="0" t="inlineStr">
        <is>
          <t>2026-08-12</t>
        </is>
      </c>
      <c r="B1001" s="0" t="inlineStr">
        <is>
          <t>DEPOSIT</t>
        </is>
      </c>
      <c r="C1001" s="0" t="n">
        <v>10000</v>
      </c>
      <c r="D1001" s="0" t="inlineStr">
        <is>
          <t>Zerodha funds addition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5" t="inlineStr">
        <is>
          <t>Timestamp</t>
        </is>
      </c>
      <c r="B1" s="55" t="inlineStr">
        <is>
          <t>Level</t>
        </is>
      </c>
      <c r="C1" s="55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 12:48:41</t>
        </is>
      </c>
      <c r="B2" s="14" t="inlineStr">
        <is>
          <t>INFO</t>
        </is>
      </c>
      <c r="C2" s="14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 12:48:42</t>
        </is>
      </c>
      <c r="B3" s="14" t="inlineStr">
        <is>
          <t>INFO</t>
        </is>
      </c>
      <c r="C3" s="14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 12:48:42</t>
        </is>
      </c>
      <c r="B4" s="14" t="inlineStr">
        <is>
          <t>INFO</t>
        </is>
      </c>
      <c r="C4" s="14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 15:33:36</t>
        </is>
      </c>
      <c r="B5" s="14" t="inlineStr">
        <is>
          <t>INFO</t>
        </is>
      </c>
      <c r="C5" s="14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 15:33:37</t>
        </is>
      </c>
      <c r="B6" s="14" t="inlineStr">
        <is>
          <t>INFO</t>
        </is>
      </c>
      <c r="C6" s="14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2026-07-21 15:33:38</t>
        </is>
      </c>
      <c r="B7" s="14" t="inlineStr">
        <is>
          <t>INFO</t>
        </is>
      </c>
      <c r="C7" s="14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 11:27:23</t>
        </is>
      </c>
      <c r="B8" s="14" t="inlineStr">
        <is>
          <t>INFO</t>
        </is>
      </c>
      <c r="C8" s="14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 11:27:25</t>
        </is>
      </c>
      <c r="B9" s="14" t="inlineStr">
        <is>
          <t>INFO</t>
        </is>
      </c>
      <c r="C9" s="14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 11:28:22</t>
        </is>
      </c>
      <c r="B10" s="14" t="inlineStr">
        <is>
          <t>INFO</t>
        </is>
      </c>
      <c r="C10" s="14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 11:28:24</t>
        </is>
      </c>
      <c r="B11" s="14" t="inlineStr">
        <is>
          <t>INFO</t>
        </is>
      </c>
      <c r="C11" s="14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1" t="inlineStr">
        <is>
          <t>2026-07-28 09:08:00</t>
        </is>
      </c>
      <c r="B14" s="21" t="inlineStr">
        <is>
          <t>ADVISORY</t>
        </is>
      </c>
      <c r="C14" s="20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107.2899999999997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2026-08-12T07:14:29Z</dcterms:modified>
</cp:coreProperties>
</file>