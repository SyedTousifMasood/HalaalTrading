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ystem_Playbook" sheetId="1" r:id="rId4"/>
    <sheet state="visible" name="Dashboard" sheetId="2" r:id="rId5"/>
    <sheet state="visible" name="Ledger" sheetId="3" r:id="rId6"/>
    <sheet state="visible" name="Recommendations" sheetId="4" r:id="rId7"/>
    <sheet state="visible" name="Capital" sheetId="5" r:id="rId8"/>
    <sheet state="visible" name="Logs" sheetId="6" r:id="rId9"/>
    <sheet state="visible" name="Paper_Trades" sheetId="7" r:id="rId10"/>
    <sheet state="visible" name="HelperData" sheetId="8" r:id="rId11"/>
  </sheets>
  <definedNames/>
  <calcPr/>
  <extLst>
    <ext uri="GoogleSheetsCustomDataVersion2">
      <go:sheetsCustomData xmlns:go="http://customooxmlschemas.google.com/" r:id="rId12" roundtripDataChecksum="/tsD+dMRThEsgydhW7J+t6LIfuXIqKyUPvVoLbllpiw="/>
    </ext>
  </extLst>
</workbook>
</file>

<file path=xl/sharedStrings.xml><?xml version="1.0" encoding="utf-8"?>
<sst xmlns="http://schemas.openxmlformats.org/spreadsheetml/2006/main" count="733" uniqueCount="402">
  <si>
    <t>HSTS - HALAL SWING TRADING SYSTEM PLAYBOOK</t>
  </si>
  <si>
    <t>Symbol</t>
  </si>
  <si>
    <t>Date</t>
  </si>
  <si>
    <t>Name</t>
  </si>
  <si>
    <t>Composite Score</t>
  </si>
  <si>
    <t>Target Entry Price</t>
  </si>
  <si>
    <t>Initial Stop-Loss</t>
  </si>
  <si>
    <t>Profit Target</t>
  </si>
  <si>
    <t>Risk-to-Reward Ratio</t>
  </si>
  <si>
    <t>Recommended Qty</t>
  </si>
  <si>
    <t>Entry Date</t>
  </si>
  <si>
    <t>Recommended Allocation</t>
  </si>
  <si>
    <t>Qty</t>
  </si>
  <si>
    <t>Buy Price</t>
  </si>
  <si>
    <t>Suggested Entry</t>
  </si>
  <si>
    <t>Slippage/Deviation</t>
  </si>
  <si>
    <t>Target Price</t>
  </si>
  <si>
    <t>Stop Loss</t>
  </si>
  <si>
    <t>Execution Status</t>
  </si>
  <si>
    <t>Exit Date</t>
  </si>
  <si>
    <t>Notes</t>
  </si>
  <si>
    <t>Exit Price</t>
  </si>
  <si>
    <t>Realized PnL</t>
  </si>
  <si>
    <t>Status</t>
  </si>
  <si>
    <t>1. SYSTEM OVERVIEW</t>
  </si>
  <si>
    <t>Trade Type</t>
  </si>
  <si>
    <t>2026-07-21</t>
  </si>
  <si>
    <t>SUNPHARMA</t>
  </si>
  <si>
    <t>JSWSTEEL</t>
  </si>
  <si>
    <t>JSW Steel Limited</t>
  </si>
  <si>
    <t>96/100</t>
  </si>
  <si>
    <t>System Type</t>
  </si>
  <si>
    <t>Rule-based quantitative Swing Trading system optimized for momentum setups.</t>
  </si>
  <si>
    <t>1:2.0</t>
  </si>
  <si>
    <t>SKIPPED_BEARISH_REGIME</t>
  </si>
  <si>
    <t>Scanned under BEARISH regime</t>
  </si>
  <si>
    <t>Asset Class</t>
  </si>
  <si>
    <t>Indian Equities listed on NSE and BSE.</t>
  </si>
  <si>
    <t>1:2.7</t>
  </si>
  <si>
    <t>LUPIN</t>
  </si>
  <si>
    <t>Lupin Limited</t>
  </si>
  <si>
    <t>Target Universe</t>
  </si>
  <si>
    <t>Sharia-compliant stocks with high liquidity (Market Cap &gt; ₹500 Cr, Average Daily Volume &gt; 100,000).</t>
  </si>
  <si>
    <t>WIN</t>
  </si>
  <si>
    <t>ULTRACEMCO</t>
  </si>
  <si>
    <t>Auto-synced from Zerodha account | Auto-synced sell from Zerodha account</t>
  </si>
  <si>
    <t>UltraTech Cement Limited</t>
  </si>
  <si>
    <t>SWING</t>
  </si>
  <si>
    <t>94/100</t>
  </si>
  <si>
    <t>Trading Regime</t>
  </si>
  <si>
    <t>NAVINFLUOR</t>
  </si>
  <si>
    <t>Adaptive momentum filters powered by custom trend, volatility, volume, and levels weights.</t>
  </si>
  <si>
    <t>Navin Fluorine International Limited</t>
  </si>
  <si>
    <t>1:2.1</t>
  </si>
  <si>
    <t>ERIS</t>
  </si>
  <si>
    <t>Eris Lifesciences Limited</t>
  </si>
  <si>
    <t>TECHM</t>
  </si>
  <si>
    <t>1:1.8</t>
  </si>
  <si>
    <t>2. SHARIA COMPLIANCE RULES (AAOIFI STANDARDS)</t>
  </si>
  <si>
    <t>2026-07-22</t>
  </si>
  <si>
    <t>LOSS</t>
  </si>
  <si>
    <t>Manual execution shift requested by user</t>
  </si>
  <si>
    <t>SONACOMS</t>
  </si>
  <si>
    <t>Sector Exclusions</t>
  </si>
  <si>
    <t>Conventional Financial Services (Banks, Credit Services, Insurance), Tobacco, Alcohol, Brewers/Wineries, Gambling.</t>
  </si>
  <si>
    <t>1:1.7</t>
  </si>
  <si>
    <t>2026-08-05</t>
  </si>
  <si>
    <t>Auto-synced from Zerodha account | [2026-07-28] State 4 (Cash Only): Hold position, maintain pre-set stop-loss, do not average down. | Auto-synced sell from Zerodha account</t>
  </si>
  <si>
    <t>Sona BLW Precision Forgings Limited</t>
  </si>
  <si>
    <t>92/100</t>
  </si>
  <si>
    <t>Debt Ratio Limit</t>
  </si>
  <si>
    <t>Total Long Term &amp; Short Term Debt / Total Assets must be strictly less than 33%.</t>
  </si>
  <si>
    <t>OPEN</t>
  </si>
  <si>
    <t>Auto-synced from Zerodha account | [2026-07-28] State 4 (Cash Only): Hold position, maintain pre-set stop-loss, do not average down.</t>
  </si>
  <si>
    <t>Cash Ratio Limit</t>
  </si>
  <si>
    <t>Cash And Cash Equivalents &amp; Short Term Investments / Total Assets must be strictly less than 33%.</t>
  </si>
  <si>
    <t>2026-07-27</t>
  </si>
  <si>
    <t>HAL</t>
  </si>
  <si>
    <t>Hindustan Aeronautics Limited</t>
  </si>
  <si>
    <t>90/100</t>
  </si>
  <si>
    <t>1:2.6</t>
  </si>
  <si>
    <t>Receivables Ratio</t>
  </si>
  <si>
    <t>Net Receivables / Total Assets must be strictly less than 49%.</t>
  </si>
  <si>
    <t>SHREECEM</t>
  </si>
  <si>
    <t>Shree Cement Limited</t>
  </si>
  <si>
    <t>Non-Permissible Income</t>
  </si>
  <si>
    <t>BERGEPAINT</t>
  </si>
  <si>
    <t>Berger Paints India Limited</t>
  </si>
  <si>
    <t>Interest and Haram non-operating income / Total Revenue must be strictly less than 5%.</t>
  </si>
  <si>
    <t>2026-07-31</t>
  </si>
  <si>
    <t>Auto-synced from Zerodha holdings</t>
  </si>
  <si>
    <t>Tech Mahindra Limited</t>
  </si>
  <si>
    <t>76/100</t>
  </si>
  <si>
    <t>ADVANCE</t>
  </si>
  <si>
    <t>Advanced Enzyme Technologies Limited</t>
  </si>
  <si>
    <t>PENDING</t>
  </si>
  <si>
    <t>2026-08-03</t>
  </si>
  <si>
    <t>Scanned under STATE 3: Capitulation Bottom</t>
  </si>
  <si>
    <t>3. RISK &amp; POSITION SIZING CONTROLS</t>
  </si>
  <si>
    <t>Buy actual fill price matching Zerodha (corrected from 125.01)</t>
  </si>
  <si>
    <t>2026-07-30</t>
  </si>
  <si>
    <t>NESTLEIND</t>
  </si>
  <si>
    <t>2026-08-04</t>
  </si>
  <si>
    <t>Capital Control</t>
  </si>
  <si>
    <t>After Market Order (AMO) placed on 2026-07-30 | GTT Trigger ID: 329793870</t>
  </si>
  <si>
    <t>Position sizing is dynamically calculated based on the actual Capital Available for Trading in this journal.</t>
  </si>
  <si>
    <t>Intraday placement. GTT Trigger: 330204955 | Position closed via Stop-Loss GTT trigger. Actual Buy Filled at INR 1523.00</t>
  </si>
  <si>
    <t>INTRADAY</t>
  </si>
  <si>
    <t>Nestle India Limited</t>
  </si>
  <si>
    <t>PIDILITIND</t>
  </si>
  <si>
    <t>100/100</t>
  </si>
  <si>
    <t>Allocation Cap</t>
  </si>
  <si>
    <t>Maximum capital allocated per trade is strictly capped at 20% of your total available account balance.</t>
  </si>
  <si>
    <t>ACTIVE</t>
  </si>
  <si>
    <t>Intraday recommendation for 2026-08-04</t>
  </si>
  <si>
    <t>Intraday placement. GTT Trigger: 330204926 | Position closed via Stop-Loss GTT trigger.</t>
  </si>
  <si>
    <t>Stop Loss (SL)</t>
  </si>
  <si>
    <t>VISAKAIND</t>
  </si>
  <si>
    <t>Calculated dynamically using volatility (ATR / 200 EMA bounds) to guarantee downside protection.</t>
  </si>
  <si>
    <t>Pidilite Industries Limited</t>
  </si>
  <si>
    <t>2026-08-10</t>
  </si>
  <si>
    <t>Swing AMO placement. GTT Trigger: 330406766 | Auto-synced sell from Zerodha account</t>
  </si>
  <si>
    <t>Target Price (T1)</t>
  </si>
  <si>
    <t>Calculated using volatility metrics to target a minimum Risk-to-Reward ratio of 1:2.0.</t>
  </si>
  <si>
    <t>EXCELSOFT</t>
  </si>
  <si>
    <t>Swing AMO placement. GTT Trigger: 330406774 | Auto-synced sell from Zerodha account</t>
  </si>
  <si>
    <t>Market Regime Filter</t>
  </si>
  <si>
    <t>Bullish: Nifty 50 &gt; 200 EMA (Trades permitted). Bearish: Nifty 50 &lt; 200 EMA (Long entries strictly skipped).</t>
  </si>
  <si>
    <t>SONATSOFTW</t>
  </si>
  <si>
    <t>Swing Trade placement. GTT Trigger: 330502180 | Auto-synced sell from Zerodha account</t>
  </si>
  <si>
    <t>4. SYSTEM EXECUTION COMMANDS</t>
  </si>
  <si>
    <t>IFGLEXPOR</t>
  </si>
  <si>
    <t>2026-08-06</t>
  </si>
  <si>
    <t>Swing AMO placement. GTT Trigger: 330580516</t>
  </si>
  <si>
    <t>State-dependent: 20% max in State 1 (Macro Bullish); 10% max in State 2 (Bear Relief Rally) &amp; State 3 (Capitulation Bottom); 0% in State 4 (Cash Only).</t>
  </si>
  <si>
    <t>SAPPHIRE</t>
  </si>
  <si>
    <t>Swing AMO placement. GTT Trigger: 330580530</t>
  </si>
  <si>
    <t>EOD Sync</t>
  </si>
  <si>
    <t>Run: py main.py sync-zerodha-orders  (Auto-syncs filled orders from Zerodha Kite, updates Ledger and Capital sheet)</t>
  </si>
  <si>
    <t>AEROENTER</t>
  </si>
  <si>
    <t>BSE Scan Expansion</t>
  </si>
  <si>
    <t>Run: py scratch/scan_all_bse.py  (Scans BSE equities to expand the Sharia-compliant universe)</t>
  </si>
  <si>
    <t>Swing AMO placement. GTT Trigger: 330580552</t>
  </si>
  <si>
    <t>TATASTEEL</t>
  </si>
  <si>
    <t>Adaptive 4-State Engine: State 1 (Nifty &gt; 200 EMA); State 2 (Nifty &lt; 200 EMA, Nifty &gt; 20 EMA, Breadth &gt; 40%); State 3 (Nifty &lt; 200 EMA, RSI &lt;= 35); State 4 (All other Bearish states).</t>
  </si>
  <si>
    <t>Intraday AMO placement. GTT Trigger: 330580570 | Closed via GTT Stop Loss.</t>
  </si>
  <si>
    <t>HARSHA</t>
  </si>
  <si>
    <t>Harsha Engineers International Limited</t>
  </si>
  <si>
    <t>2026-08-11</t>
  </si>
  <si>
    <t>Broker Integration</t>
  </si>
  <si>
    <t>Uses custom Zerodha Web Adapter (totp_secret &amp; enctoken verification) to execute zero-cost trades without subscription.</t>
  </si>
  <si>
    <t>AMO Swing Trade. GTT Trigger: 331229921</t>
  </si>
  <si>
    <t>CONFIPET</t>
  </si>
  <si>
    <t>Confidence Petroleum India Limited</t>
  </si>
  <si>
    <t>AMO Swing Trade. GTT Trigger: 10002</t>
  </si>
  <si>
    <t>5. TARGET UNIVERSE &amp; LIQUIDITY FILTERS</t>
  </si>
  <si>
    <t>Total Listed Equities</t>
  </si>
  <si>
    <t>7,500+ stocks across NSE and BSE combined.</t>
  </si>
  <si>
    <t>Sharia-Compliant</t>
  </si>
  <si>
    <t>2,000+ stocks pass business and financial ratio exclusions (approx. 30-35% of Indian market).</t>
  </si>
  <si>
    <t>HSTS Filtered Universe</t>
  </si>
  <si>
    <t>545 stocks verified as both Sharia-compliant and highly liquid for swing trading.</t>
  </si>
  <si>
    <t>Liquidity Pre-Filter</t>
  </si>
  <si>
    <t>Market Capitalization &gt; INR 500 Crore AND Average Daily Volume &gt; 100,000 shares.</t>
  </si>
  <si>
    <t>Protection Rationale</t>
  </si>
  <si>
    <t>Filters out volatile micro-caps and penny stocks, minimizing execution slippage and preventing lower-circuit lock-ins.</t>
  </si>
  <si>
    <t>HSTS v1.0 Trading Dashboard</t>
  </si>
  <si>
    <t>Last updated on : 2026-08-11 06:49:05</t>
  </si>
  <si>
    <t>Metric</t>
  </si>
  <si>
    <t>Value</t>
  </si>
  <si>
    <t>Stock</t>
  </si>
  <si>
    <t>Purchase Price</t>
  </si>
  <si>
    <t>Current Price</t>
  </si>
  <si>
    <t>Current Value</t>
  </si>
  <si>
    <t>P&amp;L Amount</t>
  </si>
  <si>
    <t>P&amp;L %</t>
  </si>
  <si>
    <t>Holding %</t>
  </si>
  <si>
    <t>Global Portfolio Metrics</t>
  </si>
  <si>
    <t>Total Net Capital Deposited</t>
  </si>
  <si>
    <t>Lifetime Realized PnL</t>
  </si>
  <si>
    <t>Lifetime Realized P/L Percentage</t>
  </si>
  <si>
    <t>Current Total Portfolio Value</t>
  </si>
  <si>
    <t>Total Number of Trades</t>
  </si>
  <si>
    <t>Winning Percentage of Trades</t>
  </si>
  <si>
    <t>Capital Deployed in Open Trades</t>
  </si>
  <si>
    <t>Current Value of Active Trades</t>
  </si>
  <si>
    <t>Capital Available for Trading</t>
  </si>
  <si>
    <t>Total Portfolio</t>
  </si>
  <si>
    <t>Total Wins</t>
  </si>
  <si>
    <t>Total Losses</t>
  </si>
  <si>
    <t>Total Taxes Paid to Zerodha</t>
  </si>
  <si>
    <t>Swing Trading Statistics</t>
  </si>
  <si>
    <t>Swing Win Rate</t>
  </si>
  <si>
    <t>Swing Realized PnL</t>
  </si>
  <si>
    <t>Swing Completed Trades</t>
  </si>
  <si>
    <t>Swing Active Positions</t>
  </si>
  <si>
    <t>Intraday Trading Statistics</t>
  </si>
  <si>
    <t>Intraday Win Rate</t>
  </si>
  <si>
    <t>Intraday Realized PnL</t>
  </si>
  <si>
    <t>Intraday Completed Trades</t>
  </si>
  <si>
    <t>Intraday Active Positions</t>
  </si>
  <si>
    <t>Activity &amp; Performance Metrics</t>
  </si>
  <si>
    <t>Average Days to Exit a Trade</t>
  </si>
  <si>
    <t>Average Trades per Day</t>
  </si>
  <si>
    <t>Average Unique Holdings per Day</t>
  </si>
  <si>
    <t>Type</t>
  </si>
  <si>
    <t>Amount</t>
  </si>
  <si>
    <t>21-7-2026</t>
  </si>
  <si>
    <t>DEPOSIT</t>
  </si>
  <si>
    <t>WITHDRAWAL</t>
  </si>
  <si>
    <t>Brokerage &amp; taxes on SONACOMS BUY (2 qty @ 734.70)</t>
  </si>
  <si>
    <t>Brokerage &amp; taxes on JSWSTEEL BUY (1 qty @ 1265.10)</t>
  </si>
  <si>
    <t>2026-07-24</t>
  </si>
  <si>
    <t>Adjustment: Brokerage &amp; taxes on past completed trades (SUNPHARMA, JSWSTEEL, TECHM)</t>
  </si>
  <si>
    <t>Brokerage &amp; taxes on TECHM BUY (1 qty @ 1579.00)</t>
  </si>
  <si>
    <t>Brokerage &amp; taxes on BERGEPAINT BUY</t>
  </si>
  <si>
    <t>Brokerage &amp; taxes on ADVANCE BUY (4 qty @ 127.80)</t>
  </si>
  <si>
    <t>Brokerage &amp; taxes on ADVANCE BUY (1 qty @ 100.00)</t>
  </si>
  <si>
    <t>Brokerage &amp; taxes on NESTLEIND BUY (1 qty @ 1530.00)</t>
  </si>
  <si>
    <t>Brokerage &amp; taxes on PIDILITIND BUY (1 qty @ 1642.50)</t>
  </si>
  <si>
    <t>Brokerage &amp; taxes on NESTLEIND SELL (1 qty @ 1520.10)</t>
  </si>
  <si>
    <t>Brokerage &amp; taxes on PIDILITIND SELL (1 qty @ 1634.50)</t>
  </si>
  <si>
    <t>Brokerage &amp; taxes on VISAKAIND BUY (8 qty @ 86.99)</t>
  </si>
  <si>
    <t>Brokerage &amp; taxes on EXCELSOFT BUY (8 qty @ 82.99)</t>
  </si>
  <si>
    <t>Brokerage &amp; taxes on EXCELSOFT BUY (8 qty @ 82.50)</t>
  </si>
  <si>
    <t>Brokerage &amp; taxes on SONACOMS SELL (2 qty @ 798.25)</t>
  </si>
  <si>
    <t>Brokerage &amp; taxes on SONATSOFTW BUY (3 qty @ 341.20)</t>
  </si>
  <si>
    <t>Brokerage &amp; taxes on SONATSOFTW BUY (3 qty @ 341.15)</t>
  </si>
  <si>
    <t>Brokerage &amp; taxes on IFGLEXPOR BUY (4 qty @ 219.60)</t>
  </si>
  <si>
    <t>Brokerage &amp; taxes on SAPPHIRE BUY (4 qty @ 202.50)</t>
  </si>
  <si>
    <t>Brokerage &amp; taxes on AEROENTER BUY (8 qty @ 132.15)</t>
  </si>
  <si>
    <t>Brokerage &amp; taxes on TATASTEEL BUY (3 qty @ 193.00)</t>
  </si>
  <si>
    <t>Brokerage &amp; taxes on AEROENTER BUY (8 qty @ 132.01)</t>
  </si>
  <si>
    <t>Brokerage &amp; taxes on TATASTEEL BUY (1 qty @ 192.60)</t>
  </si>
  <si>
    <t>Brokerage &amp; taxes on TATASTEEL SELL (1 qty @ 191.65)</t>
  </si>
  <si>
    <t>Brokerage &amp; taxes on VISAKAIND SELL (8 qty @ 103.24)</t>
  </si>
  <si>
    <t>Brokerage &amp; taxes on SONATSOFTW SELL (3 qty @ 316.20)</t>
  </si>
  <si>
    <t>Brokerage &amp; taxes on EXCELSOFT SELL (8 qty @ 77.58)</t>
  </si>
  <si>
    <t>Brokerage &amp; taxes on HARSHA BUY (3 qty @ 432.60)</t>
  </si>
  <si>
    <t>Brokerage &amp; taxes on CONFIPET BUY (10 qty @ 82.74)</t>
  </si>
  <si>
    <t>Timestamp</t>
  </si>
  <si>
    <t>Level</t>
  </si>
  <si>
    <t>Message</t>
  </si>
  <si>
    <t>2026-07-21 12:48:41</t>
  </si>
  <si>
    <t>INFO</t>
  </si>
  <si>
    <t>Recorded buy order: 1 shares of SUNPHARMA at 1951</t>
  </si>
  <si>
    <t>2026-07-21 12:48:42</t>
  </si>
  <si>
    <t>Recorded buy order: 1 shares of JSWSTEEL at 1266.4</t>
  </si>
  <si>
    <t>Recorded buy order: 1 shares of TECHM at 1589.1</t>
  </si>
  <si>
    <t>2026-07-21 15:33:36</t>
  </si>
  <si>
    <t>Closed trade: SUNPHARMA exited at 1960 (WIN)</t>
  </si>
  <si>
    <t>2026-07-21 15:33:37</t>
  </si>
  <si>
    <t>Closed trade: TECHM exited at 1575 (WIN)</t>
  </si>
  <si>
    <t>2026-07-21 15:33:38</t>
  </si>
  <si>
    <t>Closed trade: JSWSTEEL exited at 1267.1 (WIN)</t>
  </si>
  <si>
    <t>2026-07-22 11:27:23</t>
  </si>
  <si>
    <t>Recorded buy order: 2 shares of SONACOMS at 734.7</t>
  </si>
  <si>
    <t>2026-07-22 11:27:25</t>
  </si>
  <si>
    <t>Recorded buy order: 1 shares of JSWSTEEL at 1265.1</t>
  </si>
  <si>
    <t>2026-07-22 11:28:22</t>
  </si>
  <si>
    <t>Capital Transaction: WITHDRAWAL of INR 1.76 logged.</t>
  </si>
  <si>
    <t>2026-07-22 11:28:24</t>
  </si>
  <si>
    <t>Capital Transaction: WITHDRAWAL of INR 1.52 logged.</t>
  </si>
  <si>
    <t>2026-07-27 10:14:17</t>
  </si>
  <si>
    <t>Recorded buy order: 1 shares of TECHM at 1579</t>
  </si>
  <si>
    <t>2026-07-27 10:14:26</t>
  </si>
  <si>
    <t>Capital Transaction: WITHDRAWAL of INR 1.89 logged.</t>
  </si>
  <si>
    <t>2026-07-28 09:08:00</t>
  </si>
  <si>
    <t>ADVISORY</t>
  </si>
  <si>
    <t>Market is in STATE 4: Cash Only. Hold active open positions (TECHM, SONACOMS, JSWSTEEL) with strict pre-set stop-losses. Do not allocate new capital or average down.</t>
  </si>
  <si>
    <t>2026-08-03 09:29:22</t>
  </si>
  <si>
    <t>Recorded buy order: 4 shares of ADVANCE at 125.01</t>
  </si>
  <si>
    <t>2026-08-03 09:29:48</t>
  </si>
  <si>
    <t>Capital Transaction: WITHDRAWAL of INR 0.60 logged.</t>
  </si>
  <si>
    <t>2026-08-03 11:33:33</t>
  </si>
  <si>
    <t>Corrected ADVANCE buy price from 125.01 to actual execution price 127.80 based on live Zerodha check.</t>
  </si>
  <si>
    <t>2026-08-03 11:33:41</t>
  </si>
  <si>
    <t>2026-08-03 17:00:11</t>
  </si>
  <si>
    <t>Capital Transaction: WITHDRAWAL of INR 0.12 logged.</t>
  </si>
  <si>
    <t>2026-08-03 17:01:24</t>
  </si>
  <si>
    <t>Closed trade: ADVANCE exited at 120.0 (LOSS)</t>
  </si>
  <si>
    <t>2026-08-04 05:50:00</t>
  </si>
  <si>
    <t>Recorded buy order: 1 shares of NESTLEIND at 1530.0 (INTRADAY)</t>
  </si>
  <si>
    <t>2026-08-04 05:50:23</t>
  </si>
  <si>
    <t>Capital Transaction: WITHDRAWAL of INR 1.84 logged.</t>
  </si>
  <si>
    <t>2026-08-04 05:52:22</t>
  </si>
  <si>
    <t>Recorded buy order: 1 shares of PIDILITIND at 1642.5 (INTRADAY)</t>
  </si>
  <si>
    <t>2026-08-04 05:52:56</t>
  </si>
  <si>
    <t>Capital Transaction: WITHDRAWAL of INR 1.97 logged.</t>
  </si>
  <si>
    <t>2026-08-04 19:17:55</t>
  </si>
  <si>
    <t>Closed INTRADAY trade: NESTLEIND exited at 1520.1 (LOSS)</t>
  </si>
  <si>
    <t>2026-08-04 19:18:12</t>
  </si>
  <si>
    <t>Capital Transaction: WITHDRAWAL of INR 1.83 logged.</t>
  </si>
  <si>
    <t>2026-08-04 19:18:42</t>
  </si>
  <si>
    <t>Closed INTRADAY trade: PIDILITIND exited at 1634.5 (LOSS)</t>
  </si>
  <si>
    <t>2026-08-04 19:19:12</t>
  </si>
  <si>
    <t>Capital Transaction: WITHDRAWAL of INR 1.96 logged.</t>
  </si>
  <si>
    <t>2026-08-04 19:19:34</t>
  </si>
  <si>
    <t>Capital Transaction: WITHDRAWAL of INR 505.29 logged.</t>
  </si>
  <si>
    <t>2026-08-05 06:21:46</t>
  </si>
  <si>
    <t>Recorded buy order: 8 shares of VISAKAIND at 86.99 (SWING)</t>
  </si>
  <si>
    <t>2026-08-05 06:21:56</t>
  </si>
  <si>
    <t>Capital Transaction: WITHDRAWAL of INR 0.84 logged.</t>
  </si>
  <si>
    <t>2026-08-05 06:22:06</t>
  </si>
  <si>
    <t>Recorded buy order: 8 shares of EXCELSOFT at 82.99 (SWING)</t>
  </si>
  <si>
    <t>2026-08-05 06:22:15</t>
  </si>
  <si>
    <t>Capital Transaction: WITHDRAWAL of INR 0.80 logged.</t>
  </si>
  <si>
    <t>2026-08-05 06:22:26</t>
  </si>
  <si>
    <t>Recorded buy order: 2 shares of EXIDEIND at 458.35 (INTRADAY)</t>
  </si>
  <si>
    <t>2026-08-05 06:22:35</t>
  </si>
  <si>
    <t>Capital Transaction: WITHDRAWAL of INR 1.10 logged.</t>
  </si>
  <si>
    <t>2026-08-05 10:18:42</t>
  </si>
  <si>
    <t>Capital Transaction: WITHDRAWAL of INR 0.79 logged.</t>
  </si>
  <si>
    <t>2026-08-05 10:19:11</t>
  </si>
  <si>
    <t>Closed SWING trade: SONACOMS exited at 798.25 (WIN)</t>
  </si>
  <si>
    <t>2026-08-05 10:20:00</t>
  </si>
  <si>
    <t>Capital Transaction: WITHDRAWAL of INR 17.59 logged.</t>
  </si>
  <si>
    <t>2026-08-05 10:22:05</t>
  </si>
  <si>
    <t>Capital Transaction: DEPOSIT of INR 701.16 logged.</t>
  </si>
  <si>
    <t>2026-08-05 10:47:34</t>
  </si>
  <si>
    <t>Capital Transaction: ADJUSTMENT_IN of INR 237.08 logged.</t>
  </si>
  <si>
    <t>2026-08-05 11:56:35</t>
  </si>
  <si>
    <t>Recorded buy order: 3 shares of SONATSOFTW at 341.2 (SWING)</t>
  </si>
  <si>
    <t>2026-08-05 11:57:08</t>
  </si>
  <si>
    <t>Capital Transaction: WITHDRAWAL of INR 1.23 logged.</t>
  </si>
  <si>
    <t>2026-08-05 11:58:00</t>
  </si>
  <si>
    <t>Capital Transaction: ADJUSTMENT_IN of INR 1.38 logged.</t>
  </si>
  <si>
    <t>2026-08-05 14:00:44</t>
  </si>
  <si>
    <t>Capital Transaction: ADJUSTMENT_IN of INR 515.21 logged.</t>
  </si>
  <si>
    <t>2026-08-05 18:26:57</t>
  </si>
  <si>
    <t>2026-08-05 18:27:44</t>
  </si>
  <si>
    <t>Capital Transaction: ADJUSTMENT_OUT of INR 915.62 logged.</t>
  </si>
  <si>
    <t>2026-08-05 18:58:42</t>
  </si>
  <si>
    <t>Recorded buy order: 4 shares of IFGLEXPOR at 219.6 (SWING)</t>
  </si>
  <si>
    <t>2026-08-05 18:58:50</t>
  </si>
  <si>
    <t>Capital Transaction: WITHDRAWAL of INR 1.05 logged.</t>
  </si>
  <si>
    <t>2026-08-05 18:58:59</t>
  </si>
  <si>
    <t>Recorded buy order: 4 shares of SAPPHIRE at 202.5 (SWING)</t>
  </si>
  <si>
    <t>2026-08-05 18:59:06</t>
  </si>
  <si>
    <t>Capital Transaction: WITHDRAWAL of INR 0.97 logged.</t>
  </si>
  <si>
    <t>2026-08-05 18:59:16</t>
  </si>
  <si>
    <t>Recorded buy order: 8 shares of AEROENTER at 132.15 (SWING)</t>
  </si>
  <si>
    <t>2026-08-05 18:59:23</t>
  </si>
  <si>
    <t>Capital Transaction: WITHDRAWAL of INR 1.27 logged.</t>
  </si>
  <si>
    <t>2026-08-05 18:59:32</t>
  </si>
  <si>
    <t>Recorded buy order: 3 shares of TATASTEEL at 193.0 (INTRADAY)</t>
  </si>
  <si>
    <t>2026-08-05 18:59:40</t>
  </si>
  <si>
    <t>Capital Transaction: WITHDRAWAL of INR 0.69 logged.</t>
  </si>
  <si>
    <t>2026-08-05 19:00:04</t>
  </si>
  <si>
    <t>Capital Transaction: ADJUSTMENT_OUT of INR 96854.67 logged.</t>
  </si>
  <si>
    <t>2026-08-06 20:07:38</t>
  </si>
  <si>
    <t>Recorded buy order: 8 shares of AEROENTER at 132.01 (SWING)</t>
  </si>
  <si>
    <t>2026-08-06 20:07:46</t>
  </si>
  <si>
    <t>2026-08-06 20:07:56</t>
  </si>
  <si>
    <t>2026-08-06 20:08:08</t>
  </si>
  <si>
    <t>2026-08-06 20:08:19</t>
  </si>
  <si>
    <t>Recorded buy order: 1 shares of TATASTEEL at 192.6 (SWING)</t>
  </si>
  <si>
    <t>2026-08-06 20:08:27</t>
  </si>
  <si>
    <t>Capital Transaction: WITHDRAWAL of INR 0.23 logged.</t>
  </si>
  <si>
    <t>2026-08-06 20:08:39</t>
  </si>
  <si>
    <t>Closed SWING trade: TATASTEEL exited at 191.65 (LOSS)</t>
  </si>
  <si>
    <t>2026-08-06 20:08:47</t>
  </si>
  <si>
    <t>Capital Transaction: WITHDRAWAL of INR 16.13 logged.</t>
  </si>
  <si>
    <t>2026-08-06 20:13:33</t>
  </si>
  <si>
    <t>Capital Transaction: ADJUSTMENT_OUT of INR 90323.97 logged.</t>
  </si>
  <si>
    <t>2026-08-06 21:46:30</t>
  </si>
  <si>
    <t>2026-08-06 21:55:30</t>
  </si>
  <si>
    <t>2026-08-06 22:04:36</t>
  </si>
  <si>
    <t>2026-08-06 22:14:02</t>
  </si>
  <si>
    <t>2026-08-10 17:54:34</t>
  </si>
  <si>
    <t>Closed SWING trade: VISAKAIND exited at 103.24 (WIN)</t>
  </si>
  <si>
    <t>2026-08-10 17:54:43</t>
  </si>
  <si>
    <t>Capital Transaction: WITHDRAWAL of INR 16.79 logged.</t>
  </si>
  <si>
    <t>2026-08-10 17:54:53</t>
  </si>
  <si>
    <t>Closed SWING trade: SONATSOFTW exited at 316.2 (LOSS)</t>
  </si>
  <si>
    <t>2026-08-10 17:55:00</t>
  </si>
  <si>
    <t>Capital Transaction: WITHDRAWAL of INR 16.92 logged.</t>
  </si>
  <si>
    <t>2026-08-10 17:55:11</t>
  </si>
  <si>
    <t>Closed SWING trade: EXCELSOFT exited at 77.58 (LOSS)</t>
  </si>
  <si>
    <t>2026-08-10 17:55:19</t>
  </si>
  <si>
    <t>Capital Transaction: WITHDRAWAL of INR 16.58 logged.</t>
  </si>
  <si>
    <t>2026-08-10 17:56:15</t>
  </si>
  <si>
    <t>Capital Transaction: ADJUSTMENT_OUT of INR 90327.24 logged.</t>
  </si>
  <si>
    <t>Company Name</t>
  </si>
  <si>
    <t>Entry Price</t>
  </si>
  <si>
    <t>Target</t>
  </si>
  <si>
    <t>Initial Alloc</t>
  </si>
  <si>
    <t>Cumulative PnL</t>
  </si>
  <si>
    <t>P&amp;L (INR)</t>
  </si>
  <si>
    <t>Sun Pharmaceutical</t>
  </si>
  <si>
    <t>MONITORING</t>
  </si>
  <si>
    <t>Paper trade for momentum score tracking (96.4/100)</t>
  </si>
  <si>
    <t>BAJAJ-AUTO</t>
  </si>
  <si>
    <t>Bajaj Auto Limited</t>
  </si>
  <si>
    <t>Paper trade for momentum score tracking (88.8/100)</t>
  </si>
  <si>
    <t>HEROMOTOCO</t>
  </si>
  <si>
    <t>Hero MotoCorp</t>
  </si>
  <si>
    <t>SIEMENS</t>
  </si>
  <si>
    <t>Siemens Limited</t>
  </si>
  <si>
    <t>Paper trade for momentum score tracking (88.2/100)</t>
  </si>
  <si>
    <t>Hindustan Aeronautics</t>
  </si>
  <si>
    <t>Paper trade for momentum score tracking (85.2/100)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</si>
</sst>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INR #,##0.00"/>
    <numFmt numFmtId="165" formatCode="0.0%"/>
  </numFmts>
  <fonts count="19">
    <font>
      <sz val="11.0"/>
      <color theme="1"/>
      <name val="Calibri"/>
      <scheme val="minor"/>
    </font>
    <font>
      <b/>
      <sz val="16.0"/>
      <color rgb="FFFFFFFF"/>
      <name val="Quattrocento Sans"/>
    </font>
    <font>
      <b/>
      <sz val="11.0"/>
      <color rgb="FFFFFFFF"/>
      <name val="Quattrocento Sans"/>
    </font>
    <font>
      <sz val="11.0"/>
      <color theme="1"/>
      <name val="Calibri"/>
    </font>
    <font>
      <b/>
      <sz val="12.0"/>
      <color rgb="FF1A365D"/>
      <name val="Quattrocento Sans"/>
    </font>
    <font>
      <color theme="1"/>
      <name val="Calibri"/>
    </font>
    <font>
      <b/>
      <sz val="10.0"/>
      <color rgb="FF2D3748"/>
      <name val="Quattrocento Sans"/>
    </font>
    <font>
      <sz val="10.0"/>
      <color rgb="FF2D3748"/>
      <name val="Quattrocento Sans"/>
    </font>
    <font/>
    <font>
      <sz val="10.0"/>
      <color theme="1"/>
      <name val="Quattrocento Sans"/>
    </font>
    <font>
      <b/>
      <sz val="16.0"/>
      <color rgb="FF1B365D"/>
      <name val="Quattrocento Sans"/>
    </font>
    <font>
      <sz val="11.0"/>
      <color theme="1"/>
      <name val="Quattrocento Sans"/>
    </font>
    <font>
      <i/>
      <sz val="9.0"/>
      <color rgb="FF595959"/>
      <name val="Quattrocento Sans"/>
    </font>
    <font>
      <b/>
      <sz val="11.0"/>
      <color rgb="FF1B365D"/>
      <name val="Quattrocento Sans"/>
    </font>
    <font>
      <b/>
      <sz val="11.0"/>
      <color rgb="FF385723"/>
      <name val="Quattrocento Sans"/>
    </font>
    <font>
      <b/>
      <sz val="11.0"/>
      <color theme="1"/>
      <name val="Quattrocento Sans"/>
    </font>
    <font>
      <sz val="11.0"/>
      <color rgb="FF385723"/>
      <name val="Quattrocento Sans"/>
    </font>
    <font>
      <b/>
      <sz val="11.0"/>
      <color rgb="FFC00000"/>
      <name val="Quattrocento Sans"/>
    </font>
    <font>
      <color theme="1"/>
      <name val="Calibri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</fills>
  <borders count="8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0" fillId="0" fontId="3" numFmtId="0" xfId="0" applyFont="1"/>
    <xf borderId="1" fillId="4" fontId="2" numFmtId="0" xfId="0" applyAlignment="1" applyBorder="1" applyFill="1" applyFont="1">
      <alignment horizontal="center" vertical="center"/>
    </xf>
    <xf borderId="0" fillId="0" fontId="4" numFmtId="0" xfId="0" applyFont="1"/>
    <xf borderId="0" fillId="4" fontId="2" numFmtId="0" xfId="0" applyAlignment="1" applyFont="1">
      <alignment horizontal="center" vertical="center"/>
    </xf>
    <xf borderId="0" fillId="0" fontId="5" numFmtId="0" xfId="0" applyFont="1"/>
    <xf borderId="0" fillId="5" fontId="5" numFmtId="0" xfId="0" applyFill="1" applyFont="1"/>
    <xf borderId="2" fillId="6" fontId="6" numFmtId="0" xfId="0" applyAlignment="1" applyBorder="1" applyFill="1" applyFont="1">
      <alignment horizontal="left" shrinkToFit="0" vertical="center" wrapText="1"/>
    </xf>
    <xf borderId="0" fillId="0" fontId="3" numFmtId="164" xfId="0" applyFont="1" applyNumberFormat="1"/>
    <xf borderId="0" fillId="5" fontId="3" numFmtId="164" xfId="0" applyFont="1" applyNumberFormat="1"/>
    <xf borderId="3" fillId="0" fontId="7" numFmtId="0" xfId="0" applyAlignment="1" applyBorder="1" applyFont="1">
      <alignment horizontal="left" shrinkToFit="0" vertical="center" wrapText="1"/>
    </xf>
    <xf borderId="4" fillId="0" fontId="8" numFmtId="0" xfId="0" applyBorder="1" applyFont="1"/>
    <xf borderId="5" fillId="0" fontId="8" numFmtId="0" xfId="0" applyBorder="1" applyFont="1"/>
    <xf borderId="0" fillId="5" fontId="3" numFmtId="0" xfId="0" applyFont="1"/>
    <xf borderId="0" fillId="7" fontId="5" numFmtId="0" xfId="0" applyFill="1" applyFont="1"/>
    <xf borderId="0" fillId="7" fontId="3" numFmtId="164" xfId="0" applyFont="1" applyNumberFormat="1"/>
    <xf borderId="0" fillId="7" fontId="3" numFmtId="0" xfId="0" applyFont="1"/>
    <xf borderId="0" fillId="0" fontId="9" numFmtId="0" xfId="0" applyAlignment="1" applyFont="1">
      <alignment horizontal="left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right" vertical="center"/>
    </xf>
    <xf borderId="0" fillId="0" fontId="9" numFmtId="164" xfId="0" applyAlignment="1" applyFont="1" applyNumberFormat="1">
      <alignment horizontal="right" vertical="center"/>
    </xf>
    <xf borderId="0" fillId="0" fontId="10" numFmtId="0" xfId="0" applyAlignment="1" applyFont="1">
      <alignment horizontal="right"/>
    </xf>
    <xf borderId="0" fillId="0" fontId="11" numFmtId="0" xfId="0" applyFont="1"/>
    <xf borderId="0" fillId="0" fontId="12" numFmtId="0" xfId="0" applyFont="1"/>
    <xf borderId="6" fillId="8" fontId="13" numFmtId="0" xfId="0" applyBorder="1" applyFill="1" applyFont="1"/>
    <xf borderId="7" fillId="0" fontId="8" numFmtId="0" xfId="0" applyBorder="1" applyFont="1"/>
    <xf borderId="0" fillId="9" fontId="11" numFmtId="0" xfId="0" applyAlignment="1" applyFill="1" applyFont="1">
      <alignment horizontal="center"/>
    </xf>
    <xf borderId="0" fillId="9" fontId="11" numFmtId="3" xfId="0" applyAlignment="1" applyFont="1" applyNumberFormat="1">
      <alignment horizontal="right"/>
    </xf>
    <xf borderId="0" fillId="9" fontId="11" numFmtId="164" xfId="0" applyAlignment="1" applyFont="1" applyNumberFormat="1">
      <alignment horizontal="right"/>
    </xf>
    <xf borderId="0" fillId="5" fontId="14" numFmtId="164" xfId="0" applyAlignment="1" applyFont="1" applyNumberFormat="1">
      <alignment horizontal="right"/>
    </xf>
    <xf borderId="0" fillId="5" fontId="14" numFmtId="165" xfId="0" applyAlignment="1" applyFont="1" applyNumberFormat="1">
      <alignment horizontal="right"/>
    </xf>
    <xf borderId="0" fillId="9" fontId="11" numFmtId="165" xfId="0" applyAlignment="1" applyFont="1" applyNumberFormat="1">
      <alignment horizontal="right"/>
    </xf>
    <xf borderId="0" fillId="0" fontId="15" numFmtId="0" xfId="0" applyFont="1"/>
    <xf borderId="0" fillId="9" fontId="11" numFmtId="164" xfId="0" applyFont="1" applyNumberFormat="1"/>
    <xf borderId="0" fillId="5" fontId="16" numFmtId="164" xfId="0" applyFont="1" applyNumberFormat="1"/>
    <xf borderId="0" fillId="5" fontId="16" numFmtId="165" xfId="0" applyFont="1" applyNumberFormat="1"/>
    <xf borderId="0" fillId="7" fontId="17" numFmtId="164" xfId="0" applyAlignment="1" applyFont="1" applyNumberFormat="1">
      <alignment horizontal="right"/>
    </xf>
    <xf borderId="0" fillId="7" fontId="17" numFmtId="165" xfId="0" applyAlignment="1" applyFont="1" applyNumberFormat="1">
      <alignment horizontal="right"/>
    </xf>
    <xf borderId="0" fillId="9" fontId="11" numFmtId="3" xfId="0" applyFont="1" applyNumberFormat="1"/>
    <xf borderId="0" fillId="9" fontId="11" numFmtId="165" xfId="0" applyFont="1" applyNumberFormat="1"/>
    <xf borderId="0" fillId="8" fontId="15" numFmtId="0" xfId="0" applyAlignment="1" applyFont="1">
      <alignment horizontal="center"/>
    </xf>
    <xf borderId="0" fillId="8" fontId="11" numFmtId="3" xfId="0" applyAlignment="1" applyFont="1" applyNumberFormat="1">
      <alignment horizontal="right"/>
    </xf>
    <xf borderId="0" fillId="8" fontId="11" numFmtId="164" xfId="0" applyAlignment="1" applyFont="1" applyNumberFormat="1">
      <alignment horizontal="right"/>
    </xf>
    <xf borderId="0" fillId="8" fontId="15" numFmtId="164" xfId="0" applyAlignment="1" applyFont="1" applyNumberFormat="1">
      <alignment horizontal="right"/>
    </xf>
    <xf borderId="0" fillId="8" fontId="15" numFmtId="165" xfId="0" applyAlignment="1" applyFont="1" applyNumberFormat="1">
      <alignment horizontal="right"/>
    </xf>
    <xf borderId="0" fillId="0" fontId="11" numFmtId="0" xfId="0" applyAlignment="1" applyFont="1">
      <alignment horizontal="center"/>
    </xf>
    <xf borderId="0" fillId="0" fontId="11" numFmtId="164" xfId="0" applyFont="1" applyNumberFormat="1"/>
    <xf borderId="0" fillId="0" fontId="11" numFmtId="164" xfId="0" applyAlignment="1" applyFont="1" applyNumberFormat="1">
      <alignment horizontal="right"/>
    </xf>
    <xf borderId="0" fillId="0" fontId="11" numFmtId="165" xfId="0" applyAlignment="1" applyFont="1" applyNumberFormat="1">
      <alignment horizontal="right"/>
    </xf>
    <xf borderId="0" fillId="8" fontId="13" numFmtId="0" xfId="0" applyFont="1"/>
    <xf borderId="0" fillId="9" fontId="11" numFmtId="4" xfId="0" applyFont="1" applyNumberFormat="1"/>
    <xf borderId="0" fillId="0" fontId="18" numFmtId="0" xfId="0" applyFont="1"/>
    <xf borderId="1" fillId="10" fontId="2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2" fillId="0" fontId="9" numFmtId="0" xfId="0" applyAlignment="1" applyBorder="1" applyFont="1">
      <alignment horizontal="center" vertical="center"/>
    </xf>
    <xf borderId="2" fillId="0" fontId="9" numFmtId="0" xfId="0" applyAlignment="1" applyBorder="1" applyFont="1">
      <alignment horizontal="left" vertical="center"/>
    </xf>
    <xf borderId="2" fillId="0" fontId="9" numFmtId="164" xfId="0" applyAlignment="1" applyBorder="1" applyFont="1" applyNumberFormat="1">
      <alignment horizontal="righ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Dashboard!$E$3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Pt>
            <c:idx val="5"/>
            <c:spPr>
              <a:solidFill>
                <a:srgbClr val="F79646"/>
              </a:solidFill>
            </c:spPr>
          </c:dPt>
          <c:dPt>
            <c:idx val="6"/>
            <c:spPr>
              <a:solidFill>
                <a:srgbClr val="84A7D1"/>
              </a:solidFill>
            </c:spPr>
          </c:dPt>
          <c:dPt>
            <c:idx val="7"/>
            <c:spPr>
              <a:solidFill>
                <a:srgbClr val="D38582"/>
              </a:solidFill>
            </c:spPr>
          </c:dPt>
          <c:dPt>
            <c:idx val="8"/>
            <c:spPr>
              <a:solidFill>
                <a:srgbClr val="B9CF8B"/>
              </a:solidFill>
            </c:spPr>
          </c:dPt>
          <c:dPt>
            <c:idx val="9"/>
            <c:spPr>
              <a:solidFill>
                <a:srgbClr val="A693BE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Dashboard!$D$4:$D$13</c:f>
            </c:strRef>
          </c:cat>
          <c:val>
            <c:numRef>
              <c:f>Dashboard!$E$4:$E$13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Dashboard!$H$3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Pt>
            <c:idx val="5"/>
            <c:spPr>
              <a:solidFill>
                <a:srgbClr val="F79646"/>
              </a:solidFill>
            </c:spPr>
          </c:dPt>
          <c:dPt>
            <c:idx val="6"/>
            <c:spPr>
              <a:solidFill>
                <a:srgbClr val="84A7D1"/>
              </a:solidFill>
            </c:spPr>
          </c:dPt>
          <c:dPt>
            <c:idx val="7"/>
            <c:spPr>
              <a:solidFill>
                <a:srgbClr val="D38582"/>
              </a:solidFill>
            </c:spPr>
          </c:dPt>
          <c:dPt>
            <c:idx val="8"/>
            <c:spPr>
              <a:solidFill>
                <a:srgbClr val="B9CF8B"/>
              </a:solidFill>
            </c:spPr>
          </c:dPt>
          <c:dPt>
            <c:idx val="9"/>
            <c:spPr>
              <a:solidFill>
                <a:srgbClr val="A693BE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Dashboard!$D$4:$D$13</c:f>
            </c:strRef>
          </c:cat>
          <c:val>
            <c:numRef>
              <c:f>Dashboard!$H$4:$H$13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HelperData!$B$1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HelperData!$A$2:$A$5</c:f>
            </c:strRef>
          </c:cat>
          <c:val>
            <c:numRef>
              <c:f>HelperData!$B$2:$B$5</c:f>
              <c:numCache/>
            </c:numRef>
          </c:val>
          <c:smooth val="0"/>
        </c:ser>
        <c:axId val="1518574699"/>
        <c:axId val="1547981665"/>
      </c:lineChart>
      <c:catAx>
        <c:axId val="15185746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7981665"/>
      </c:catAx>
      <c:valAx>
        <c:axId val="15479816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8574699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Dashboard!$H$3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Pt>
            <c:idx val="5"/>
            <c:spPr>
              <a:solidFill>
                <a:srgbClr val="F79646"/>
              </a:solidFill>
            </c:spPr>
          </c:dPt>
          <c:dPt>
            <c:idx val="6"/>
            <c:spPr>
              <a:solidFill>
                <a:srgbClr val="84A7D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Dashboard!$D$4:$D$10</c:f>
            </c:strRef>
          </c:cat>
          <c:val>
            <c:numRef>
              <c:f>Dashboard!$H$4:$H$10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HelperData!$B$1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HelperData!$A$2:$A$6</c:f>
            </c:strRef>
          </c:cat>
          <c:val>
            <c:numRef>
              <c:f>HelperData!$B$2:$B$6</c:f>
              <c:numCache/>
            </c:numRef>
          </c:val>
          <c:smooth val="0"/>
        </c:ser>
        <c:axId val="1871769921"/>
        <c:axId val="2071182630"/>
      </c:lineChart>
      <c:catAx>
        <c:axId val="18717699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1182630"/>
      </c:catAx>
      <c:valAx>
        <c:axId val="20711826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1769921"/>
      </c:valAx>
    </c:plotArea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Dashboard!$H$3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Pt>
            <c:idx val="5"/>
            <c:spPr>
              <a:solidFill>
                <a:srgbClr val="F79646"/>
              </a:solidFill>
            </c:spPr>
          </c:dPt>
          <c:dPt>
            <c:idx val="6"/>
            <c:spPr>
              <a:solidFill>
                <a:srgbClr val="84A7D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Dashboard!$D$4:$D$10</c:f>
            </c:strRef>
          </c:cat>
          <c:val>
            <c:numRef>
              <c:f>Dashboard!$H$4:$H$10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HelperData!$B$1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HelperData!$A$2:$A$6</c:f>
            </c:strRef>
          </c:cat>
          <c:val>
            <c:numRef>
              <c:f>HelperData!$B$2:$B$6</c:f>
              <c:numCache/>
            </c:numRef>
          </c:val>
          <c:smooth val="0"/>
        </c:ser>
        <c:axId val="880706613"/>
        <c:axId val="419111513"/>
      </c:lineChart>
      <c:catAx>
        <c:axId val="8807066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9111513"/>
      </c:catAx>
      <c:valAx>
        <c:axId val="4191115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0706613"/>
      </c:valAx>
    </c:plotArea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Dashboard!$H$3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Pt>
            <c:idx val="5"/>
            <c:spPr>
              <a:solidFill>
                <a:srgbClr val="F79646"/>
              </a:solidFill>
            </c:spPr>
          </c:dPt>
          <c:dPt>
            <c:idx val="6"/>
            <c:spPr>
              <a:solidFill>
                <a:srgbClr val="84A7D1"/>
              </a:solidFill>
            </c:spPr>
          </c:dPt>
          <c:dPt>
            <c:idx val="7"/>
            <c:spPr>
              <a:solidFill>
                <a:srgbClr val="D38582"/>
              </a:solidFill>
            </c:spPr>
          </c:dPt>
          <c:dPt>
            <c:idx val="8"/>
            <c:spPr>
              <a:solidFill>
                <a:srgbClr val="B9CF8B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Dashboard!$D$4:$D$12</c:f>
            </c:strRef>
          </c:cat>
          <c:val>
            <c:numRef>
              <c:f>Dashboard!$H$4:$H$12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HelperData!$B$1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HelperData!$A$2:$A$6</c:f>
            </c:strRef>
          </c:cat>
          <c:val>
            <c:numRef>
              <c:f>HelperData!$B$2:$B$6</c:f>
              <c:numCache/>
            </c:numRef>
          </c:val>
          <c:smooth val="0"/>
        </c:ser>
        <c:axId val="340490311"/>
        <c:axId val="435941022"/>
      </c:lineChart>
      <c:catAx>
        <c:axId val="340490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5941022"/>
      </c:catAx>
      <c:valAx>
        <c:axId val="4359410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0490311"/>
      </c:valAx>
    </c:plotArea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95250</xdr:colOff>
      <xdr:row>14</xdr:row>
      <xdr:rowOff>9525</xdr:rowOff>
    </xdr:from>
    <xdr:ext cx="5038725" cy="3057525"/>
    <xdr:graphicFrame>
      <xdr:nvGraphicFramePr>
        <xdr:cNvPr id="2107337740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0</xdr:colOff>
      <xdr:row>2</xdr:row>
      <xdr:rowOff>0</xdr:rowOff>
    </xdr:from>
    <xdr:ext cx="5038725" cy="3057525"/>
    <xdr:graphicFrame>
      <xdr:nvGraphicFramePr>
        <xdr:cNvPr id="1445704554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12</xdr:col>
      <xdr:colOff>0</xdr:colOff>
      <xdr:row>14</xdr:row>
      <xdr:rowOff>0</xdr:rowOff>
    </xdr:from>
    <xdr:ext cx="5038725" cy="3057525"/>
    <xdr:graphicFrame>
      <xdr:nvGraphicFramePr>
        <xdr:cNvPr id="1987214077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0</xdr:colOff>
      <xdr:row>2</xdr:row>
      <xdr:rowOff>0</xdr:rowOff>
    </xdr:from>
    <xdr:ext cx="5038725" cy="3057525"/>
    <xdr:graphicFrame>
      <xdr:nvGraphicFramePr>
        <xdr:cNvPr id="1935622514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12</xdr:col>
      <xdr:colOff>0</xdr:colOff>
      <xdr:row>14</xdr:row>
      <xdr:rowOff>0</xdr:rowOff>
    </xdr:from>
    <xdr:ext cx="5038725" cy="3057525"/>
    <xdr:graphicFrame>
      <xdr:nvGraphicFramePr>
        <xdr:cNvPr id="55567010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12</xdr:col>
      <xdr:colOff>0</xdr:colOff>
      <xdr:row>2</xdr:row>
      <xdr:rowOff>0</xdr:rowOff>
    </xdr:from>
    <xdr:ext cx="5038725" cy="3057525"/>
    <xdr:graphicFrame>
      <xdr:nvGraphicFramePr>
        <xdr:cNvPr id="1070047320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12</xdr:col>
      <xdr:colOff>0</xdr:colOff>
      <xdr:row>14</xdr:row>
      <xdr:rowOff>0</xdr:rowOff>
    </xdr:from>
    <xdr:ext cx="5038725" cy="3057525"/>
    <xdr:graphicFrame>
      <xdr:nvGraphicFramePr>
        <xdr:cNvPr id="873632745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12</xdr:col>
      <xdr:colOff>0</xdr:colOff>
      <xdr:row>2</xdr:row>
      <xdr:rowOff>0</xdr:rowOff>
    </xdr:from>
    <xdr:ext cx="5038725" cy="3057525"/>
    <xdr:graphicFrame>
      <xdr:nvGraphicFramePr>
        <xdr:cNvPr id="116124870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12</xdr:col>
      <xdr:colOff>0</xdr:colOff>
      <xdr:row>14</xdr:row>
      <xdr:rowOff>0</xdr:rowOff>
    </xdr:from>
    <xdr:ext cx="5038725" cy="3057525"/>
    <xdr:graphicFrame>
      <xdr:nvGraphicFramePr>
        <xdr:cNvPr id="1336667961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24.0"/>
    <col customWidth="1" min="4" max="4" width="32.0"/>
    <col customWidth="1" min="5" max="6" width="8.71"/>
  </cols>
  <sheetData>
    <row r="1" ht="39.75" customHeight="1">
      <c r="A1" s="1" t="s">
        <v>0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4.0" customHeight="1">
      <c r="A3" s="5" t="s">
        <v>24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9.5" customHeight="1">
      <c r="A4" s="9" t="s">
        <v>31</v>
      </c>
      <c r="B4" s="12" t="s">
        <v>32</v>
      </c>
      <c r="C4" s="13"/>
      <c r="D4" s="14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9.5" customHeight="1">
      <c r="A5" s="9" t="s">
        <v>36</v>
      </c>
      <c r="B5" s="12" t="s">
        <v>37</v>
      </c>
      <c r="C5" s="13"/>
      <c r="D5" s="14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9.5" customHeight="1">
      <c r="A6" s="9" t="s">
        <v>41</v>
      </c>
      <c r="B6" s="12" t="s">
        <v>42</v>
      </c>
      <c r="C6" s="13"/>
      <c r="D6" s="14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9.5" customHeight="1">
      <c r="A7" s="9" t="s">
        <v>49</v>
      </c>
      <c r="B7" s="12" t="s">
        <v>51</v>
      </c>
      <c r="C7" s="13"/>
      <c r="D7" s="14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4.0" customHeight="1">
      <c r="A9" s="5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9.5" customHeight="1">
      <c r="A10" s="9" t="s">
        <v>63</v>
      </c>
      <c r="B10" s="12" t="s">
        <v>64</v>
      </c>
      <c r="C10" s="13"/>
      <c r="D10" s="14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9" t="s">
        <v>70</v>
      </c>
      <c r="B11" s="12" t="s">
        <v>71</v>
      </c>
      <c r="C11" s="13"/>
      <c r="D11" s="14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9" t="s">
        <v>74</v>
      </c>
      <c r="B12" s="12" t="s">
        <v>75</v>
      </c>
      <c r="C12" s="13"/>
      <c r="D12" s="14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9" t="s">
        <v>81</v>
      </c>
      <c r="B13" s="12" t="s">
        <v>82</v>
      </c>
      <c r="C13" s="13"/>
      <c r="D13" s="14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9" t="s">
        <v>85</v>
      </c>
      <c r="B14" s="12" t="s">
        <v>88</v>
      </c>
      <c r="C14" s="13"/>
      <c r="D14" s="14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4.0" customHeight="1">
      <c r="A16" s="5" t="s">
        <v>98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5.5" customHeight="1">
      <c r="A17" s="9" t="s">
        <v>103</v>
      </c>
      <c r="B17" s="12" t="s">
        <v>105</v>
      </c>
      <c r="C17" s="13"/>
      <c r="D17" s="14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9.5" customHeight="1">
      <c r="A18" s="9" t="s">
        <v>111</v>
      </c>
      <c r="B18" s="12" t="s">
        <v>112</v>
      </c>
      <c r="C18" s="13"/>
      <c r="D18" s="14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9.5" customHeight="1">
      <c r="A19" s="9" t="s">
        <v>116</v>
      </c>
      <c r="B19" s="12" t="s">
        <v>118</v>
      </c>
      <c r="C19" s="13"/>
      <c r="D19" s="14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9.5" customHeight="1">
      <c r="A20" s="9" t="s">
        <v>122</v>
      </c>
      <c r="B20" s="12" t="s">
        <v>123</v>
      </c>
      <c r="C20" s="13"/>
      <c r="D20" s="14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9.5" customHeight="1">
      <c r="A21" s="9" t="s">
        <v>126</v>
      </c>
      <c r="B21" s="12" t="s">
        <v>127</v>
      </c>
      <c r="C21" s="13"/>
      <c r="D21" s="14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24.0" customHeight="1">
      <c r="A23" s="5" t="s">
        <v>130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32.25" customHeight="1">
      <c r="A24" s="9" t="s">
        <v>111</v>
      </c>
      <c r="B24" s="12" t="s">
        <v>134</v>
      </c>
      <c r="C24" s="13"/>
      <c r="D24" s="14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28.5" customHeight="1">
      <c r="A25" s="9" t="s">
        <v>137</v>
      </c>
      <c r="B25" s="12" t="s">
        <v>138</v>
      </c>
      <c r="C25" s="13"/>
      <c r="D25" s="14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9.5" customHeight="1">
      <c r="A26" s="9" t="s">
        <v>140</v>
      </c>
      <c r="B26" s="12" t="s">
        <v>141</v>
      </c>
      <c r="C26" s="13"/>
      <c r="D26" s="14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29.25" customHeight="1">
      <c r="A27" s="9" t="s">
        <v>126</v>
      </c>
      <c r="B27" s="12" t="s">
        <v>144</v>
      </c>
      <c r="C27" s="13"/>
      <c r="D27" s="14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32.25" customHeight="1">
      <c r="A28" s="9" t="s">
        <v>149</v>
      </c>
      <c r="B28" s="12" t="s">
        <v>150</v>
      </c>
      <c r="C28" s="13"/>
      <c r="D28" s="14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24.0" customHeight="1">
      <c r="A42" s="5" t="s">
        <v>155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9.5" customHeight="1">
      <c r="A43" s="9" t="s">
        <v>156</v>
      </c>
      <c r="B43" s="12" t="s">
        <v>157</v>
      </c>
      <c r="C43" s="13"/>
      <c r="D43" s="1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9.5" customHeight="1">
      <c r="A44" s="9" t="s">
        <v>158</v>
      </c>
      <c r="B44" s="12" t="s">
        <v>159</v>
      </c>
      <c r="C44" s="13"/>
      <c r="D44" s="1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9.5" customHeight="1">
      <c r="A45" s="9" t="s">
        <v>160</v>
      </c>
      <c r="B45" s="12" t="s">
        <v>161</v>
      </c>
      <c r="C45" s="13"/>
      <c r="D45" s="1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9.5" customHeight="1">
      <c r="A46" s="9" t="s">
        <v>162</v>
      </c>
      <c r="B46" s="12" t="s">
        <v>163</v>
      </c>
      <c r="C46" s="13"/>
      <c r="D46" s="1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9.5" customHeight="1">
      <c r="A47" s="9" t="s">
        <v>164</v>
      </c>
      <c r="B47" s="12" t="s">
        <v>165</v>
      </c>
      <c r="C47" s="13"/>
      <c r="D47" s="1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mergeCells count="25">
    <mergeCell ref="A1:D1"/>
    <mergeCell ref="B4:D4"/>
    <mergeCell ref="B5:D5"/>
    <mergeCell ref="B6:D6"/>
    <mergeCell ref="B7:D7"/>
    <mergeCell ref="B10:D10"/>
    <mergeCell ref="B11:D11"/>
    <mergeCell ref="B12:D12"/>
    <mergeCell ref="B13:D13"/>
    <mergeCell ref="B14:D14"/>
    <mergeCell ref="B17:D17"/>
    <mergeCell ref="B18:D18"/>
    <mergeCell ref="B19:D19"/>
    <mergeCell ref="B20:D20"/>
    <mergeCell ref="B44:D44"/>
    <mergeCell ref="B45:D45"/>
    <mergeCell ref="B46:D46"/>
    <mergeCell ref="B47:D47"/>
    <mergeCell ref="B21:D21"/>
    <mergeCell ref="B24:D24"/>
    <mergeCell ref="B25:D25"/>
    <mergeCell ref="B26:D26"/>
    <mergeCell ref="B27:D27"/>
    <mergeCell ref="B28:D28"/>
    <mergeCell ref="B43:D4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4.0"/>
    <col customWidth="1" min="2" max="2" width="22.0"/>
    <col customWidth="1" min="3" max="3" width="8.71"/>
    <col customWidth="1" min="4" max="4" width="16.0"/>
    <col customWidth="1" min="5" max="5" width="10.0"/>
    <col customWidth="1" min="6" max="7" width="16.0"/>
    <col customWidth="1" min="8" max="9" width="18.0"/>
    <col customWidth="1" min="10" max="11" width="14.0"/>
  </cols>
  <sheetData>
    <row r="1" ht="30.0" customHeight="1">
      <c r="A1" s="23" t="s">
        <v>166</v>
      </c>
      <c r="B1" s="24"/>
      <c r="C1" s="24"/>
      <c r="D1" s="24"/>
      <c r="E1" s="24"/>
      <c r="F1" s="24"/>
      <c r="G1" s="24"/>
      <c r="H1" s="24"/>
      <c r="I1" s="24"/>
      <c r="J1" s="24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25" t="s">
        <v>167</v>
      </c>
      <c r="B2" s="24"/>
      <c r="C2" s="24"/>
      <c r="D2" s="24"/>
      <c r="E2" s="24"/>
      <c r="F2" s="24"/>
      <c r="G2" s="24"/>
      <c r="H2" s="24"/>
      <c r="I2" s="24"/>
      <c r="J2" s="24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4.0" customHeight="1">
      <c r="A3" s="4" t="s">
        <v>168</v>
      </c>
      <c r="B3" s="4" t="s">
        <v>169</v>
      </c>
      <c r="C3" s="24"/>
      <c r="D3" s="6" t="s">
        <v>170</v>
      </c>
      <c r="E3" s="6" t="s">
        <v>12</v>
      </c>
      <c r="F3" s="6" t="s">
        <v>171</v>
      </c>
      <c r="G3" s="6" t="s">
        <v>172</v>
      </c>
      <c r="H3" s="6" t="s">
        <v>173</v>
      </c>
      <c r="I3" s="6" t="s">
        <v>174</v>
      </c>
      <c r="J3" s="6" t="s">
        <v>175</v>
      </c>
      <c r="K3" s="6" t="s">
        <v>176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26" t="s">
        <v>177</v>
      </c>
      <c r="B4" s="27"/>
      <c r="C4" s="24"/>
      <c r="D4" s="28" t="s">
        <v>28</v>
      </c>
      <c r="E4" s="29">
        <v>1.0</v>
      </c>
      <c r="F4" s="30">
        <v>1265.1</v>
      </c>
      <c r="G4" s="30">
        <v>1302.0</v>
      </c>
      <c r="H4" s="30">
        <f t="shared" ref="H4:H12" si="1">E4*G4</f>
        <v>1302</v>
      </c>
      <c r="I4" s="31">
        <f t="shared" ref="I4:I12" si="2">H4-(E4*F4)</f>
        <v>36.9</v>
      </c>
      <c r="J4" s="32">
        <f t="shared" ref="J4:J12" si="3">IF(F4&gt;0, I4/(E4*F4), 0)</f>
        <v>0.02916765473</v>
      </c>
      <c r="K4" s="33">
        <f>H4/H13</f>
        <v>0.1379704993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4" t="s">
        <v>178</v>
      </c>
      <c r="B5" s="35">
        <f>SUMIF(Capital!B:B, "DEPOSIT", Capital!C:C)</f>
        <v>10000</v>
      </c>
      <c r="C5" s="24"/>
      <c r="D5" s="28" t="s">
        <v>56</v>
      </c>
      <c r="E5" s="29">
        <v>1.0</v>
      </c>
      <c r="F5" s="30">
        <v>1579.0</v>
      </c>
      <c r="G5" s="30">
        <v>1640.0</v>
      </c>
      <c r="H5" s="30">
        <f t="shared" si="1"/>
        <v>1640</v>
      </c>
      <c r="I5" s="31">
        <f t="shared" si="2"/>
        <v>61</v>
      </c>
      <c r="J5" s="32">
        <f t="shared" si="3"/>
        <v>0.0386320456</v>
      </c>
      <c r="K5" s="33">
        <f>H5/H13</f>
        <v>0.1737877257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4" t="s">
        <v>179</v>
      </c>
      <c r="B6" s="36">
        <f>SUM(Ledger!M:M)</f>
        <v>194.49</v>
      </c>
      <c r="C6" s="24"/>
      <c r="D6" s="28" t="s">
        <v>86</v>
      </c>
      <c r="E6" s="29">
        <v>2.0</v>
      </c>
      <c r="F6" s="30">
        <v>519.13</v>
      </c>
      <c r="G6" s="30">
        <v>542.0999755859375</v>
      </c>
      <c r="H6" s="30">
        <f t="shared" si="1"/>
        <v>1084.199951</v>
      </c>
      <c r="I6" s="31">
        <f t="shared" si="2"/>
        <v>45.93995117</v>
      </c>
      <c r="J6" s="32">
        <f t="shared" si="3"/>
        <v>0.04424705871</v>
      </c>
      <c r="K6" s="33">
        <f>H6/H13</f>
        <v>0.1148906364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4" t="s">
        <v>180</v>
      </c>
      <c r="B7" s="37">
        <f>B6/B5</f>
        <v>0.019449</v>
      </c>
      <c r="C7" s="24"/>
      <c r="D7" s="28" t="s">
        <v>93</v>
      </c>
      <c r="E7" s="29">
        <v>4.0</v>
      </c>
      <c r="F7" s="30">
        <v>127.8</v>
      </c>
      <c r="G7" s="30">
        <v>121.2099990844727</v>
      </c>
      <c r="H7" s="30">
        <f t="shared" si="1"/>
        <v>484.8399963</v>
      </c>
      <c r="I7" s="38">
        <f t="shared" si="2"/>
        <v>-26.36000366</v>
      </c>
      <c r="J7" s="39">
        <f t="shared" si="3"/>
        <v>-0.05156495239</v>
      </c>
      <c r="K7" s="33">
        <f>H7/H13</f>
        <v>0.05137758555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4" t="s">
        <v>181</v>
      </c>
      <c r="B8" s="35">
        <f>B13+B12</f>
        <v>12042.99994</v>
      </c>
      <c r="C8" s="24"/>
      <c r="D8" s="28" t="s">
        <v>131</v>
      </c>
      <c r="E8" s="29">
        <v>4.0</v>
      </c>
      <c r="F8" s="30">
        <v>219.6</v>
      </c>
      <c r="G8" s="30">
        <v>225.3000030517578</v>
      </c>
      <c r="H8" s="30">
        <f t="shared" si="1"/>
        <v>901.2000122</v>
      </c>
      <c r="I8" s="31">
        <f t="shared" si="2"/>
        <v>22.80001221</v>
      </c>
      <c r="J8" s="32">
        <f t="shared" si="3"/>
        <v>0.02595629805</v>
      </c>
      <c r="K8" s="33">
        <f>H8/H13</f>
        <v>0.09549847594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4" t="s">
        <v>182</v>
      </c>
      <c r="B9" s="40">
        <f>COUNTIF(Ledger!N:N, "WIN") + COUNTIF(Ledger!N:N, "LOSS") + COUNTIF(Ledger!N:N, "OPEN")</f>
        <v>19</v>
      </c>
      <c r="C9" s="24"/>
      <c r="D9" s="28" t="s">
        <v>135</v>
      </c>
      <c r="E9" s="29">
        <v>4.0</v>
      </c>
      <c r="F9" s="30">
        <v>202.5</v>
      </c>
      <c r="G9" s="30">
        <v>220.6199951171875</v>
      </c>
      <c r="H9" s="30">
        <f t="shared" si="1"/>
        <v>882.4799805</v>
      </c>
      <c r="I9" s="31">
        <f t="shared" si="2"/>
        <v>72.47998047</v>
      </c>
      <c r="J9" s="32">
        <f t="shared" si="3"/>
        <v>0.08948145737</v>
      </c>
      <c r="K9" s="33">
        <f>H9/H13</f>
        <v>0.09351474927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4" t="s">
        <v>183</v>
      </c>
      <c r="B10" s="41">
        <f>IF((COUNTIF(Ledger!N:N, "WIN")+COUNTIF(Ledger!N:N, "LOSS"))&gt;0, COUNTIF(Ledger!N:N, "WIN")/(COUNTIF(Ledger!N:N, "WIN")+COUNTIF(Ledger!N:N, "LOSS")), 0)</f>
        <v>0.4</v>
      </c>
      <c r="C10" s="24"/>
      <c r="D10" s="28" t="s">
        <v>139</v>
      </c>
      <c r="E10" s="29">
        <v>8.0</v>
      </c>
      <c r="F10" s="30">
        <v>132.01</v>
      </c>
      <c r="G10" s="30">
        <v>127.1100006103516</v>
      </c>
      <c r="H10" s="30">
        <f t="shared" si="1"/>
        <v>1016.880005</v>
      </c>
      <c r="I10" s="38">
        <f t="shared" si="2"/>
        <v>-39.19999512</v>
      </c>
      <c r="J10" s="39">
        <f t="shared" si="3"/>
        <v>-0.0371183955</v>
      </c>
      <c r="K10" s="33">
        <f>H10/H13</f>
        <v>0.1077568679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4" t="s">
        <v>184</v>
      </c>
      <c r="B11" s="35">
        <f>SUMPRODUCT((Ledger!N2:N500="OPEN")*(Ledger!E2:E500)*(Ledger!D2:D500))</f>
        <v>9263.24</v>
      </c>
      <c r="C11" s="24"/>
      <c r="D11" s="28" t="s">
        <v>146</v>
      </c>
      <c r="E11" s="29">
        <v>3.0</v>
      </c>
      <c r="F11" s="30">
        <v>432.6</v>
      </c>
      <c r="G11" s="30">
        <v>432.6000061035156</v>
      </c>
      <c r="H11" s="30">
        <f t="shared" si="1"/>
        <v>1297.800018</v>
      </c>
      <c r="I11" s="31">
        <f t="shared" si="2"/>
        <v>0.00001831054669</v>
      </c>
      <c r="J11" s="32">
        <f t="shared" si="3"/>
        <v>0.00000001410891254</v>
      </c>
      <c r="K11" s="33">
        <f>H11/H13</f>
        <v>0.1375254351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4" t="s">
        <v>185</v>
      </c>
      <c r="B12" s="36">
        <v>9436.799942016602</v>
      </c>
      <c r="C12" s="24"/>
      <c r="D12" s="28" t="s">
        <v>152</v>
      </c>
      <c r="E12" s="29">
        <v>10.0</v>
      </c>
      <c r="F12" s="30">
        <v>82.74</v>
      </c>
      <c r="G12" s="30">
        <v>82.73999786376953</v>
      </c>
      <c r="H12" s="30">
        <f t="shared" si="1"/>
        <v>827.3999786</v>
      </c>
      <c r="I12" s="38">
        <f t="shared" si="2"/>
        <v>-0.00002136230466</v>
      </c>
      <c r="J12" s="39">
        <f t="shared" si="3"/>
        <v>-0.00000002581859399</v>
      </c>
      <c r="K12" s="33">
        <f>H12/H13</f>
        <v>0.08767802472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4" t="s">
        <v>186</v>
      </c>
      <c r="B13" s="35">
        <v>2606.2</v>
      </c>
      <c r="C13" s="24"/>
      <c r="D13" s="42" t="s">
        <v>187</v>
      </c>
      <c r="E13" s="43"/>
      <c r="F13" s="44"/>
      <c r="G13" s="44"/>
      <c r="H13" s="45">
        <f t="shared" ref="H13:I13" si="4">SUM(H4:H12)</f>
        <v>9436.799942</v>
      </c>
      <c r="I13" s="45">
        <f t="shared" si="4"/>
        <v>173.559942</v>
      </c>
      <c r="J13" s="46">
        <f>IF((H13-I13)&gt;0, I13/(H13-I13), 0)</f>
        <v>0.01873641858</v>
      </c>
      <c r="K13" s="46">
        <f>SUM(K4:K12)</f>
        <v>1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4" t="s">
        <v>188</v>
      </c>
      <c r="B14" s="40">
        <f>COUNTIF(Ledger!N:N, "WIN")</f>
        <v>4</v>
      </c>
      <c r="C14" s="24"/>
      <c r="D14" s="47"/>
      <c r="E14" s="48"/>
      <c r="F14" s="24"/>
      <c r="G14" s="24"/>
      <c r="H14" s="49"/>
      <c r="I14" s="49"/>
      <c r="J14" s="50"/>
      <c r="K14" s="46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4" t="s">
        <v>189</v>
      </c>
      <c r="B15" s="40">
        <f>COUNTIF(Ledger!N:N, "LOSS")</f>
        <v>6</v>
      </c>
      <c r="C15" s="24"/>
      <c r="D15" s="24"/>
      <c r="E15" s="24"/>
      <c r="F15" s="24"/>
      <c r="G15" s="24"/>
      <c r="H15" s="24"/>
      <c r="I15" s="24"/>
      <c r="J15" s="24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4" t="s">
        <v>190</v>
      </c>
      <c r="B16" s="35">
        <f>SUMIF(Capital!D:D, "*Brokerage &amp; taxes*", Capital!C:C)</f>
        <v>293.81</v>
      </c>
      <c r="C16" s="24"/>
      <c r="D16" s="24"/>
      <c r="E16" s="24"/>
      <c r="F16" s="24"/>
      <c r="G16" s="24"/>
      <c r="H16" s="24"/>
      <c r="I16" s="24"/>
      <c r="J16" s="24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51" t="s">
        <v>191</v>
      </c>
      <c r="C17" s="24"/>
      <c r="D17" s="24"/>
      <c r="E17" s="24"/>
      <c r="F17" s="24"/>
      <c r="G17" s="24"/>
      <c r="H17" s="24"/>
      <c r="I17" s="24"/>
      <c r="J17" s="24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4" t="s">
        <v>192</v>
      </c>
      <c r="B18" s="4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>0.5714285714</v>
      </c>
      <c r="C18" s="24"/>
      <c r="D18" s="24"/>
      <c r="E18" s="24"/>
      <c r="F18" s="24"/>
      <c r="G18" s="24"/>
      <c r="H18" s="24"/>
      <c r="I18" s="24"/>
      <c r="J18" s="24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4" t="s">
        <v>193</v>
      </c>
      <c r="B19" s="35">
        <f>SUMIFS(Ledger!M:M, Ledger!P:P, "SWING")</f>
        <v>212.39</v>
      </c>
      <c r="C19" s="24"/>
      <c r="D19" s="24"/>
      <c r="E19" s="24"/>
      <c r="F19" s="24"/>
      <c r="G19" s="24"/>
      <c r="H19" s="24"/>
      <c r="I19" s="24"/>
      <c r="J19" s="24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4" t="s">
        <v>194</v>
      </c>
      <c r="B20" s="40">
        <f>COUNTIFS(Ledger!P:P, "SWING", Ledger!N:N, "WIN") + COUNTIFS(Ledger!P:P, "SWING", Ledger!N:N, "LOSS")</f>
        <v>7</v>
      </c>
      <c r="C20" s="24"/>
      <c r="D20" s="24"/>
      <c r="E20" s="24"/>
      <c r="F20" s="24"/>
      <c r="G20" s="24"/>
      <c r="H20" s="24"/>
      <c r="I20" s="24"/>
      <c r="J20" s="24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4" t="s">
        <v>195</v>
      </c>
      <c r="B21" s="40">
        <f>COUNTIFS(Ledger!P:P, "SWING", Ledger!N:N, "OPEN")</f>
        <v>9</v>
      </c>
      <c r="C21" s="24"/>
      <c r="D21" s="24"/>
      <c r="E21" s="24"/>
      <c r="F21" s="24"/>
      <c r="G21" s="24"/>
      <c r="H21" s="24"/>
      <c r="I21" s="24"/>
      <c r="J21" s="24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51" t="s">
        <v>196</v>
      </c>
      <c r="C22" s="24"/>
      <c r="D22" s="24"/>
      <c r="E22" s="24"/>
      <c r="F22" s="24"/>
      <c r="G22" s="24"/>
      <c r="H22" s="24"/>
      <c r="I22" s="24"/>
      <c r="J22" s="24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4" t="s">
        <v>197</v>
      </c>
      <c r="B23" s="4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>0</v>
      </c>
      <c r="C23" s="24"/>
      <c r="D23" s="24"/>
      <c r="E23" s="24"/>
      <c r="F23" s="24"/>
      <c r="G23" s="24"/>
      <c r="H23" s="24"/>
      <c r="I23" s="24"/>
      <c r="J23" s="24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4" t="s">
        <v>198</v>
      </c>
      <c r="B24" s="35">
        <f>SUMIFS(Ledger!M:M, Ledger!P:P, "INTRADAY")</f>
        <v>-17.9</v>
      </c>
      <c r="C24" s="24"/>
      <c r="D24" s="24"/>
      <c r="E24" s="24"/>
      <c r="F24" s="24"/>
      <c r="G24" s="24"/>
      <c r="H24" s="24"/>
      <c r="I24" s="24"/>
      <c r="J24" s="24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4" t="s">
        <v>199</v>
      </c>
      <c r="B25" s="40">
        <f>COUNTIFS(Ledger!P:P, "INTRADAY", Ledger!N:N, "WIN") + COUNTIFS(Ledger!P:P, "INTRADAY", Ledger!N:N, "LOSS")</f>
        <v>3</v>
      </c>
      <c r="C25" s="24"/>
      <c r="D25" s="24"/>
      <c r="E25" s="24"/>
      <c r="F25" s="24"/>
      <c r="G25" s="24"/>
      <c r="H25" s="24"/>
      <c r="I25" s="24"/>
      <c r="J25" s="24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4" t="s">
        <v>200</v>
      </c>
      <c r="B26" s="40">
        <f>COUNTIFS(Ledger!P:P, "INTRADAY", Ledger!N:N, "OPEN")</f>
        <v>0</v>
      </c>
      <c r="C26" s="24"/>
      <c r="D26" s="24"/>
      <c r="E26" s="24"/>
      <c r="F26" s="24"/>
      <c r="G26" s="24"/>
      <c r="H26" s="24"/>
      <c r="I26" s="24"/>
      <c r="J26" s="24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51" t="s">
        <v>201</v>
      </c>
      <c r="C27" s="24"/>
      <c r="D27" s="24"/>
      <c r="E27" s="24"/>
      <c r="F27" s="24"/>
      <c r="G27" s="24"/>
      <c r="H27" s="24"/>
      <c r="I27" s="24"/>
      <c r="J27" s="24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4" t="s">
        <v>202</v>
      </c>
      <c r="B28" s="52">
        <v>5.157894736842105</v>
      </c>
      <c r="C28" s="24"/>
      <c r="D28" s="24"/>
      <c r="E28" s="24"/>
      <c r="F28" s="24"/>
      <c r="G28" s="24"/>
      <c r="H28" s="24"/>
      <c r="I28" s="24"/>
      <c r="J28" s="24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4" t="s">
        <v>203</v>
      </c>
      <c r="B29" s="52">
        <v>2.111111111111111</v>
      </c>
      <c r="C29" s="24"/>
      <c r="D29" s="24"/>
      <c r="E29" s="24"/>
      <c r="F29" s="24"/>
      <c r="G29" s="24"/>
      <c r="H29" s="24"/>
      <c r="I29" s="24"/>
      <c r="J29" s="24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4" t="s">
        <v>204</v>
      </c>
      <c r="B30" s="52">
        <v>5.3125</v>
      </c>
      <c r="C30" s="24"/>
      <c r="D30" s="24"/>
      <c r="E30" s="24"/>
      <c r="F30" s="24"/>
      <c r="G30" s="24"/>
      <c r="H30" s="24"/>
      <c r="I30" s="24"/>
      <c r="J30" s="24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</row>
  </sheetData>
  <mergeCells count="4">
    <mergeCell ref="A4:B4"/>
    <mergeCell ref="A17:B17"/>
    <mergeCell ref="A22:B22"/>
    <mergeCell ref="A27:B27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25.0"/>
    <col customWidth="1" min="3" max="3" width="12.86"/>
    <col customWidth="1" min="4" max="4" width="10.86"/>
    <col customWidth="1" min="5" max="9" width="16.0"/>
    <col customWidth="1" min="10" max="10" width="22.0"/>
    <col customWidth="1" min="11" max="14" width="16.0"/>
    <col customWidth="1" min="15" max="15" width="30.0"/>
    <col customWidth="1" min="16" max="16" width="18.0"/>
  </cols>
  <sheetData>
    <row r="1" ht="27.75" customHeight="1">
      <c r="A1" s="4" t="s">
        <v>1</v>
      </c>
      <c r="B1" s="4" t="s">
        <v>3</v>
      </c>
      <c r="C1" s="4" t="s">
        <v>10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8</v>
      </c>
      <c r="K1" s="4" t="s">
        <v>19</v>
      </c>
      <c r="L1" s="4" t="s">
        <v>21</v>
      </c>
      <c r="M1" s="4" t="s">
        <v>22</v>
      </c>
      <c r="N1" s="4" t="s">
        <v>23</v>
      </c>
      <c r="O1" s="4" t="s">
        <v>20</v>
      </c>
      <c r="P1" s="6" t="s">
        <v>25</v>
      </c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8" t="s">
        <v>27</v>
      </c>
      <c r="B2" s="8" t="s">
        <v>27</v>
      </c>
      <c r="C2" s="8" t="s">
        <v>26</v>
      </c>
      <c r="D2" s="8">
        <v>1.0</v>
      </c>
      <c r="E2" s="11">
        <v>1951.0</v>
      </c>
      <c r="F2" s="11">
        <v>1963.199951171875</v>
      </c>
      <c r="G2" s="11">
        <f t="shared" ref="G2:G9" si="1">E2-F2</f>
        <v>-12.19995117</v>
      </c>
      <c r="H2" s="11">
        <v>2091.543361767483</v>
      </c>
      <c r="I2" s="11">
        <v>1899.028245874071</v>
      </c>
      <c r="J2" s="8" t="s">
        <v>38</v>
      </c>
      <c r="K2" s="8" t="s">
        <v>26</v>
      </c>
      <c r="L2" s="11">
        <v>1960.0</v>
      </c>
      <c r="M2" s="11">
        <f t="shared" ref="M2:M13" si="2">IF(OR(N2="WIN", N2="LOSS"), (L2-E2)*D2, 0)</f>
        <v>9</v>
      </c>
      <c r="N2" s="8" t="s">
        <v>43</v>
      </c>
      <c r="O2" s="8" t="s">
        <v>45</v>
      </c>
      <c r="P2" s="15" t="s">
        <v>47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8" t="s">
        <v>28</v>
      </c>
      <c r="B3" s="8" t="s">
        <v>28</v>
      </c>
      <c r="C3" s="8" t="s">
        <v>26</v>
      </c>
      <c r="D3" s="8">
        <v>1.0</v>
      </c>
      <c r="E3" s="11">
        <v>1266.4</v>
      </c>
      <c r="F3" s="11">
        <v>1268.099975585938</v>
      </c>
      <c r="G3" s="11">
        <f t="shared" si="1"/>
        <v>-1.699975586</v>
      </c>
      <c r="H3" s="11">
        <v>1369.684246737149</v>
      </c>
      <c r="I3" s="11">
        <v>1217.307840010332</v>
      </c>
      <c r="J3" s="8" t="s">
        <v>53</v>
      </c>
      <c r="K3" s="8" t="s">
        <v>26</v>
      </c>
      <c r="L3" s="11">
        <v>1267.1</v>
      </c>
      <c r="M3" s="11">
        <f t="shared" si="2"/>
        <v>0.7</v>
      </c>
      <c r="N3" s="8" t="s">
        <v>43</v>
      </c>
      <c r="O3" s="8" t="s">
        <v>45</v>
      </c>
      <c r="P3" s="15" t="s">
        <v>47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 t="s">
        <v>56</v>
      </c>
      <c r="B4" s="16" t="s">
        <v>56</v>
      </c>
      <c r="C4" s="16" t="s">
        <v>26</v>
      </c>
      <c r="D4" s="16">
        <v>1.0</v>
      </c>
      <c r="E4" s="17">
        <v>1589.1</v>
      </c>
      <c r="F4" s="17">
        <v>1582.699951171875</v>
      </c>
      <c r="G4" s="17">
        <f t="shared" si="1"/>
        <v>6.400048828</v>
      </c>
      <c r="H4" s="17">
        <v>1785.968673647753</v>
      </c>
      <c r="I4" s="17">
        <v>1481.065589933936</v>
      </c>
      <c r="J4" s="16" t="s">
        <v>57</v>
      </c>
      <c r="K4" s="16" t="s">
        <v>26</v>
      </c>
      <c r="L4" s="17">
        <v>1575.0</v>
      </c>
      <c r="M4" s="17">
        <f t="shared" si="2"/>
        <v>-14.1</v>
      </c>
      <c r="N4" s="16" t="s">
        <v>60</v>
      </c>
      <c r="O4" s="16" t="s">
        <v>45</v>
      </c>
      <c r="P4" s="18" t="s">
        <v>47</v>
      </c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8" t="s">
        <v>62</v>
      </c>
      <c r="B5" s="8" t="s">
        <v>62</v>
      </c>
      <c r="C5" s="8" t="s">
        <v>59</v>
      </c>
      <c r="D5" s="8">
        <v>2.0</v>
      </c>
      <c r="E5" s="11">
        <v>734.7</v>
      </c>
      <c r="F5" s="11">
        <v>730.4500122070312</v>
      </c>
      <c r="G5" s="11">
        <f t="shared" si="1"/>
        <v>4.249987793</v>
      </c>
      <c r="H5" s="11">
        <v>800.5786220005581</v>
      </c>
      <c r="I5" s="11">
        <v>695.3857073102679</v>
      </c>
      <c r="J5" s="8" t="s">
        <v>65</v>
      </c>
      <c r="K5" s="15" t="s">
        <v>66</v>
      </c>
      <c r="L5" s="11">
        <v>798.25</v>
      </c>
      <c r="M5" s="11">
        <f t="shared" si="2"/>
        <v>127.1</v>
      </c>
      <c r="N5" s="8" t="s">
        <v>43</v>
      </c>
      <c r="O5" s="8" t="s">
        <v>67</v>
      </c>
      <c r="P5" s="15" t="s">
        <v>47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9" t="s">
        <v>28</v>
      </c>
      <c r="B6" s="19" t="s">
        <v>29</v>
      </c>
      <c r="C6" s="20" t="s">
        <v>59</v>
      </c>
      <c r="D6" s="21">
        <v>1.0</v>
      </c>
      <c r="E6" s="22">
        <v>1265.1</v>
      </c>
      <c r="F6" s="22">
        <v>1265.1</v>
      </c>
      <c r="G6" s="22">
        <f t="shared" si="1"/>
        <v>0</v>
      </c>
      <c r="H6" s="22">
        <v>1368.16</v>
      </c>
      <c r="I6" s="22">
        <v>1217.31</v>
      </c>
      <c r="J6" s="20" t="s">
        <v>53</v>
      </c>
      <c r="K6" s="21"/>
      <c r="L6" s="22"/>
      <c r="M6" s="22">
        <f t="shared" si="2"/>
        <v>0</v>
      </c>
      <c r="N6" s="20" t="s">
        <v>72</v>
      </c>
      <c r="O6" s="19" t="s">
        <v>73</v>
      </c>
      <c r="P6" s="3" t="s">
        <v>47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 t="s">
        <v>56</v>
      </c>
      <c r="B7" s="3" t="s">
        <v>56</v>
      </c>
      <c r="C7" s="3" t="s">
        <v>76</v>
      </c>
      <c r="D7" s="3">
        <v>1.0</v>
      </c>
      <c r="E7" s="10">
        <v>1579.0</v>
      </c>
      <c r="F7" s="10">
        <v>1593.900024414062</v>
      </c>
      <c r="G7" s="10">
        <f t="shared" si="1"/>
        <v>-14.90002441</v>
      </c>
      <c r="H7" s="10">
        <v>1773.642944335938</v>
      </c>
      <c r="I7" s="10">
        <v>1504.028564453125</v>
      </c>
      <c r="J7" s="3" t="s">
        <v>80</v>
      </c>
      <c r="K7" s="3"/>
      <c r="L7" s="3"/>
      <c r="M7" s="10">
        <f t="shared" si="2"/>
        <v>0</v>
      </c>
      <c r="N7" s="3" t="s">
        <v>72</v>
      </c>
      <c r="O7" s="3" t="s">
        <v>73</v>
      </c>
      <c r="P7" s="3" t="s">
        <v>47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86</v>
      </c>
      <c r="B8" s="3" t="s">
        <v>87</v>
      </c>
      <c r="C8" s="3" t="s">
        <v>89</v>
      </c>
      <c r="D8" s="3">
        <v>2.0</v>
      </c>
      <c r="E8" s="10">
        <v>519.13</v>
      </c>
      <c r="F8" s="10">
        <v>521.35</v>
      </c>
      <c r="G8" s="10">
        <f t="shared" si="1"/>
        <v>-2.22</v>
      </c>
      <c r="H8" s="10">
        <v>574.85</v>
      </c>
      <c r="I8" s="10">
        <v>494.6</v>
      </c>
      <c r="J8" s="3" t="s">
        <v>33</v>
      </c>
      <c r="K8" s="3"/>
      <c r="L8" s="10"/>
      <c r="M8" s="10">
        <f t="shared" si="2"/>
        <v>0</v>
      </c>
      <c r="N8" s="3" t="s">
        <v>72</v>
      </c>
      <c r="O8" s="3" t="s">
        <v>90</v>
      </c>
      <c r="P8" s="3" t="s">
        <v>47</v>
      </c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93</v>
      </c>
      <c r="B9" s="3" t="s">
        <v>94</v>
      </c>
      <c r="C9" s="3" t="s">
        <v>96</v>
      </c>
      <c r="D9" s="3">
        <v>4.0</v>
      </c>
      <c r="E9" s="10">
        <v>127.8</v>
      </c>
      <c r="F9" s="10">
        <v>125.01</v>
      </c>
      <c r="G9" s="10">
        <f t="shared" si="1"/>
        <v>2.79</v>
      </c>
      <c r="H9" s="10">
        <v>145.56</v>
      </c>
      <c r="I9" s="10">
        <v>114.74</v>
      </c>
      <c r="J9" s="3" t="s">
        <v>33</v>
      </c>
      <c r="K9" s="3"/>
      <c r="L9" s="10"/>
      <c r="M9" s="10">
        <f t="shared" si="2"/>
        <v>0</v>
      </c>
      <c r="N9" s="3" t="s">
        <v>72</v>
      </c>
      <c r="O9" s="3" t="s">
        <v>99</v>
      </c>
      <c r="P9" s="3" t="s">
        <v>47</v>
      </c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8" t="s">
        <v>101</v>
      </c>
      <c r="B10" s="18" t="s">
        <v>101</v>
      </c>
      <c r="C10" s="18" t="s">
        <v>102</v>
      </c>
      <c r="D10" s="18">
        <v>1.0</v>
      </c>
      <c r="E10" s="17">
        <v>1530.0</v>
      </c>
      <c r="F10" s="17">
        <v>1530.0</v>
      </c>
      <c r="G10" s="17">
        <v>0.0</v>
      </c>
      <c r="H10" s="17">
        <v>1549.8</v>
      </c>
      <c r="I10" s="17">
        <v>1520.1</v>
      </c>
      <c r="J10" s="18" t="s">
        <v>33</v>
      </c>
      <c r="K10" s="18" t="s">
        <v>102</v>
      </c>
      <c r="L10" s="17">
        <v>1520.1</v>
      </c>
      <c r="M10" s="17">
        <f t="shared" si="2"/>
        <v>-9.9</v>
      </c>
      <c r="N10" s="18" t="s">
        <v>60</v>
      </c>
      <c r="O10" s="18" t="s">
        <v>106</v>
      </c>
      <c r="P10" s="18" t="s">
        <v>107</v>
      </c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8" t="s">
        <v>109</v>
      </c>
      <c r="B11" s="18" t="s">
        <v>109</v>
      </c>
      <c r="C11" s="18" t="s">
        <v>102</v>
      </c>
      <c r="D11" s="18">
        <v>1.0</v>
      </c>
      <c r="E11" s="17">
        <v>1642.5</v>
      </c>
      <c r="F11" s="17">
        <v>1642.5</v>
      </c>
      <c r="G11" s="17">
        <v>0.0</v>
      </c>
      <c r="H11" s="17">
        <v>1658.5</v>
      </c>
      <c r="I11" s="17">
        <v>1634.5</v>
      </c>
      <c r="J11" s="18" t="s">
        <v>33</v>
      </c>
      <c r="K11" s="18" t="s">
        <v>102</v>
      </c>
      <c r="L11" s="17">
        <v>1634.5</v>
      </c>
      <c r="M11" s="17">
        <f t="shared" si="2"/>
        <v>-8</v>
      </c>
      <c r="N11" s="18" t="s">
        <v>60</v>
      </c>
      <c r="O11" s="18" t="s">
        <v>115</v>
      </c>
      <c r="P11" s="18" t="s">
        <v>107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5" t="s">
        <v>117</v>
      </c>
      <c r="B12" s="15" t="s">
        <v>117</v>
      </c>
      <c r="C12" s="15" t="s">
        <v>66</v>
      </c>
      <c r="D12" s="15">
        <v>8.0</v>
      </c>
      <c r="E12" s="11">
        <v>86.99</v>
      </c>
      <c r="F12" s="11">
        <v>86.99</v>
      </c>
      <c r="G12" s="11">
        <v>0.0</v>
      </c>
      <c r="H12" s="11">
        <v>101.83</v>
      </c>
      <c r="I12" s="11">
        <v>79.57</v>
      </c>
      <c r="J12" s="15" t="s">
        <v>33</v>
      </c>
      <c r="K12" s="15" t="s">
        <v>120</v>
      </c>
      <c r="L12" s="11">
        <v>103.24</v>
      </c>
      <c r="M12" s="11">
        <f t="shared" si="2"/>
        <v>130</v>
      </c>
      <c r="N12" s="15" t="s">
        <v>43</v>
      </c>
      <c r="O12" s="15" t="s">
        <v>121</v>
      </c>
      <c r="P12" s="15" t="s">
        <v>47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8" t="s">
        <v>124</v>
      </c>
      <c r="B13" s="18" t="s">
        <v>124</v>
      </c>
      <c r="C13" s="18" t="s">
        <v>66</v>
      </c>
      <c r="D13" s="18">
        <v>8.0</v>
      </c>
      <c r="E13" s="17">
        <v>82.5</v>
      </c>
      <c r="F13" s="17">
        <v>82.5</v>
      </c>
      <c r="G13" s="17">
        <v>0.0</v>
      </c>
      <c r="H13" s="17">
        <v>93.81</v>
      </c>
      <c r="I13" s="17">
        <v>77.58</v>
      </c>
      <c r="J13" s="18" t="s">
        <v>33</v>
      </c>
      <c r="K13" s="18" t="s">
        <v>120</v>
      </c>
      <c r="L13" s="17">
        <v>77.58</v>
      </c>
      <c r="M13" s="17">
        <f t="shared" si="2"/>
        <v>-39.36</v>
      </c>
      <c r="N13" s="18" t="s">
        <v>60</v>
      </c>
      <c r="O13" s="18" t="s">
        <v>125</v>
      </c>
      <c r="P13" s="18" t="s">
        <v>47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8" t="s">
        <v>128</v>
      </c>
      <c r="B14" s="18" t="s">
        <v>128</v>
      </c>
      <c r="C14" s="18" t="s">
        <v>66</v>
      </c>
      <c r="D14" s="18">
        <v>3.0</v>
      </c>
      <c r="E14" s="17">
        <v>341.15</v>
      </c>
      <c r="F14" s="17">
        <v>341.15</v>
      </c>
      <c r="G14" s="17">
        <v>0.0</v>
      </c>
      <c r="H14" s="17">
        <v>405.1</v>
      </c>
      <c r="I14" s="17">
        <v>316.2</v>
      </c>
      <c r="J14" s="18" t="s">
        <v>80</v>
      </c>
      <c r="K14" s="18" t="s">
        <v>120</v>
      </c>
      <c r="L14" s="17">
        <v>316.2</v>
      </c>
      <c r="M14" s="17">
        <f t="shared" ref="M14:M18" si="3">IF(OR(N15="WIN", N15="LOSS"), (L15-E15)*D15, 0)</f>
        <v>0</v>
      </c>
      <c r="N14" s="18" t="s">
        <v>60</v>
      </c>
      <c r="O14" s="18" t="s">
        <v>129</v>
      </c>
      <c r="P14" s="18" t="s">
        <v>47</v>
      </c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131</v>
      </c>
      <c r="B15" s="3" t="s">
        <v>131</v>
      </c>
      <c r="C15" s="3" t="s">
        <v>132</v>
      </c>
      <c r="D15" s="3">
        <v>4.0</v>
      </c>
      <c r="E15" s="10">
        <v>219.6</v>
      </c>
      <c r="F15" s="10">
        <v>219.6</v>
      </c>
      <c r="G15" s="10">
        <v>0.0</v>
      </c>
      <c r="H15" s="10">
        <v>266.25</v>
      </c>
      <c r="I15" s="10">
        <v>196.3</v>
      </c>
      <c r="J15" s="3" t="s">
        <v>33</v>
      </c>
      <c r="K15" s="3"/>
      <c r="L15" s="3"/>
      <c r="M15" s="10">
        <f t="shared" si="3"/>
        <v>0</v>
      </c>
      <c r="N15" s="3" t="s">
        <v>72</v>
      </c>
      <c r="O15" s="3" t="s">
        <v>133</v>
      </c>
      <c r="P15" s="3" t="s">
        <v>47</v>
      </c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135</v>
      </c>
      <c r="B16" s="3" t="s">
        <v>135</v>
      </c>
      <c r="C16" s="3" t="s">
        <v>132</v>
      </c>
      <c r="D16" s="3">
        <v>4.0</v>
      </c>
      <c r="E16" s="10">
        <v>202.5</v>
      </c>
      <c r="F16" s="10">
        <v>202.5</v>
      </c>
      <c r="G16" s="10">
        <v>0.0</v>
      </c>
      <c r="H16" s="10">
        <v>238.85</v>
      </c>
      <c r="I16" s="10">
        <v>184.35</v>
      </c>
      <c r="J16" s="3" t="s">
        <v>33</v>
      </c>
      <c r="K16" s="3"/>
      <c r="L16" s="3"/>
      <c r="M16" s="10">
        <f t="shared" si="3"/>
        <v>0</v>
      </c>
      <c r="N16" s="3" t="s">
        <v>72</v>
      </c>
      <c r="O16" s="3" t="s">
        <v>136</v>
      </c>
      <c r="P16" s="3" t="s">
        <v>47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139</v>
      </c>
      <c r="B17" s="3" t="s">
        <v>139</v>
      </c>
      <c r="C17" s="3" t="s">
        <v>132</v>
      </c>
      <c r="D17" s="3">
        <v>8.0</v>
      </c>
      <c r="E17" s="10">
        <v>132.01</v>
      </c>
      <c r="F17" s="10">
        <v>132.01</v>
      </c>
      <c r="G17" s="10">
        <f>E18-F18</f>
        <v>0</v>
      </c>
      <c r="H17" s="10">
        <v>159.05</v>
      </c>
      <c r="I17" s="10">
        <v>118.7</v>
      </c>
      <c r="J17" s="3" t="s">
        <v>33</v>
      </c>
      <c r="K17" s="3"/>
      <c r="L17" s="3"/>
      <c r="M17" s="10">
        <f t="shared" si="3"/>
        <v>-0.95</v>
      </c>
      <c r="N17" s="3" t="s">
        <v>72</v>
      </c>
      <c r="O17" s="3" t="s">
        <v>142</v>
      </c>
      <c r="P17" s="3" t="s">
        <v>47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8" t="s">
        <v>143</v>
      </c>
      <c r="B18" s="18" t="s">
        <v>143</v>
      </c>
      <c r="C18" s="18" t="s">
        <v>132</v>
      </c>
      <c r="D18" s="18">
        <v>1.0</v>
      </c>
      <c r="E18" s="17">
        <v>192.6</v>
      </c>
      <c r="F18" s="17">
        <v>192.6</v>
      </c>
      <c r="G18" s="17">
        <v>0.0</v>
      </c>
      <c r="H18" s="17">
        <v>195.65</v>
      </c>
      <c r="I18" s="17">
        <v>191.65</v>
      </c>
      <c r="J18" s="18" t="s">
        <v>33</v>
      </c>
      <c r="K18" s="18" t="s">
        <v>132</v>
      </c>
      <c r="L18" s="18">
        <v>191.65</v>
      </c>
      <c r="M18" s="17">
        <f t="shared" si="3"/>
        <v>0</v>
      </c>
      <c r="N18" s="18" t="s">
        <v>60</v>
      </c>
      <c r="O18" s="18" t="s">
        <v>145</v>
      </c>
      <c r="P18" s="18" t="s">
        <v>107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146</v>
      </c>
      <c r="B19" s="3" t="s">
        <v>147</v>
      </c>
      <c r="C19" s="3" t="s">
        <v>148</v>
      </c>
      <c r="D19" s="3">
        <v>3.0</v>
      </c>
      <c r="E19" s="10">
        <v>432.6</v>
      </c>
      <c r="F19" s="10">
        <v>432.6</v>
      </c>
      <c r="G19" s="10">
        <v>0.0</v>
      </c>
      <c r="H19" s="10">
        <v>480.15</v>
      </c>
      <c r="I19" s="10">
        <v>408.85</v>
      </c>
      <c r="J19" s="3" t="s">
        <v>33</v>
      </c>
      <c r="K19" s="3"/>
      <c r="L19" s="3"/>
      <c r="M19" s="10">
        <f t="shared" ref="M19:M20" si="4">IF(OR(N19="WIN", N19="LOSS"), (L19-E19)*D19, 0)</f>
        <v>0</v>
      </c>
      <c r="N19" s="3" t="s">
        <v>72</v>
      </c>
      <c r="O19" s="3" t="s">
        <v>151</v>
      </c>
      <c r="P19" s="3" t="s">
        <v>47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152</v>
      </c>
      <c r="B20" s="3" t="s">
        <v>153</v>
      </c>
      <c r="C20" s="3" t="s">
        <v>148</v>
      </c>
      <c r="D20" s="3">
        <v>10.0</v>
      </c>
      <c r="E20" s="10">
        <v>82.74</v>
      </c>
      <c r="F20" s="10">
        <v>82.74</v>
      </c>
      <c r="G20" s="10">
        <v>0.0</v>
      </c>
      <c r="H20" s="10">
        <v>99.31</v>
      </c>
      <c r="I20" s="10">
        <v>74.45</v>
      </c>
      <c r="J20" s="3" t="s">
        <v>33</v>
      </c>
      <c r="K20" s="3"/>
      <c r="L20" s="3"/>
      <c r="M20" s="10">
        <f t="shared" si="4"/>
        <v>0</v>
      </c>
      <c r="N20" s="3" t="s">
        <v>72</v>
      </c>
      <c r="O20" s="3" t="s">
        <v>154</v>
      </c>
      <c r="P20" s="3" t="s">
        <v>47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>
        <f t="shared" ref="M21:M495" si="5">IF(OR(N26="WIN", N26="LOSS"), (L26-E26)*D26, 0)</f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>
        <f t="shared" si="5"/>
        <v>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>
        <f t="shared" si="5"/>
        <v>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>
        <f t="shared" si="5"/>
        <v>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>
        <f t="shared" si="5"/>
        <v>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>
        <f t="shared" si="5"/>
        <v>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>
        <f t="shared" si="5"/>
        <v>0</v>
      </c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>
        <f t="shared" si="5"/>
        <v>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>
        <f t="shared" si="5"/>
        <v>0</v>
      </c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>
        <f t="shared" si="5"/>
        <v>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>
        <f t="shared" si="5"/>
        <v>0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>
        <f t="shared" si="5"/>
        <v>0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>
        <f t="shared" si="5"/>
        <v>0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>
        <f t="shared" si="5"/>
        <v>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>
        <f t="shared" si="5"/>
        <v>0</v>
      </c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>
        <f t="shared" si="5"/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>
        <f t="shared" si="5"/>
        <v>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>
        <f t="shared" si="5"/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>
        <f t="shared" si="5"/>
        <v>0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>
        <f t="shared" si="5"/>
        <v>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>
        <f t="shared" si="5"/>
        <v>0</v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>
        <f t="shared" si="5"/>
        <v>0</v>
      </c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>
        <f t="shared" si="5"/>
        <v>0</v>
      </c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>
        <f t="shared" si="5"/>
        <v>0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>
        <f t="shared" si="5"/>
        <v>0</v>
      </c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>
        <f t="shared" si="5"/>
        <v>0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>
        <f t="shared" si="5"/>
        <v>0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>
        <f t="shared" si="5"/>
        <v>0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>
        <f t="shared" si="5"/>
        <v>0</v>
      </c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>
        <f t="shared" si="5"/>
        <v>0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>
        <f t="shared" si="5"/>
        <v>0</v>
      </c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>
        <f t="shared" si="5"/>
        <v>0</v>
      </c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>
        <f t="shared" si="5"/>
        <v>0</v>
      </c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>
        <f t="shared" si="5"/>
        <v>0</v>
      </c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>
        <f t="shared" si="5"/>
        <v>0</v>
      </c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>
        <f t="shared" si="5"/>
        <v>0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>
        <f t="shared" si="5"/>
        <v>0</v>
      </c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>
        <f t="shared" si="5"/>
        <v>0</v>
      </c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>
        <f t="shared" si="5"/>
        <v>0</v>
      </c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>
        <f t="shared" si="5"/>
        <v>0</v>
      </c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>
        <f t="shared" si="5"/>
        <v>0</v>
      </c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>
        <f t="shared" si="5"/>
        <v>0</v>
      </c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>
        <f t="shared" si="5"/>
        <v>0</v>
      </c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>
        <f t="shared" si="5"/>
        <v>0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>
        <f t="shared" si="5"/>
        <v>0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>
        <f t="shared" si="5"/>
        <v>0</v>
      </c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>
        <f t="shared" si="5"/>
        <v>0</v>
      </c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>
        <f t="shared" si="5"/>
        <v>0</v>
      </c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>
        <f t="shared" si="5"/>
        <v>0</v>
      </c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>
        <f t="shared" si="5"/>
        <v>0</v>
      </c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>
        <f t="shared" si="5"/>
        <v>0</v>
      </c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>
        <f t="shared" si="5"/>
        <v>0</v>
      </c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>
        <f t="shared" si="5"/>
        <v>0</v>
      </c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>
        <f t="shared" si="5"/>
        <v>0</v>
      </c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>
        <f t="shared" si="5"/>
        <v>0</v>
      </c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>
        <f t="shared" si="5"/>
        <v>0</v>
      </c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>
        <f t="shared" si="5"/>
        <v>0</v>
      </c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>
        <f t="shared" si="5"/>
        <v>0</v>
      </c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>
        <f t="shared" si="5"/>
        <v>0</v>
      </c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>
        <f t="shared" si="5"/>
        <v>0</v>
      </c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>
        <f t="shared" si="5"/>
        <v>0</v>
      </c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>
        <f t="shared" si="5"/>
        <v>0</v>
      </c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>
        <f t="shared" si="5"/>
        <v>0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>
        <f t="shared" si="5"/>
        <v>0</v>
      </c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>
        <f t="shared" si="5"/>
        <v>0</v>
      </c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>
        <f t="shared" si="5"/>
        <v>0</v>
      </c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>
        <f t="shared" si="5"/>
        <v>0</v>
      </c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>
        <f t="shared" si="5"/>
        <v>0</v>
      </c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>
        <f t="shared" si="5"/>
        <v>0</v>
      </c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>
        <f t="shared" si="5"/>
        <v>0</v>
      </c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>
        <f t="shared" si="5"/>
        <v>0</v>
      </c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>
        <f t="shared" si="5"/>
        <v>0</v>
      </c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>
        <f t="shared" si="5"/>
        <v>0</v>
      </c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>
        <f t="shared" si="5"/>
        <v>0</v>
      </c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>
        <f t="shared" si="5"/>
        <v>0</v>
      </c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>
        <f t="shared" si="5"/>
        <v>0</v>
      </c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>
        <f t="shared" si="5"/>
        <v>0</v>
      </c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>
        <f t="shared" si="5"/>
        <v>0</v>
      </c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>
        <f t="shared" si="5"/>
        <v>0</v>
      </c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>
        <f t="shared" si="5"/>
        <v>0</v>
      </c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>
        <f t="shared" si="5"/>
        <v>0</v>
      </c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>
        <f t="shared" si="5"/>
        <v>0</v>
      </c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>
        <f t="shared" si="5"/>
        <v>0</v>
      </c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>
        <f t="shared" si="5"/>
        <v>0</v>
      </c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>
        <f t="shared" si="5"/>
        <v>0</v>
      </c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>
        <f t="shared" si="5"/>
        <v>0</v>
      </c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>
        <f t="shared" si="5"/>
        <v>0</v>
      </c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>
        <f t="shared" si="5"/>
        <v>0</v>
      </c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>
        <f t="shared" si="5"/>
        <v>0</v>
      </c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>
        <f t="shared" si="5"/>
        <v>0</v>
      </c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>
        <f t="shared" si="5"/>
        <v>0</v>
      </c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>
        <f t="shared" si="5"/>
        <v>0</v>
      </c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>
        <f t="shared" si="5"/>
        <v>0</v>
      </c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>
        <f t="shared" si="5"/>
        <v>0</v>
      </c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>
        <f t="shared" si="5"/>
        <v>0</v>
      </c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>
        <f t="shared" si="5"/>
        <v>0</v>
      </c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>
        <f t="shared" si="5"/>
        <v>0</v>
      </c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>
        <f t="shared" si="5"/>
        <v>0</v>
      </c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>
        <f t="shared" si="5"/>
        <v>0</v>
      </c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>
        <f t="shared" si="5"/>
        <v>0</v>
      </c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>
        <f t="shared" si="5"/>
        <v>0</v>
      </c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>
        <f t="shared" si="5"/>
        <v>0</v>
      </c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>
        <f t="shared" si="5"/>
        <v>0</v>
      </c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>
        <f t="shared" si="5"/>
        <v>0</v>
      </c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>
        <f t="shared" si="5"/>
        <v>0</v>
      </c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>
        <f t="shared" si="5"/>
        <v>0</v>
      </c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>
        <f t="shared" si="5"/>
        <v>0</v>
      </c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>
        <f t="shared" si="5"/>
        <v>0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>
        <f t="shared" si="5"/>
        <v>0</v>
      </c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>
        <f t="shared" si="5"/>
        <v>0</v>
      </c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>
        <f t="shared" si="5"/>
        <v>0</v>
      </c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>
        <f t="shared" si="5"/>
        <v>0</v>
      </c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>
        <f t="shared" si="5"/>
        <v>0</v>
      </c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>
        <f t="shared" si="5"/>
        <v>0</v>
      </c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>
        <f t="shared" si="5"/>
        <v>0</v>
      </c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>
        <f t="shared" si="5"/>
        <v>0</v>
      </c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>
        <f t="shared" si="5"/>
        <v>0</v>
      </c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>
        <f t="shared" si="5"/>
        <v>0</v>
      </c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>
        <f t="shared" si="5"/>
        <v>0</v>
      </c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>
        <f t="shared" si="5"/>
        <v>0</v>
      </c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>
        <f t="shared" si="5"/>
        <v>0</v>
      </c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>
        <f t="shared" si="5"/>
        <v>0</v>
      </c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>
        <f t="shared" si="5"/>
        <v>0</v>
      </c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>
        <f t="shared" si="5"/>
        <v>0</v>
      </c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>
        <f t="shared" si="5"/>
        <v>0</v>
      </c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>
        <f t="shared" si="5"/>
        <v>0</v>
      </c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>
        <f t="shared" si="5"/>
        <v>0</v>
      </c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>
        <f t="shared" si="5"/>
        <v>0</v>
      </c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>
        <f t="shared" si="5"/>
        <v>0</v>
      </c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>
        <f t="shared" si="5"/>
        <v>0</v>
      </c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>
        <f t="shared" si="5"/>
        <v>0</v>
      </c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>
        <f t="shared" si="5"/>
        <v>0</v>
      </c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>
        <f t="shared" si="5"/>
        <v>0</v>
      </c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>
        <f t="shared" si="5"/>
        <v>0</v>
      </c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>
        <f t="shared" si="5"/>
        <v>0</v>
      </c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>
        <f t="shared" si="5"/>
        <v>0</v>
      </c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>
        <f t="shared" si="5"/>
        <v>0</v>
      </c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>
        <f t="shared" si="5"/>
        <v>0</v>
      </c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>
        <f t="shared" si="5"/>
        <v>0</v>
      </c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>
        <f t="shared" si="5"/>
        <v>0</v>
      </c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>
        <f t="shared" si="5"/>
        <v>0</v>
      </c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>
        <f t="shared" si="5"/>
        <v>0</v>
      </c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>
        <f t="shared" si="5"/>
        <v>0</v>
      </c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>
        <f t="shared" si="5"/>
        <v>0</v>
      </c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>
        <f t="shared" si="5"/>
        <v>0</v>
      </c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>
        <f t="shared" si="5"/>
        <v>0</v>
      </c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>
        <f t="shared" si="5"/>
        <v>0</v>
      </c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>
        <f t="shared" si="5"/>
        <v>0</v>
      </c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>
        <f t="shared" si="5"/>
        <v>0</v>
      </c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>
        <f t="shared" si="5"/>
        <v>0</v>
      </c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>
        <f t="shared" si="5"/>
        <v>0</v>
      </c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>
        <f t="shared" si="5"/>
        <v>0</v>
      </c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>
        <f t="shared" si="5"/>
        <v>0</v>
      </c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>
        <f t="shared" si="5"/>
        <v>0</v>
      </c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>
        <f t="shared" si="5"/>
        <v>0</v>
      </c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>
        <f t="shared" si="5"/>
        <v>0</v>
      </c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>
        <f t="shared" si="5"/>
        <v>0</v>
      </c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>
        <f t="shared" si="5"/>
        <v>0</v>
      </c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>
        <f t="shared" si="5"/>
        <v>0</v>
      </c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>
        <f t="shared" si="5"/>
        <v>0</v>
      </c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>
        <f t="shared" si="5"/>
        <v>0</v>
      </c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>
        <f t="shared" si="5"/>
        <v>0</v>
      </c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>
        <f t="shared" si="5"/>
        <v>0</v>
      </c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>
        <f t="shared" si="5"/>
        <v>0</v>
      </c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>
        <f t="shared" si="5"/>
        <v>0</v>
      </c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>
        <f t="shared" si="5"/>
        <v>0</v>
      </c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>
        <f t="shared" si="5"/>
        <v>0</v>
      </c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>
        <f t="shared" si="5"/>
        <v>0</v>
      </c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>
        <f t="shared" si="5"/>
        <v>0</v>
      </c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>
        <f t="shared" si="5"/>
        <v>0</v>
      </c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>
        <f t="shared" si="5"/>
        <v>0</v>
      </c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>
        <f t="shared" si="5"/>
        <v>0</v>
      </c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>
        <f t="shared" si="5"/>
        <v>0</v>
      </c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>
        <f t="shared" si="5"/>
        <v>0</v>
      </c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>
        <f t="shared" si="5"/>
        <v>0</v>
      </c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>
        <f t="shared" si="5"/>
        <v>0</v>
      </c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>
        <f t="shared" si="5"/>
        <v>0</v>
      </c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>
        <f t="shared" si="5"/>
        <v>0</v>
      </c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>
        <f t="shared" si="5"/>
        <v>0</v>
      </c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>
        <f t="shared" si="5"/>
        <v>0</v>
      </c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>
        <f t="shared" si="5"/>
        <v>0</v>
      </c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>
        <f t="shared" si="5"/>
        <v>0</v>
      </c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>
        <f t="shared" si="5"/>
        <v>0</v>
      </c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>
        <f t="shared" si="5"/>
        <v>0</v>
      </c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>
        <f t="shared" si="5"/>
        <v>0</v>
      </c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>
        <f t="shared" si="5"/>
        <v>0</v>
      </c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>
        <f t="shared" si="5"/>
        <v>0</v>
      </c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>
        <f t="shared" si="5"/>
        <v>0</v>
      </c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>
        <f t="shared" si="5"/>
        <v>0</v>
      </c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>
        <f t="shared" si="5"/>
        <v>0</v>
      </c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>
        <f t="shared" si="5"/>
        <v>0</v>
      </c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>
        <f t="shared" si="5"/>
        <v>0</v>
      </c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>
        <f t="shared" si="5"/>
        <v>0</v>
      </c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>
        <f t="shared" si="5"/>
        <v>0</v>
      </c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>
        <f t="shared" si="5"/>
        <v>0</v>
      </c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>
        <f t="shared" si="5"/>
        <v>0</v>
      </c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>
        <f t="shared" si="5"/>
        <v>0</v>
      </c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>
        <f t="shared" si="5"/>
        <v>0</v>
      </c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>
        <f t="shared" si="5"/>
        <v>0</v>
      </c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>
        <f t="shared" si="5"/>
        <v>0</v>
      </c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>
        <f t="shared" si="5"/>
        <v>0</v>
      </c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>
        <f t="shared" si="5"/>
        <v>0</v>
      </c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>
        <f t="shared" si="5"/>
        <v>0</v>
      </c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>
        <f t="shared" si="5"/>
        <v>0</v>
      </c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>
        <f t="shared" si="5"/>
        <v>0</v>
      </c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>
        <f t="shared" si="5"/>
        <v>0</v>
      </c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>
        <f t="shared" si="5"/>
        <v>0</v>
      </c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>
        <f t="shared" si="5"/>
        <v>0</v>
      </c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>
        <f t="shared" si="5"/>
        <v>0</v>
      </c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>
        <f t="shared" si="5"/>
        <v>0</v>
      </c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>
        <f t="shared" si="5"/>
        <v>0</v>
      </c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>
        <f t="shared" si="5"/>
        <v>0</v>
      </c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>
        <f t="shared" si="5"/>
        <v>0</v>
      </c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>
        <f t="shared" si="5"/>
        <v>0</v>
      </c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>
        <f t="shared" si="5"/>
        <v>0</v>
      </c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>
        <f t="shared" si="5"/>
        <v>0</v>
      </c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>
        <f t="shared" si="5"/>
        <v>0</v>
      </c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>
        <f t="shared" si="5"/>
        <v>0</v>
      </c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>
        <f t="shared" si="5"/>
        <v>0</v>
      </c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>
        <f t="shared" si="5"/>
        <v>0</v>
      </c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>
        <f t="shared" si="5"/>
        <v>0</v>
      </c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>
        <f t="shared" si="5"/>
        <v>0</v>
      </c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>
        <f t="shared" si="5"/>
        <v>0</v>
      </c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>
        <f t="shared" si="5"/>
        <v>0</v>
      </c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>
        <f t="shared" si="5"/>
        <v>0</v>
      </c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>
        <f t="shared" si="5"/>
        <v>0</v>
      </c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>
        <f t="shared" si="5"/>
        <v>0</v>
      </c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>
        <f t="shared" si="5"/>
        <v>0</v>
      </c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>
        <f t="shared" si="5"/>
        <v>0</v>
      </c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>
        <f t="shared" si="5"/>
        <v>0</v>
      </c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>
        <f t="shared" si="5"/>
        <v>0</v>
      </c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>
        <f t="shared" si="5"/>
        <v>0</v>
      </c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f t="shared" si="5"/>
        <v>0</v>
      </c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>
        <f t="shared" si="5"/>
        <v>0</v>
      </c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>
        <f t="shared" si="5"/>
        <v>0</v>
      </c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>
        <f t="shared" si="5"/>
        <v>0</v>
      </c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>
        <f t="shared" si="5"/>
        <v>0</v>
      </c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>
        <f t="shared" si="5"/>
        <v>0</v>
      </c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>
        <f t="shared" si="5"/>
        <v>0</v>
      </c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>
        <f t="shared" si="5"/>
        <v>0</v>
      </c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>
        <f t="shared" si="5"/>
        <v>0</v>
      </c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>
        <f t="shared" si="5"/>
        <v>0</v>
      </c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>
        <f t="shared" si="5"/>
        <v>0</v>
      </c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>
        <f t="shared" si="5"/>
        <v>0</v>
      </c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>
        <f t="shared" si="5"/>
        <v>0</v>
      </c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>
        <f t="shared" si="5"/>
        <v>0</v>
      </c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>
        <f t="shared" si="5"/>
        <v>0</v>
      </c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>
        <f t="shared" si="5"/>
        <v>0</v>
      </c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>
        <f t="shared" si="5"/>
        <v>0</v>
      </c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>
        <f t="shared" si="5"/>
        <v>0</v>
      </c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>
        <f t="shared" si="5"/>
        <v>0</v>
      </c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>
        <f t="shared" si="5"/>
        <v>0</v>
      </c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>
        <f t="shared" si="5"/>
        <v>0</v>
      </c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>
        <f t="shared" si="5"/>
        <v>0</v>
      </c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>
        <f t="shared" si="5"/>
        <v>0</v>
      </c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>
        <f t="shared" si="5"/>
        <v>0</v>
      </c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>
        <f t="shared" si="5"/>
        <v>0</v>
      </c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>
        <f t="shared" si="5"/>
        <v>0</v>
      </c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>
        <f t="shared" si="5"/>
        <v>0</v>
      </c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>
        <f t="shared" si="5"/>
        <v>0</v>
      </c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>
        <f t="shared" si="5"/>
        <v>0</v>
      </c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>
        <f t="shared" si="5"/>
        <v>0</v>
      </c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f t="shared" si="5"/>
        <v>0</v>
      </c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>
        <f t="shared" si="5"/>
        <v>0</v>
      </c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>
        <f t="shared" si="5"/>
        <v>0</v>
      </c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>
        <f t="shared" si="5"/>
        <v>0</v>
      </c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>
        <f t="shared" si="5"/>
        <v>0</v>
      </c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>
        <f t="shared" si="5"/>
        <v>0</v>
      </c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>
        <f t="shared" si="5"/>
        <v>0</v>
      </c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>
        <f t="shared" si="5"/>
        <v>0</v>
      </c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>
        <f t="shared" si="5"/>
        <v>0</v>
      </c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>
        <f t="shared" si="5"/>
        <v>0</v>
      </c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>
        <f t="shared" si="5"/>
        <v>0</v>
      </c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>
        <f t="shared" si="5"/>
        <v>0</v>
      </c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>
        <f t="shared" si="5"/>
        <v>0</v>
      </c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>
        <f t="shared" si="5"/>
        <v>0</v>
      </c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>
        <f t="shared" si="5"/>
        <v>0</v>
      </c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>
        <f t="shared" si="5"/>
        <v>0</v>
      </c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>
        <f t="shared" si="5"/>
        <v>0</v>
      </c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>
        <f t="shared" si="5"/>
        <v>0</v>
      </c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>
        <f t="shared" si="5"/>
        <v>0</v>
      </c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>
        <f t="shared" si="5"/>
        <v>0</v>
      </c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>
        <f t="shared" si="5"/>
        <v>0</v>
      </c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>
        <f t="shared" si="5"/>
        <v>0</v>
      </c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>
        <f t="shared" si="5"/>
        <v>0</v>
      </c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>
        <f t="shared" si="5"/>
        <v>0</v>
      </c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>
        <f t="shared" si="5"/>
        <v>0</v>
      </c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>
        <f t="shared" si="5"/>
        <v>0</v>
      </c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>
        <f t="shared" si="5"/>
        <v>0</v>
      </c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>
        <f t="shared" si="5"/>
        <v>0</v>
      </c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>
        <f t="shared" si="5"/>
        <v>0</v>
      </c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>
        <f t="shared" si="5"/>
        <v>0</v>
      </c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>
        <f t="shared" si="5"/>
        <v>0</v>
      </c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>
        <f t="shared" si="5"/>
        <v>0</v>
      </c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>
        <f t="shared" si="5"/>
        <v>0</v>
      </c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>
        <f t="shared" si="5"/>
        <v>0</v>
      </c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>
        <f t="shared" si="5"/>
        <v>0</v>
      </c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>
        <f t="shared" si="5"/>
        <v>0</v>
      </c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>
        <f t="shared" si="5"/>
        <v>0</v>
      </c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>
        <f t="shared" si="5"/>
        <v>0</v>
      </c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>
        <f t="shared" si="5"/>
        <v>0</v>
      </c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>
        <f t="shared" si="5"/>
        <v>0</v>
      </c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>
        <f t="shared" si="5"/>
        <v>0</v>
      </c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>
        <f t="shared" si="5"/>
        <v>0</v>
      </c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>
        <f t="shared" si="5"/>
        <v>0</v>
      </c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>
        <f t="shared" si="5"/>
        <v>0</v>
      </c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>
        <f t="shared" si="5"/>
        <v>0</v>
      </c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>
        <f t="shared" si="5"/>
        <v>0</v>
      </c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>
        <f t="shared" si="5"/>
        <v>0</v>
      </c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>
        <f t="shared" si="5"/>
        <v>0</v>
      </c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>
        <f t="shared" si="5"/>
        <v>0</v>
      </c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>
        <f t="shared" si="5"/>
        <v>0</v>
      </c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>
        <f t="shared" si="5"/>
        <v>0</v>
      </c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>
        <f t="shared" si="5"/>
        <v>0</v>
      </c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>
        <f t="shared" si="5"/>
        <v>0</v>
      </c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>
        <f t="shared" si="5"/>
        <v>0</v>
      </c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>
        <f t="shared" si="5"/>
        <v>0</v>
      </c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>
        <f t="shared" si="5"/>
        <v>0</v>
      </c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>
        <f t="shared" si="5"/>
        <v>0</v>
      </c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>
        <f t="shared" si="5"/>
        <v>0</v>
      </c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>
        <f t="shared" si="5"/>
        <v>0</v>
      </c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>
        <f t="shared" si="5"/>
        <v>0</v>
      </c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>
        <f t="shared" si="5"/>
        <v>0</v>
      </c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>
        <f t="shared" si="5"/>
        <v>0</v>
      </c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>
        <f t="shared" si="5"/>
        <v>0</v>
      </c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>
        <f t="shared" si="5"/>
        <v>0</v>
      </c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>
        <f t="shared" si="5"/>
        <v>0</v>
      </c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>
        <f t="shared" si="5"/>
        <v>0</v>
      </c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>
        <f t="shared" si="5"/>
        <v>0</v>
      </c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>
        <f t="shared" si="5"/>
        <v>0</v>
      </c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>
        <f t="shared" si="5"/>
        <v>0</v>
      </c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>
        <f t="shared" si="5"/>
        <v>0</v>
      </c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>
        <f t="shared" si="5"/>
        <v>0</v>
      </c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>
        <f t="shared" si="5"/>
        <v>0</v>
      </c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>
        <f t="shared" si="5"/>
        <v>0</v>
      </c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>
        <f t="shared" si="5"/>
        <v>0</v>
      </c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>
        <f t="shared" si="5"/>
        <v>0</v>
      </c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>
        <f t="shared" si="5"/>
        <v>0</v>
      </c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>
        <f t="shared" si="5"/>
        <v>0</v>
      </c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>
        <f t="shared" si="5"/>
        <v>0</v>
      </c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>
        <f t="shared" si="5"/>
        <v>0</v>
      </c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>
        <f t="shared" si="5"/>
        <v>0</v>
      </c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>
        <f t="shared" si="5"/>
        <v>0</v>
      </c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>
        <f t="shared" si="5"/>
        <v>0</v>
      </c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>
        <f t="shared" si="5"/>
        <v>0</v>
      </c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>
        <f t="shared" si="5"/>
        <v>0</v>
      </c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>
        <f t="shared" si="5"/>
        <v>0</v>
      </c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>
        <f t="shared" si="5"/>
        <v>0</v>
      </c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>
        <f t="shared" si="5"/>
        <v>0</v>
      </c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>
        <f t="shared" si="5"/>
        <v>0</v>
      </c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>
        <f t="shared" si="5"/>
        <v>0</v>
      </c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>
        <f t="shared" si="5"/>
        <v>0</v>
      </c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>
        <f t="shared" si="5"/>
        <v>0</v>
      </c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>
        <f t="shared" si="5"/>
        <v>0</v>
      </c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>
        <f t="shared" si="5"/>
        <v>0</v>
      </c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>
        <f t="shared" si="5"/>
        <v>0</v>
      </c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>
        <f t="shared" si="5"/>
        <v>0</v>
      </c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>
        <f t="shared" si="5"/>
        <v>0</v>
      </c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>
        <f t="shared" si="5"/>
        <v>0</v>
      </c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>
        <f t="shared" si="5"/>
        <v>0</v>
      </c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>
        <f t="shared" si="5"/>
        <v>0</v>
      </c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>
        <f t="shared" si="5"/>
        <v>0</v>
      </c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>
        <f t="shared" si="5"/>
        <v>0</v>
      </c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>
        <f t="shared" si="5"/>
        <v>0</v>
      </c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>
        <f t="shared" si="5"/>
        <v>0</v>
      </c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>
        <f t="shared" si="5"/>
        <v>0</v>
      </c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>
        <f t="shared" si="5"/>
        <v>0</v>
      </c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>
        <f t="shared" si="5"/>
        <v>0</v>
      </c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>
        <f t="shared" si="5"/>
        <v>0</v>
      </c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>
        <f t="shared" si="5"/>
        <v>0</v>
      </c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>
        <f t="shared" si="5"/>
        <v>0</v>
      </c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>
        <f t="shared" si="5"/>
        <v>0</v>
      </c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>
        <f t="shared" si="5"/>
        <v>0</v>
      </c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>
        <f t="shared" si="5"/>
        <v>0</v>
      </c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>
        <f t="shared" si="5"/>
        <v>0</v>
      </c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>
        <f t="shared" si="5"/>
        <v>0</v>
      </c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>
        <f t="shared" si="5"/>
        <v>0</v>
      </c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>
        <f t="shared" si="5"/>
        <v>0</v>
      </c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>
        <f t="shared" si="5"/>
        <v>0</v>
      </c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>
        <f t="shared" si="5"/>
        <v>0</v>
      </c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>
        <f t="shared" si="5"/>
        <v>0</v>
      </c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>
        <f t="shared" si="5"/>
        <v>0</v>
      </c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>
        <f t="shared" si="5"/>
        <v>0</v>
      </c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>
        <f t="shared" si="5"/>
        <v>0</v>
      </c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>
        <f t="shared" si="5"/>
        <v>0</v>
      </c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>
        <f t="shared" si="5"/>
        <v>0</v>
      </c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>
        <f t="shared" si="5"/>
        <v>0</v>
      </c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>
        <f t="shared" si="5"/>
        <v>0</v>
      </c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>
        <f t="shared" si="5"/>
        <v>0</v>
      </c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>
        <f t="shared" si="5"/>
        <v>0</v>
      </c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>
        <f t="shared" si="5"/>
        <v>0</v>
      </c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>
        <f t="shared" si="5"/>
        <v>0</v>
      </c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>
        <f t="shared" si="5"/>
        <v>0</v>
      </c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>
        <f t="shared" si="5"/>
        <v>0</v>
      </c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>
        <f t="shared" si="5"/>
        <v>0</v>
      </c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>
        <f t="shared" si="5"/>
        <v>0</v>
      </c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>
        <f t="shared" si="5"/>
        <v>0</v>
      </c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>
        <f t="shared" si="5"/>
        <v>0</v>
      </c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>
        <f t="shared" si="5"/>
        <v>0</v>
      </c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>
        <f t="shared" si="5"/>
        <v>0</v>
      </c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>
        <f t="shared" si="5"/>
        <v>0</v>
      </c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>
        <f t="shared" si="5"/>
        <v>0</v>
      </c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>
        <f t="shared" si="5"/>
        <v>0</v>
      </c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>
        <f t="shared" si="5"/>
        <v>0</v>
      </c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>
        <f t="shared" si="5"/>
        <v>0</v>
      </c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>
        <f t="shared" si="5"/>
        <v>0</v>
      </c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>
        <f t="shared" si="5"/>
        <v>0</v>
      </c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>
        <f t="shared" si="5"/>
        <v>0</v>
      </c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>
        <f t="shared" si="5"/>
        <v>0</v>
      </c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>
        <f t="shared" si="5"/>
        <v>0</v>
      </c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>
        <f t="shared" si="5"/>
        <v>0</v>
      </c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>
        <f t="shared" si="5"/>
        <v>0</v>
      </c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>
        <f t="shared" si="5"/>
        <v>0</v>
      </c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>
        <f t="shared" si="5"/>
        <v>0</v>
      </c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>
        <f t="shared" si="5"/>
        <v>0</v>
      </c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>
        <f t="shared" si="5"/>
        <v>0</v>
      </c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>
        <f t="shared" si="5"/>
        <v>0</v>
      </c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>
        <f t="shared" si="5"/>
        <v>0</v>
      </c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>
        <f t="shared" si="5"/>
        <v>0</v>
      </c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>
        <f t="shared" si="5"/>
        <v>0</v>
      </c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>
        <f t="shared" si="5"/>
        <v>0</v>
      </c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>
        <f t="shared" si="5"/>
        <v>0</v>
      </c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>
        <f t="shared" si="5"/>
        <v>0</v>
      </c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>
        <f t="shared" si="5"/>
        <v>0</v>
      </c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>
        <f t="shared" si="5"/>
        <v>0</v>
      </c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>
        <f t="shared" si="5"/>
        <v>0</v>
      </c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>
        <f t="shared" si="5"/>
        <v>0</v>
      </c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>
        <f t="shared" si="5"/>
        <v>0</v>
      </c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>
        <f t="shared" si="5"/>
        <v>0</v>
      </c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>
        <f t="shared" si="5"/>
        <v>0</v>
      </c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>
        <f t="shared" si="5"/>
        <v>0</v>
      </c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>
        <f t="shared" si="5"/>
        <v>0</v>
      </c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>
        <f t="shared" si="5"/>
        <v>0</v>
      </c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>
        <f t="shared" si="5"/>
        <v>0</v>
      </c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>
        <f t="shared" si="5"/>
        <v>0</v>
      </c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>
        <f t="shared" si="5"/>
        <v>0</v>
      </c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>
        <f t="shared" si="5"/>
        <v>0</v>
      </c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>
        <f t="shared" si="5"/>
        <v>0</v>
      </c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>
        <f t="shared" si="5"/>
        <v>0</v>
      </c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>
        <f t="shared" si="5"/>
        <v>0</v>
      </c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>
        <f t="shared" si="5"/>
        <v>0</v>
      </c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>
        <f t="shared" si="5"/>
        <v>0</v>
      </c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>
        <f t="shared" si="5"/>
        <v>0</v>
      </c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>
        <f t="shared" si="5"/>
        <v>0</v>
      </c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>
        <f t="shared" si="5"/>
        <v>0</v>
      </c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>
        <f t="shared" si="5"/>
        <v>0</v>
      </c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>
        <f t="shared" si="5"/>
        <v>0</v>
      </c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>
        <f t="shared" si="5"/>
        <v>0</v>
      </c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>
        <f t="shared" si="5"/>
        <v>0</v>
      </c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>
        <f t="shared" si="5"/>
        <v>0</v>
      </c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>
        <f t="shared" si="5"/>
        <v>0</v>
      </c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>
        <f t="shared" si="5"/>
        <v>0</v>
      </c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>
        <f t="shared" si="5"/>
        <v>0</v>
      </c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>
        <f t="shared" si="5"/>
        <v>0</v>
      </c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>
        <f t="shared" si="5"/>
        <v>0</v>
      </c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>
        <f t="shared" si="5"/>
        <v>0</v>
      </c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>
        <f t="shared" si="5"/>
        <v>0</v>
      </c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>
        <f t="shared" si="5"/>
        <v>0</v>
      </c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>
        <f t="shared" si="5"/>
        <v>0</v>
      </c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>
        <f t="shared" si="5"/>
        <v>0</v>
      </c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>
        <f t="shared" si="5"/>
        <v>0</v>
      </c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>
        <f t="shared" si="5"/>
        <v>0</v>
      </c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>
        <f t="shared" si="5"/>
        <v>0</v>
      </c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>
        <f t="shared" si="5"/>
        <v>0</v>
      </c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>
        <f t="shared" si="5"/>
        <v>0</v>
      </c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>
        <f t="shared" si="5"/>
        <v>0</v>
      </c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>
        <f t="shared" si="5"/>
        <v>0</v>
      </c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>
        <f t="shared" si="5"/>
        <v>0</v>
      </c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>
        <f t="shared" si="5"/>
        <v>0</v>
      </c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>
        <f t="shared" si="5"/>
        <v>0</v>
      </c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>
        <f t="shared" si="5"/>
        <v>0</v>
      </c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>
        <f t="shared" si="5"/>
        <v>0</v>
      </c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>
        <f t="shared" si="5"/>
        <v>0</v>
      </c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>
        <f t="shared" si="5"/>
        <v>0</v>
      </c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>
        <f t="shared" si="5"/>
        <v>0</v>
      </c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4.0"/>
    <col customWidth="1" min="3" max="3" width="25.0"/>
    <col customWidth="1" min="4" max="7" width="18.0"/>
    <col customWidth="1" min="8" max="8" width="22.0"/>
    <col customWidth="1" min="9" max="9" width="18.0"/>
    <col customWidth="1" min="10" max="10" width="22.0"/>
    <col customWidth="1" min="11" max="11" width="24.0"/>
    <col customWidth="1" min="12" max="12" width="30.0"/>
  </cols>
  <sheetData>
    <row r="1" ht="27.75" customHeight="1">
      <c r="A1" s="2" t="s">
        <v>2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11</v>
      </c>
      <c r="K1" s="2" t="s">
        <v>18</v>
      </c>
      <c r="L1" s="2" t="s">
        <v>20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7" t="s">
        <v>26</v>
      </c>
      <c r="B2" s="7" t="s">
        <v>28</v>
      </c>
      <c r="C2" s="7" t="s">
        <v>29</v>
      </c>
      <c r="D2" s="7" t="s">
        <v>30</v>
      </c>
      <c r="E2" s="10">
        <v>1267.400024414062</v>
      </c>
      <c r="F2" s="10">
        <v>1217.533463494685</v>
      </c>
      <c r="G2" s="10">
        <v>1367.133146252818</v>
      </c>
      <c r="H2" s="7" t="s">
        <v>33</v>
      </c>
      <c r="I2" s="7">
        <v>1.0</v>
      </c>
      <c r="J2" s="10">
        <v>1267.400024414062</v>
      </c>
      <c r="K2" s="7" t="s">
        <v>34</v>
      </c>
      <c r="L2" s="7" t="s">
        <v>35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7" t="s">
        <v>26</v>
      </c>
      <c r="B3" s="7" t="s">
        <v>39</v>
      </c>
      <c r="C3" s="7" t="s">
        <v>40</v>
      </c>
      <c r="D3" s="7" t="s">
        <v>30</v>
      </c>
      <c r="E3" s="10">
        <v>2514.800048828125</v>
      </c>
      <c r="F3" s="10">
        <v>2414.086713938525</v>
      </c>
      <c r="G3" s="10">
        <v>2716.226718607325</v>
      </c>
      <c r="H3" s="7" t="s">
        <v>33</v>
      </c>
      <c r="I3" s="7">
        <v>0.0</v>
      </c>
      <c r="J3" s="10">
        <v>0.0</v>
      </c>
      <c r="K3" s="7" t="s">
        <v>34</v>
      </c>
      <c r="L3" s="7" t="s">
        <v>35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7" t="s">
        <v>26</v>
      </c>
      <c r="B4" s="7" t="s">
        <v>44</v>
      </c>
      <c r="C4" s="7" t="s">
        <v>46</v>
      </c>
      <c r="D4" s="7" t="s">
        <v>48</v>
      </c>
      <c r="E4" s="10">
        <v>12094.0</v>
      </c>
      <c r="F4" s="10">
        <v>11658.42857142857</v>
      </c>
      <c r="G4" s="10">
        <v>12965.14285714286</v>
      </c>
      <c r="H4" s="7" t="s">
        <v>33</v>
      </c>
      <c r="I4" s="7">
        <v>0.0</v>
      </c>
      <c r="J4" s="10">
        <v>0.0</v>
      </c>
      <c r="K4" s="7" t="s">
        <v>34</v>
      </c>
      <c r="L4" s="7" t="s">
        <v>35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7" t="s">
        <v>26</v>
      </c>
      <c r="B5" s="7" t="s">
        <v>50</v>
      </c>
      <c r="C5" s="7" t="s">
        <v>52</v>
      </c>
      <c r="D5" s="7" t="s">
        <v>48</v>
      </c>
      <c r="E5" s="10">
        <v>7882.0</v>
      </c>
      <c r="F5" s="10">
        <v>7455.142857142857</v>
      </c>
      <c r="G5" s="10">
        <v>8735.714285714286</v>
      </c>
      <c r="H5" s="7" t="s">
        <v>33</v>
      </c>
      <c r="I5" s="7">
        <v>0.0</v>
      </c>
      <c r="J5" s="10">
        <v>0.0</v>
      </c>
      <c r="K5" s="7" t="s">
        <v>34</v>
      </c>
      <c r="L5" s="7" t="s">
        <v>35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7" t="s">
        <v>26</v>
      </c>
      <c r="B6" s="7" t="s">
        <v>54</v>
      </c>
      <c r="C6" s="7" t="s">
        <v>55</v>
      </c>
      <c r="D6" s="7" t="s">
        <v>48</v>
      </c>
      <c r="E6" s="10">
        <v>1470.0</v>
      </c>
      <c r="F6" s="10">
        <v>1391.314226422991</v>
      </c>
      <c r="G6" s="10">
        <v>1627.371547154018</v>
      </c>
      <c r="H6" s="7" t="s">
        <v>33</v>
      </c>
      <c r="I6" s="7">
        <v>1.0</v>
      </c>
      <c r="J6" s="10">
        <v>1470.0</v>
      </c>
      <c r="K6" s="7" t="s">
        <v>34</v>
      </c>
      <c r="L6" s="7" t="s">
        <v>35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59</v>
      </c>
      <c r="B7" s="7" t="s">
        <v>28</v>
      </c>
      <c r="C7" s="7" t="s">
        <v>29</v>
      </c>
      <c r="D7" s="7" t="s">
        <v>30</v>
      </c>
      <c r="E7" s="10">
        <v>1267.4</v>
      </c>
      <c r="F7" s="10">
        <v>1219.23</v>
      </c>
      <c r="G7" s="10">
        <v>1363.73</v>
      </c>
      <c r="H7" s="7" t="s">
        <v>33</v>
      </c>
      <c r="I7" s="7">
        <v>1.0</v>
      </c>
      <c r="J7" s="10">
        <v>1267.4</v>
      </c>
      <c r="K7" s="7" t="s">
        <v>34</v>
      </c>
      <c r="L7" s="7" t="s">
        <v>61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7" t="s">
        <v>59</v>
      </c>
      <c r="B8" s="7" t="s">
        <v>62</v>
      </c>
      <c r="C8" s="7" t="s">
        <v>68</v>
      </c>
      <c r="D8" s="7" t="s">
        <v>69</v>
      </c>
      <c r="E8" s="10">
        <v>732.75</v>
      </c>
      <c r="F8" s="10">
        <v>703.5</v>
      </c>
      <c r="G8" s="10">
        <v>797.86</v>
      </c>
      <c r="H8" s="7" t="s">
        <v>33</v>
      </c>
      <c r="I8" s="7">
        <v>2.0</v>
      </c>
      <c r="J8" s="10">
        <v>1465.5</v>
      </c>
      <c r="K8" s="7" t="s">
        <v>34</v>
      </c>
      <c r="L8" s="7" t="s">
        <v>61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7" t="s">
        <v>59</v>
      </c>
      <c r="B9" s="7" t="s">
        <v>39</v>
      </c>
      <c r="C9" s="7" t="s">
        <v>40</v>
      </c>
      <c r="D9" s="7" t="s">
        <v>30</v>
      </c>
      <c r="E9" s="10">
        <v>2514.8</v>
      </c>
      <c r="F9" s="10">
        <v>2417.09</v>
      </c>
      <c r="G9" s="10">
        <v>2710.23</v>
      </c>
      <c r="H9" s="7" t="s">
        <v>33</v>
      </c>
      <c r="I9" s="7">
        <v>0.0</v>
      </c>
      <c r="J9" s="10">
        <v>0.0</v>
      </c>
      <c r="K9" s="7" t="s">
        <v>34</v>
      </c>
      <c r="L9" s="7" t="s">
        <v>61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7" t="s">
        <v>59</v>
      </c>
      <c r="B10" s="7" t="s">
        <v>77</v>
      </c>
      <c r="C10" s="7" t="s">
        <v>78</v>
      </c>
      <c r="D10" s="7" t="s">
        <v>79</v>
      </c>
      <c r="E10" s="10">
        <v>4581.7</v>
      </c>
      <c r="F10" s="10">
        <v>4414.33</v>
      </c>
      <c r="G10" s="10">
        <v>4916.44</v>
      </c>
      <c r="H10" s="7" t="s">
        <v>33</v>
      </c>
      <c r="I10" s="7">
        <v>0.0</v>
      </c>
      <c r="J10" s="10">
        <v>0.0</v>
      </c>
      <c r="K10" s="7" t="s">
        <v>34</v>
      </c>
      <c r="L10" s="7" t="s">
        <v>61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7" t="s">
        <v>59</v>
      </c>
      <c r="B11" s="7" t="s">
        <v>83</v>
      </c>
      <c r="C11" s="7" t="s">
        <v>84</v>
      </c>
      <c r="D11" s="7" t="s">
        <v>69</v>
      </c>
      <c r="E11" s="10">
        <v>27245.0</v>
      </c>
      <c r="F11" s="10">
        <v>26152.92</v>
      </c>
      <c r="G11" s="10">
        <v>29429.17</v>
      </c>
      <c r="H11" s="7" t="s">
        <v>33</v>
      </c>
      <c r="I11" s="7">
        <v>0.0</v>
      </c>
      <c r="J11" s="10">
        <v>0.0</v>
      </c>
      <c r="K11" s="7" t="s">
        <v>34</v>
      </c>
      <c r="L11" s="7" t="s">
        <v>61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 t="s">
        <v>76</v>
      </c>
      <c r="B12" s="3" t="s">
        <v>56</v>
      </c>
      <c r="C12" s="3" t="s">
        <v>91</v>
      </c>
      <c r="D12" s="3" t="s">
        <v>92</v>
      </c>
      <c r="E12" s="10">
        <v>1559.5</v>
      </c>
      <c r="F12" s="10">
        <v>1508.1</v>
      </c>
      <c r="G12" s="10">
        <v>1746.3</v>
      </c>
      <c r="H12" s="3" t="s">
        <v>33</v>
      </c>
      <c r="I12" s="3">
        <v>0.0</v>
      </c>
      <c r="J12" s="10">
        <v>0.0</v>
      </c>
      <c r="K12" s="3" t="s">
        <v>95</v>
      </c>
      <c r="L12" s="3" t="s">
        <v>97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100</v>
      </c>
      <c r="B13" s="3" t="s">
        <v>86</v>
      </c>
      <c r="C13" s="3" t="s">
        <v>87</v>
      </c>
      <c r="D13" s="3" t="s">
        <v>30</v>
      </c>
      <c r="E13" s="10">
        <v>521.35</v>
      </c>
      <c r="F13" s="10">
        <v>494.6</v>
      </c>
      <c r="G13" s="10">
        <v>574.85</v>
      </c>
      <c r="H13" s="3" t="s">
        <v>33</v>
      </c>
      <c r="I13" s="3">
        <v>1.0</v>
      </c>
      <c r="J13" s="10">
        <v>521.35</v>
      </c>
      <c r="K13" s="3" t="s">
        <v>95</v>
      </c>
      <c r="L13" s="3" t="s">
        <v>104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102</v>
      </c>
      <c r="B14" s="3" t="s">
        <v>101</v>
      </c>
      <c r="C14" s="3" t="s">
        <v>108</v>
      </c>
      <c r="D14" s="3" t="s">
        <v>110</v>
      </c>
      <c r="E14" s="10">
        <v>1530.0</v>
      </c>
      <c r="F14" s="10">
        <v>1520.11</v>
      </c>
      <c r="G14" s="10">
        <v>1549.77</v>
      </c>
      <c r="H14" s="3" t="s">
        <v>33</v>
      </c>
      <c r="I14" s="3">
        <v>1.0</v>
      </c>
      <c r="J14" s="10">
        <v>1530.0</v>
      </c>
      <c r="K14" s="3" t="s">
        <v>113</v>
      </c>
      <c r="L14" s="3" t="s">
        <v>114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102</v>
      </c>
      <c r="B15" s="3" t="s">
        <v>109</v>
      </c>
      <c r="C15" s="3" t="s">
        <v>119</v>
      </c>
      <c r="D15" s="3" t="s">
        <v>110</v>
      </c>
      <c r="E15" s="10">
        <v>1642.5</v>
      </c>
      <c r="F15" s="10">
        <v>1634.5</v>
      </c>
      <c r="G15" s="10">
        <v>1658.5</v>
      </c>
      <c r="H15" s="3" t="s">
        <v>33</v>
      </c>
      <c r="I15" s="3">
        <v>1.0</v>
      </c>
      <c r="J15" s="10">
        <v>1642.5</v>
      </c>
      <c r="K15" s="3" t="s">
        <v>113</v>
      </c>
      <c r="L15" s="3" t="s">
        <v>114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</row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6.0"/>
    <col customWidth="1" min="3" max="3" width="18.0"/>
    <col customWidth="1" min="4" max="4" width="40.0"/>
    <col customWidth="1" min="5" max="6" width="8.71"/>
  </cols>
  <sheetData>
    <row r="1">
      <c r="A1" s="53" t="s">
        <v>2</v>
      </c>
      <c r="B1" s="53" t="s">
        <v>205</v>
      </c>
      <c r="C1" s="53" t="s">
        <v>206</v>
      </c>
      <c r="D1" s="53" t="s">
        <v>20</v>
      </c>
      <c r="E1" s="3"/>
      <c r="F1" s="3"/>
    </row>
    <row r="2">
      <c r="A2" s="53" t="s">
        <v>207</v>
      </c>
      <c r="B2" s="53" t="s">
        <v>208</v>
      </c>
      <c r="C2" s="10">
        <v>10000.0</v>
      </c>
      <c r="D2" s="3"/>
      <c r="E2" s="3"/>
      <c r="F2" s="3"/>
    </row>
    <row r="3">
      <c r="A3" s="53" t="s">
        <v>59</v>
      </c>
      <c r="B3" s="53" t="s">
        <v>209</v>
      </c>
      <c r="C3" s="10">
        <v>1.76</v>
      </c>
      <c r="D3" s="53" t="s">
        <v>210</v>
      </c>
      <c r="E3" s="3"/>
      <c r="F3" s="3"/>
    </row>
    <row r="4">
      <c r="A4" s="53" t="s">
        <v>59</v>
      </c>
      <c r="B4" s="53" t="s">
        <v>209</v>
      </c>
      <c r="C4" s="10">
        <v>1.52</v>
      </c>
      <c r="D4" s="53" t="s">
        <v>211</v>
      </c>
      <c r="E4" s="3"/>
      <c r="F4" s="3"/>
    </row>
    <row r="5">
      <c r="A5" s="53" t="s">
        <v>212</v>
      </c>
      <c r="B5" s="53" t="s">
        <v>209</v>
      </c>
      <c r="C5" s="10">
        <v>181.62</v>
      </c>
      <c r="D5" s="53" t="s">
        <v>213</v>
      </c>
      <c r="E5" s="3"/>
      <c r="F5" s="3"/>
    </row>
    <row r="6">
      <c r="A6" s="53" t="s">
        <v>76</v>
      </c>
      <c r="B6" s="53" t="s">
        <v>209</v>
      </c>
      <c r="C6" s="10">
        <v>1.89</v>
      </c>
      <c r="D6" s="53" t="s">
        <v>214</v>
      </c>
      <c r="E6" s="3"/>
      <c r="F6" s="3"/>
    </row>
    <row r="7">
      <c r="A7" s="53" t="s">
        <v>89</v>
      </c>
      <c r="B7" s="53" t="s">
        <v>209</v>
      </c>
      <c r="C7" s="10">
        <v>1.76</v>
      </c>
      <c r="D7" s="53" t="s">
        <v>215</v>
      </c>
      <c r="E7" s="3"/>
      <c r="F7" s="3"/>
    </row>
    <row r="8">
      <c r="A8" s="53" t="s">
        <v>96</v>
      </c>
      <c r="B8" s="53" t="s">
        <v>209</v>
      </c>
      <c r="C8" s="10">
        <v>0.61</v>
      </c>
      <c r="D8" s="53" t="s">
        <v>216</v>
      </c>
      <c r="E8" s="3"/>
      <c r="F8" s="3"/>
    </row>
    <row r="9">
      <c r="A9" s="53" t="s">
        <v>96</v>
      </c>
      <c r="B9" s="53" t="s">
        <v>209</v>
      </c>
      <c r="C9" s="10">
        <v>0.12</v>
      </c>
      <c r="D9" s="53" t="s">
        <v>217</v>
      </c>
      <c r="E9" s="3"/>
      <c r="F9" s="3"/>
    </row>
    <row r="10">
      <c r="A10" s="53" t="s">
        <v>102</v>
      </c>
      <c r="B10" s="53" t="s">
        <v>209</v>
      </c>
      <c r="C10" s="10">
        <v>1.84</v>
      </c>
      <c r="D10" s="53" t="s">
        <v>218</v>
      </c>
      <c r="E10" s="3"/>
      <c r="F10" s="3"/>
    </row>
    <row r="11">
      <c r="A11" s="53" t="s">
        <v>102</v>
      </c>
      <c r="B11" s="53" t="s">
        <v>209</v>
      </c>
      <c r="C11" s="10">
        <v>1.97</v>
      </c>
      <c r="D11" s="53" t="s">
        <v>219</v>
      </c>
      <c r="E11" s="3"/>
      <c r="F11" s="3"/>
    </row>
    <row r="12">
      <c r="A12" s="53" t="s">
        <v>102</v>
      </c>
      <c r="B12" s="53" t="s">
        <v>209</v>
      </c>
      <c r="C12" s="10">
        <v>1.83</v>
      </c>
      <c r="D12" s="53" t="s">
        <v>220</v>
      </c>
      <c r="E12" s="3"/>
      <c r="F12" s="3"/>
    </row>
    <row r="13">
      <c r="A13" s="53" t="s">
        <v>102</v>
      </c>
      <c r="B13" s="53" t="s">
        <v>209</v>
      </c>
      <c r="C13" s="10">
        <v>1.96</v>
      </c>
      <c r="D13" s="53" t="s">
        <v>221</v>
      </c>
      <c r="E13" s="3"/>
      <c r="F13" s="3"/>
    </row>
    <row r="14">
      <c r="A14" s="53" t="s">
        <v>66</v>
      </c>
      <c r="B14" s="53" t="s">
        <v>209</v>
      </c>
      <c r="C14" s="10">
        <v>0.84</v>
      </c>
      <c r="D14" s="53" t="s">
        <v>222</v>
      </c>
      <c r="E14" s="3"/>
      <c r="F14" s="3"/>
    </row>
    <row r="15">
      <c r="A15" s="53" t="s">
        <v>66</v>
      </c>
      <c r="B15" s="53" t="s">
        <v>209</v>
      </c>
      <c r="C15" s="10">
        <v>0.8</v>
      </c>
      <c r="D15" s="53" t="s">
        <v>223</v>
      </c>
      <c r="E15" s="3"/>
      <c r="F15" s="3"/>
    </row>
    <row r="16">
      <c r="A16" s="53" t="s">
        <v>66</v>
      </c>
      <c r="B16" s="53" t="s">
        <v>209</v>
      </c>
      <c r="C16" s="10">
        <v>0.79</v>
      </c>
      <c r="D16" s="53" t="s">
        <v>224</v>
      </c>
      <c r="E16" s="3"/>
      <c r="F16" s="3"/>
    </row>
    <row r="17">
      <c r="A17" s="53" t="s">
        <v>66</v>
      </c>
      <c r="B17" s="53" t="s">
        <v>209</v>
      </c>
      <c r="C17" s="10">
        <v>17.59</v>
      </c>
      <c r="D17" s="53" t="s">
        <v>225</v>
      </c>
      <c r="E17" s="3"/>
      <c r="F17" s="3"/>
    </row>
    <row r="18">
      <c r="A18" s="53" t="s">
        <v>66</v>
      </c>
      <c r="B18" s="53" t="s">
        <v>209</v>
      </c>
      <c r="C18" s="10">
        <v>1.23</v>
      </c>
      <c r="D18" s="53" t="s">
        <v>226</v>
      </c>
      <c r="E18" s="3"/>
      <c r="F18" s="3"/>
    </row>
    <row r="19">
      <c r="A19" s="53" t="s">
        <v>66</v>
      </c>
      <c r="B19" s="53" t="s">
        <v>209</v>
      </c>
      <c r="C19" s="10">
        <v>1.23</v>
      </c>
      <c r="D19" s="53" t="s">
        <v>227</v>
      </c>
      <c r="E19" s="3"/>
      <c r="F19" s="3"/>
    </row>
    <row r="20">
      <c r="A20" s="53" t="s">
        <v>66</v>
      </c>
      <c r="B20" s="53" t="s">
        <v>209</v>
      </c>
      <c r="C20" s="10">
        <v>1.05</v>
      </c>
      <c r="D20" s="53" t="s">
        <v>228</v>
      </c>
      <c r="E20" s="3"/>
      <c r="F20" s="3"/>
    </row>
    <row r="21" ht="15.75" customHeight="1">
      <c r="A21" s="53" t="s">
        <v>66</v>
      </c>
      <c r="B21" s="53" t="s">
        <v>209</v>
      </c>
      <c r="C21" s="10">
        <v>0.97</v>
      </c>
      <c r="D21" s="53" t="s">
        <v>229</v>
      </c>
      <c r="E21" s="3"/>
      <c r="F21" s="3"/>
    </row>
    <row r="22" ht="15.75" customHeight="1">
      <c r="A22" s="53" t="s">
        <v>66</v>
      </c>
      <c r="B22" s="53" t="s">
        <v>209</v>
      </c>
      <c r="C22" s="10">
        <v>1.27</v>
      </c>
      <c r="D22" s="53" t="s">
        <v>230</v>
      </c>
      <c r="E22" s="3"/>
      <c r="F22" s="3"/>
    </row>
    <row r="23" ht="15.75" customHeight="1">
      <c r="A23" s="53" t="s">
        <v>66</v>
      </c>
      <c r="B23" s="53" t="s">
        <v>209</v>
      </c>
      <c r="C23" s="10">
        <v>0.69</v>
      </c>
      <c r="D23" s="53" t="s">
        <v>231</v>
      </c>
      <c r="E23" s="3"/>
      <c r="F23" s="3"/>
    </row>
    <row r="24" ht="15.75" customHeight="1">
      <c r="A24" s="53" t="s">
        <v>132</v>
      </c>
      <c r="B24" s="53" t="s">
        <v>209</v>
      </c>
      <c r="C24" s="10">
        <v>1.27</v>
      </c>
      <c r="D24" s="53" t="s">
        <v>232</v>
      </c>
      <c r="E24" s="3"/>
      <c r="F24" s="3"/>
    </row>
    <row r="25" ht="15.75" customHeight="1">
      <c r="A25" s="53" t="s">
        <v>132</v>
      </c>
      <c r="B25" s="53" t="s">
        <v>209</v>
      </c>
      <c r="C25" s="10">
        <v>0.23</v>
      </c>
      <c r="D25" s="53" t="s">
        <v>233</v>
      </c>
      <c r="E25" s="3"/>
      <c r="F25" s="3"/>
    </row>
    <row r="26" ht="15.75" customHeight="1">
      <c r="A26" s="53" t="s">
        <v>132</v>
      </c>
      <c r="B26" s="53" t="s">
        <v>209</v>
      </c>
      <c r="C26" s="10">
        <v>16.13</v>
      </c>
      <c r="D26" s="53" t="s">
        <v>234</v>
      </c>
      <c r="E26" s="3"/>
      <c r="F26" s="3"/>
    </row>
    <row r="27" ht="15.75" customHeight="1">
      <c r="A27" s="53" t="s">
        <v>120</v>
      </c>
      <c r="B27" s="53" t="s">
        <v>209</v>
      </c>
      <c r="C27" s="10">
        <v>16.79</v>
      </c>
      <c r="D27" s="53" t="s">
        <v>235</v>
      </c>
      <c r="E27" s="3"/>
      <c r="F27" s="3"/>
    </row>
    <row r="28" ht="15.75" customHeight="1">
      <c r="A28" s="53" t="s">
        <v>120</v>
      </c>
      <c r="B28" s="53" t="s">
        <v>209</v>
      </c>
      <c r="C28" s="10">
        <v>16.92</v>
      </c>
      <c r="D28" s="53" t="s">
        <v>236</v>
      </c>
      <c r="E28" s="3"/>
      <c r="F28" s="3"/>
    </row>
    <row r="29" ht="15.75" customHeight="1">
      <c r="A29" s="53" t="s">
        <v>120</v>
      </c>
      <c r="B29" s="53" t="s">
        <v>209</v>
      </c>
      <c r="C29" s="10">
        <v>16.58</v>
      </c>
      <c r="D29" s="53" t="s">
        <v>237</v>
      </c>
      <c r="E29" s="3"/>
      <c r="F29" s="3"/>
    </row>
    <row r="30" ht="15.75" customHeight="1">
      <c r="A30" s="53" t="s">
        <v>148</v>
      </c>
      <c r="B30" s="53" t="s">
        <v>209</v>
      </c>
      <c r="C30" s="10">
        <v>1.56</v>
      </c>
      <c r="D30" s="53" t="s">
        <v>238</v>
      </c>
      <c r="E30" s="3"/>
      <c r="F30" s="3"/>
    </row>
    <row r="31" ht="15.75" customHeight="1">
      <c r="A31" s="53" t="s">
        <v>148</v>
      </c>
      <c r="B31" s="53" t="s">
        <v>209</v>
      </c>
      <c r="C31" s="10">
        <v>0.99</v>
      </c>
      <c r="D31" s="53" t="s">
        <v>239</v>
      </c>
      <c r="E31" s="3"/>
      <c r="F31" s="3"/>
    </row>
    <row r="32" ht="15.75" customHeight="1">
      <c r="A32" s="3"/>
      <c r="B32" s="3"/>
      <c r="C32" s="3"/>
      <c r="D32" s="3"/>
      <c r="E32" s="3"/>
      <c r="F32" s="3"/>
    </row>
    <row r="33" ht="15.75" customHeight="1">
      <c r="A33" s="3"/>
      <c r="B33" s="3"/>
      <c r="C33" s="3"/>
      <c r="D33" s="3"/>
      <c r="E33" s="3"/>
      <c r="F33" s="3"/>
    </row>
    <row r="34" ht="15.75" customHeight="1">
      <c r="A34" s="3"/>
      <c r="B34" s="3"/>
      <c r="C34" s="3"/>
      <c r="D34" s="3"/>
      <c r="E34" s="3"/>
      <c r="F34" s="3"/>
    </row>
    <row r="35" ht="15.75" customHeight="1">
      <c r="A35" s="3"/>
      <c r="B35" s="3"/>
      <c r="C35" s="3"/>
      <c r="D35" s="3"/>
      <c r="E35" s="3"/>
      <c r="F35" s="3"/>
    </row>
    <row r="36" ht="15.75" customHeight="1">
      <c r="A36" s="3"/>
      <c r="B36" s="3"/>
      <c r="C36" s="3"/>
      <c r="D36" s="3"/>
      <c r="E36" s="3"/>
      <c r="F36" s="3"/>
    </row>
    <row r="37" ht="15.75" customHeight="1">
      <c r="A37" s="3"/>
      <c r="B37" s="3"/>
      <c r="C37" s="3"/>
      <c r="D37" s="3"/>
      <c r="E37" s="3"/>
      <c r="F37" s="3"/>
    </row>
    <row r="38" ht="15.75" customHeight="1">
      <c r="A38" s="3"/>
      <c r="B38" s="3"/>
      <c r="C38" s="3"/>
      <c r="D38" s="3"/>
      <c r="E38" s="3"/>
      <c r="F38" s="3"/>
    </row>
    <row r="39" ht="15.75" customHeight="1">
      <c r="A39" s="3"/>
      <c r="B39" s="3"/>
      <c r="C39" s="3"/>
      <c r="D39" s="3"/>
      <c r="E39" s="3"/>
      <c r="F39" s="3"/>
    </row>
    <row r="40" ht="15.75" customHeight="1">
      <c r="A40" s="3"/>
      <c r="B40" s="3"/>
      <c r="C40" s="3"/>
      <c r="D40" s="3"/>
      <c r="E40" s="3"/>
      <c r="F40" s="3"/>
    </row>
    <row r="41" ht="15.75" customHeight="1">
      <c r="A41" s="3"/>
      <c r="B41" s="3"/>
      <c r="C41" s="3"/>
      <c r="D41" s="3"/>
      <c r="E41" s="3"/>
      <c r="F41" s="3"/>
    </row>
    <row r="42" ht="15.75" customHeight="1">
      <c r="A42" s="3"/>
      <c r="B42" s="3"/>
      <c r="C42" s="3"/>
      <c r="D42" s="3"/>
      <c r="E42" s="3"/>
      <c r="F42" s="3"/>
    </row>
    <row r="43" ht="15.75" customHeight="1">
      <c r="A43" s="3"/>
      <c r="B43" s="3"/>
      <c r="C43" s="3"/>
      <c r="D43" s="3"/>
      <c r="E43" s="3"/>
      <c r="F43" s="3"/>
    </row>
    <row r="44" ht="15.75" customHeight="1">
      <c r="A44" s="3"/>
      <c r="B44" s="3"/>
      <c r="C44" s="3"/>
      <c r="D44" s="3"/>
      <c r="E44" s="3"/>
      <c r="F44" s="3"/>
    </row>
    <row r="45" ht="15.75" customHeight="1">
      <c r="A45" s="3"/>
      <c r="B45" s="3"/>
      <c r="C45" s="3"/>
      <c r="D45" s="3"/>
      <c r="E45" s="3"/>
      <c r="F45" s="3"/>
    </row>
    <row r="46" ht="15.75" customHeight="1">
      <c r="A46" s="3"/>
      <c r="B46" s="3"/>
      <c r="C46" s="3"/>
      <c r="D46" s="3"/>
      <c r="E46" s="3"/>
      <c r="F46" s="3"/>
    </row>
    <row r="47" ht="15.75" customHeight="1">
      <c r="A47" s="3"/>
      <c r="B47" s="3"/>
      <c r="C47" s="3"/>
      <c r="D47" s="3"/>
      <c r="E47" s="3"/>
      <c r="F47" s="3"/>
    </row>
    <row r="48" ht="15.75" customHeight="1">
      <c r="A48" s="3"/>
      <c r="B48" s="3"/>
      <c r="C48" s="3"/>
      <c r="D48" s="3"/>
      <c r="E48" s="3"/>
      <c r="F48" s="3"/>
    </row>
    <row r="49" ht="15.75" customHeight="1">
      <c r="A49" s="3"/>
      <c r="B49" s="3"/>
      <c r="C49" s="3"/>
      <c r="D49" s="3"/>
      <c r="E49" s="3"/>
      <c r="F49" s="3"/>
    </row>
    <row r="50" ht="15.75" customHeight="1">
      <c r="A50" s="3"/>
      <c r="B50" s="3"/>
      <c r="C50" s="3"/>
      <c r="D50" s="3"/>
      <c r="E50" s="3"/>
      <c r="F50" s="3"/>
    </row>
    <row r="51" ht="15.75" customHeight="1">
      <c r="A51" s="3"/>
      <c r="B51" s="3"/>
      <c r="C51" s="3"/>
      <c r="D51" s="3"/>
      <c r="E51" s="3"/>
      <c r="F51" s="3"/>
    </row>
    <row r="52" ht="15.75" customHeight="1">
      <c r="A52" s="3"/>
      <c r="B52" s="3"/>
      <c r="C52" s="3"/>
      <c r="D52" s="3"/>
      <c r="E52" s="3"/>
      <c r="F52" s="3"/>
    </row>
    <row r="53" ht="15.75" customHeight="1">
      <c r="A53" s="3"/>
      <c r="B53" s="3"/>
      <c r="C53" s="3"/>
      <c r="D53" s="3"/>
      <c r="E53" s="3"/>
      <c r="F53" s="3"/>
    </row>
    <row r="54" ht="15.75" customHeight="1">
      <c r="A54" s="3"/>
      <c r="B54" s="3"/>
      <c r="C54" s="3"/>
      <c r="D54" s="3"/>
      <c r="E54" s="3"/>
      <c r="F54" s="3"/>
    </row>
    <row r="55" ht="15.75" customHeight="1">
      <c r="A55" s="3"/>
      <c r="B55" s="3"/>
      <c r="C55" s="3"/>
      <c r="D55" s="3"/>
      <c r="E55" s="3"/>
      <c r="F55" s="3"/>
    </row>
    <row r="56" ht="15.75" customHeight="1">
      <c r="A56" s="3"/>
      <c r="B56" s="3"/>
      <c r="C56" s="3"/>
      <c r="D56" s="3"/>
      <c r="E56" s="3"/>
      <c r="F56" s="3"/>
    </row>
    <row r="57" ht="15.75" customHeight="1">
      <c r="A57" s="3"/>
      <c r="B57" s="3"/>
      <c r="C57" s="3"/>
      <c r="D57" s="3"/>
      <c r="E57" s="3"/>
      <c r="F57" s="3"/>
    </row>
    <row r="58" ht="15.75" customHeight="1">
      <c r="A58" s="3"/>
      <c r="B58" s="3"/>
      <c r="C58" s="3"/>
      <c r="D58" s="3"/>
      <c r="E58" s="3"/>
      <c r="F58" s="3"/>
    </row>
    <row r="59" ht="15.75" customHeight="1">
      <c r="A59" s="3"/>
      <c r="B59" s="3"/>
      <c r="C59" s="3"/>
      <c r="D59" s="3"/>
      <c r="E59" s="3"/>
      <c r="F59" s="3"/>
    </row>
    <row r="60" ht="15.75" customHeight="1">
      <c r="A60" s="3"/>
      <c r="B60" s="3"/>
      <c r="C60" s="3"/>
      <c r="D60" s="3"/>
      <c r="E60" s="3"/>
      <c r="F60" s="3"/>
    </row>
    <row r="61" ht="15.75" customHeight="1">
      <c r="A61" s="3"/>
      <c r="B61" s="3"/>
      <c r="C61" s="3"/>
      <c r="D61" s="3"/>
      <c r="E61" s="3"/>
      <c r="F61" s="3"/>
    </row>
    <row r="62" ht="15.75" customHeight="1">
      <c r="A62" s="3"/>
      <c r="B62" s="3"/>
      <c r="C62" s="3"/>
      <c r="D62" s="3"/>
      <c r="E62" s="3"/>
      <c r="F62" s="3"/>
    </row>
    <row r="63" ht="15.75" customHeight="1">
      <c r="A63" s="3"/>
      <c r="B63" s="3"/>
      <c r="C63" s="3"/>
      <c r="D63" s="3"/>
      <c r="E63" s="3"/>
      <c r="F63" s="3"/>
    </row>
    <row r="64" ht="15.75" customHeight="1">
      <c r="A64" s="3"/>
      <c r="B64" s="3"/>
      <c r="C64" s="3"/>
      <c r="D64" s="3"/>
      <c r="E64" s="3"/>
      <c r="F64" s="3"/>
    </row>
    <row r="65" ht="15.75" customHeight="1">
      <c r="A65" s="3"/>
      <c r="B65" s="3"/>
      <c r="C65" s="3"/>
      <c r="D65" s="3"/>
      <c r="E65" s="3"/>
      <c r="F65" s="3"/>
    </row>
    <row r="66" ht="15.75" customHeight="1">
      <c r="A66" s="3"/>
      <c r="B66" s="3"/>
      <c r="C66" s="3"/>
      <c r="D66" s="3"/>
      <c r="E66" s="3"/>
      <c r="F66" s="3"/>
    </row>
    <row r="67" ht="15.75" customHeight="1">
      <c r="A67" s="3"/>
      <c r="B67" s="3"/>
      <c r="C67" s="3"/>
      <c r="D67" s="3"/>
      <c r="E67" s="3"/>
      <c r="F67" s="3"/>
    </row>
    <row r="68" ht="15.75" customHeight="1">
      <c r="A68" s="3"/>
      <c r="B68" s="3"/>
      <c r="C68" s="3"/>
      <c r="D68" s="3"/>
      <c r="E68" s="3"/>
      <c r="F68" s="3"/>
    </row>
    <row r="69" ht="15.75" customHeight="1">
      <c r="A69" s="3"/>
      <c r="B69" s="3"/>
      <c r="C69" s="3"/>
      <c r="D69" s="3"/>
      <c r="E69" s="3"/>
      <c r="F69" s="3"/>
    </row>
    <row r="70" ht="15.75" customHeight="1">
      <c r="A70" s="3"/>
      <c r="B70" s="3"/>
      <c r="C70" s="3"/>
      <c r="D70" s="3"/>
      <c r="E70" s="3"/>
      <c r="F70" s="3"/>
    </row>
    <row r="71" ht="15.75" customHeight="1">
      <c r="A71" s="3"/>
      <c r="B71" s="3"/>
      <c r="C71" s="3"/>
      <c r="D71" s="3"/>
      <c r="E71" s="3"/>
      <c r="F71" s="3"/>
    </row>
    <row r="72" ht="15.75" customHeight="1">
      <c r="A72" s="3"/>
      <c r="B72" s="3"/>
      <c r="C72" s="3"/>
      <c r="D72" s="3"/>
      <c r="E72" s="3"/>
      <c r="F72" s="3"/>
    </row>
    <row r="73" ht="15.75" customHeight="1">
      <c r="A73" s="3"/>
      <c r="B73" s="3"/>
      <c r="C73" s="3"/>
      <c r="D73" s="3"/>
      <c r="E73" s="3"/>
      <c r="F73" s="3"/>
    </row>
    <row r="74" ht="15.75" customHeight="1">
      <c r="A74" s="3"/>
      <c r="B74" s="3"/>
      <c r="C74" s="3"/>
      <c r="D74" s="3"/>
      <c r="E74" s="3"/>
      <c r="F74" s="3"/>
    </row>
    <row r="75" ht="15.75" customHeight="1">
      <c r="A75" s="3"/>
      <c r="B75" s="3"/>
      <c r="C75" s="3"/>
      <c r="D75" s="3"/>
      <c r="E75" s="3"/>
      <c r="F75" s="3"/>
    </row>
    <row r="76" ht="15.75" customHeight="1">
      <c r="A76" s="3"/>
      <c r="B76" s="3"/>
      <c r="C76" s="3"/>
      <c r="D76" s="3"/>
      <c r="E76" s="3"/>
      <c r="F76" s="3"/>
    </row>
    <row r="77" ht="15.75" customHeight="1">
      <c r="A77" s="3"/>
      <c r="B77" s="3"/>
      <c r="C77" s="3"/>
      <c r="D77" s="3"/>
      <c r="E77" s="3"/>
      <c r="F77" s="3"/>
    </row>
    <row r="78" ht="15.75" customHeight="1">
      <c r="A78" s="3"/>
      <c r="B78" s="3"/>
      <c r="C78" s="3"/>
      <c r="D78" s="3"/>
      <c r="E78" s="3"/>
      <c r="F78" s="3"/>
    </row>
    <row r="79" ht="15.75" customHeight="1">
      <c r="A79" s="3"/>
      <c r="B79" s="3"/>
      <c r="C79" s="3"/>
      <c r="D79" s="3"/>
      <c r="E79" s="3"/>
      <c r="F79" s="3"/>
    </row>
    <row r="80" ht="15.75" customHeight="1">
      <c r="A80" s="3"/>
      <c r="B80" s="3"/>
      <c r="C80" s="3"/>
      <c r="D80" s="3"/>
      <c r="E80" s="3"/>
      <c r="F80" s="3"/>
    </row>
    <row r="81" ht="15.75" customHeight="1">
      <c r="A81" s="3"/>
      <c r="B81" s="3"/>
      <c r="C81" s="3"/>
      <c r="D81" s="3"/>
      <c r="E81" s="3"/>
      <c r="F81" s="3"/>
    </row>
    <row r="82" ht="15.75" customHeight="1">
      <c r="A82" s="3"/>
      <c r="B82" s="3"/>
      <c r="C82" s="3"/>
      <c r="D82" s="3"/>
      <c r="E82" s="3"/>
      <c r="F82" s="3"/>
    </row>
    <row r="83" ht="15.75" customHeight="1">
      <c r="A83" s="3"/>
      <c r="B83" s="3"/>
      <c r="C83" s="3"/>
      <c r="D83" s="3"/>
      <c r="E83" s="3"/>
      <c r="F83" s="3"/>
    </row>
    <row r="84" ht="15.75" customHeight="1">
      <c r="A84" s="3"/>
      <c r="B84" s="3"/>
      <c r="C84" s="3"/>
      <c r="D84" s="3"/>
      <c r="E84" s="3"/>
      <c r="F84" s="3"/>
    </row>
    <row r="85" ht="15.75" customHeight="1">
      <c r="A85" s="3"/>
      <c r="B85" s="3"/>
      <c r="C85" s="3"/>
      <c r="D85" s="3"/>
      <c r="E85" s="3"/>
      <c r="F85" s="3"/>
    </row>
    <row r="86" ht="15.75" customHeight="1">
      <c r="A86" s="3"/>
      <c r="B86" s="3"/>
      <c r="C86" s="3"/>
      <c r="D86" s="3"/>
      <c r="E86" s="3"/>
      <c r="F86" s="3"/>
    </row>
    <row r="87" ht="15.75" customHeight="1">
      <c r="A87" s="3"/>
      <c r="B87" s="3"/>
      <c r="C87" s="3"/>
      <c r="D87" s="3"/>
      <c r="E87" s="3"/>
      <c r="F87" s="3"/>
    </row>
    <row r="88" ht="15.75" customHeight="1">
      <c r="A88" s="3"/>
      <c r="B88" s="3"/>
      <c r="C88" s="3"/>
      <c r="D88" s="3"/>
      <c r="E88" s="3"/>
      <c r="F88" s="3"/>
    </row>
    <row r="89" ht="15.75" customHeight="1">
      <c r="A89" s="3"/>
      <c r="B89" s="3"/>
      <c r="C89" s="3"/>
      <c r="D89" s="3"/>
      <c r="E89" s="3"/>
      <c r="F89" s="3"/>
    </row>
    <row r="90" ht="15.75" customHeight="1">
      <c r="A90" s="3"/>
      <c r="B90" s="3"/>
      <c r="C90" s="3"/>
      <c r="D90" s="3"/>
      <c r="E90" s="3"/>
      <c r="F90" s="3"/>
    </row>
    <row r="91" ht="15.75" customHeight="1">
      <c r="A91" s="3"/>
      <c r="B91" s="3"/>
      <c r="C91" s="3"/>
      <c r="D91" s="3"/>
      <c r="E91" s="3"/>
      <c r="F91" s="3"/>
    </row>
    <row r="92" ht="15.75" customHeight="1">
      <c r="A92" s="3"/>
      <c r="B92" s="3"/>
      <c r="C92" s="3"/>
      <c r="D92" s="3"/>
      <c r="E92" s="3"/>
      <c r="F92" s="3"/>
    </row>
    <row r="93" ht="15.75" customHeight="1">
      <c r="A93" s="3"/>
      <c r="B93" s="3"/>
      <c r="C93" s="3"/>
      <c r="D93" s="3"/>
      <c r="E93" s="3"/>
      <c r="F93" s="3"/>
    </row>
    <row r="94" ht="15.75" customHeight="1">
      <c r="A94" s="3"/>
      <c r="B94" s="3"/>
      <c r="C94" s="3"/>
      <c r="D94" s="3"/>
      <c r="E94" s="3"/>
      <c r="F94" s="3"/>
    </row>
    <row r="95" ht="15.75" customHeight="1">
      <c r="A95" s="3"/>
      <c r="B95" s="3"/>
      <c r="C95" s="3"/>
      <c r="D95" s="3"/>
      <c r="E95" s="3"/>
      <c r="F95" s="3"/>
    </row>
    <row r="96" ht="15.75" customHeight="1">
      <c r="A96" s="3"/>
      <c r="B96" s="3"/>
      <c r="C96" s="3"/>
      <c r="D96" s="3"/>
      <c r="E96" s="3"/>
      <c r="F96" s="3"/>
    </row>
    <row r="97" ht="15.75" customHeight="1">
      <c r="A97" s="3"/>
      <c r="B97" s="3"/>
      <c r="C97" s="3"/>
      <c r="D97" s="3"/>
      <c r="E97" s="3"/>
      <c r="F97" s="3"/>
    </row>
    <row r="98" ht="15.75" customHeight="1">
      <c r="A98" s="3"/>
      <c r="B98" s="3"/>
      <c r="C98" s="3"/>
      <c r="D98" s="3"/>
      <c r="E98" s="3"/>
      <c r="F98" s="3"/>
    </row>
    <row r="99" ht="15.75" customHeight="1">
      <c r="A99" s="3"/>
      <c r="B99" s="3"/>
      <c r="C99" s="3"/>
      <c r="D99" s="3"/>
      <c r="E99" s="3"/>
      <c r="F99" s="3"/>
    </row>
    <row r="100" ht="15.75" customHeight="1">
      <c r="A100" s="3"/>
      <c r="B100" s="3"/>
      <c r="C100" s="3"/>
      <c r="D100" s="3"/>
      <c r="E100" s="3"/>
      <c r="F100" s="3"/>
    </row>
    <row r="101" ht="15.75" customHeight="1">
      <c r="A101" s="3"/>
      <c r="B101" s="3"/>
      <c r="C101" s="3"/>
      <c r="D101" s="3"/>
      <c r="E101" s="3"/>
      <c r="F101" s="3"/>
    </row>
    <row r="102" ht="15.75" customHeight="1">
      <c r="A102" s="3"/>
      <c r="B102" s="3"/>
      <c r="C102" s="3"/>
      <c r="D102" s="3"/>
      <c r="E102" s="3"/>
      <c r="F102" s="3"/>
    </row>
    <row r="103" ht="15.75" customHeight="1">
      <c r="A103" s="3"/>
      <c r="B103" s="3"/>
      <c r="C103" s="3"/>
      <c r="D103" s="3"/>
      <c r="E103" s="3"/>
      <c r="F103" s="3"/>
    </row>
    <row r="104" ht="15.75" customHeight="1">
      <c r="A104" s="3"/>
      <c r="B104" s="3"/>
      <c r="C104" s="3"/>
      <c r="D104" s="3"/>
      <c r="E104" s="3"/>
      <c r="F104" s="3"/>
    </row>
    <row r="105" ht="15.75" customHeight="1">
      <c r="A105" s="3"/>
      <c r="B105" s="3"/>
      <c r="C105" s="3"/>
      <c r="D105" s="3"/>
      <c r="E105" s="3"/>
      <c r="F105" s="3"/>
    </row>
    <row r="106" ht="15.75" customHeight="1">
      <c r="A106" s="3"/>
      <c r="B106" s="3"/>
      <c r="C106" s="3"/>
      <c r="D106" s="3"/>
      <c r="E106" s="3"/>
      <c r="F106" s="3"/>
    </row>
    <row r="107" ht="15.75" customHeight="1">
      <c r="A107" s="3"/>
      <c r="B107" s="3"/>
      <c r="C107" s="3"/>
      <c r="D107" s="3"/>
      <c r="E107" s="3"/>
      <c r="F107" s="3"/>
    </row>
    <row r="108" ht="15.75" customHeight="1">
      <c r="A108" s="3"/>
      <c r="B108" s="3"/>
      <c r="C108" s="3"/>
      <c r="D108" s="3"/>
      <c r="E108" s="3"/>
      <c r="F108" s="3"/>
    </row>
    <row r="109" ht="15.75" customHeight="1">
      <c r="A109" s="3"/>
      <c r="B109" s="3"/>
      <c r="C109" s="3"/>
      <c r="D109" s="3"/>
      <c r="E109" s="3"/>
      <c r="F109" s="3"/>
    </row>
    <row r="110" ht="15.75" customHeight="1">
      <c r="A110" s="3"/>
      <c r="B110" s="3"/>
      <c r="C110" s="3"/>
      <c r="D110" s="3"/>
      <c r="E110" s="3"/>
      <c r="F110" s="3"/>
    </row>
    <row r="111" ht="15.75" customHeight="1">
      <c r="A111" s="3"/>
      <c r="B111" s="3"/>
      <c r="C111" s="3"/>
      <c r="D111" s="3"/>
      <c r="E111" s="3"/>
      <c r="F111" s="3"/>
    </row>
    <row r="112" ht="15.75" customHeight="1">
      <c r="A112" s="3"/>
      <c r="B112" s="3"/>
      <c r="C112" s="3"/>
      <c r="D112" s="3"/>
      <c r="E112" s="3"/>
      <c r="F112" s="3"/>
    </row>
    <row r="113" ht="15.75" customHeight="1">
      <c r="A113" s="3"/>
      <c r="B113" s="3"/>
      <c r="C113" s="3"/>
      <c r="D113" s="3"/>
      <c r="E113" s="3"/>
      <c r="F113" s="3"/>
    </row>
    <row r="114" ht="15.75" customHeight="1">
      <c r="A114" s="3"/>
      <c r="B114" s="3"/>
      <c r="C114" s="3"/>
      <c r="D114" s="3"/>
      <c r="E114" s="3"/>
      <c r="F114" s="3"/>
    </row>
    <row r="115" ht="15.75" customHeight="1">
      <c r="A115" s="3"/>
      <c r="B115" s="3"/>
      <c r="C115" s="3"/>
      <c r="D115" s="3"/>
      <c r="E115" s="3"/>
      <c r="F115" s="3"/>
    </row>
    <row r="116" ht="15.75" customHeight="1">
      <c r="A116" s="3"/>
      <c r="B116" s="3"/>
      <c r="C116" s="3"/>
      <c r="D116" s="3"/>
      <c r="E116" s="3"/>
      <c r="F116" s="3"/>
    </row>
    <row r="117" ht="15.75" customHeight="1">
      <c r="A117" s="3"/>
      <c r="B117" s="3"/>
      <c r="C117" s="3"/>
      <c r="D117" s="3"/>
      <c r="E117" s="3"/>
      <c r="F117" s="3"/>
    </row>
    <row r="118" ht="15.75" customHeight="1">
      <c r="A118" s="3"/>
      <c r="B118" s="3"/>
      <c r="C118" s="3"/>
      <c r="D118" s="3"/>
      <c r="E118" s="3"/>
      <c r="F118" s="3"/>
    </row>
    <row r="119" ht="15.75" customHeight="1">
      <c r="A119" s="3"/>
      <c r="B119" s="3"/>
      <c r="C119" s="3"/>
      <c r="D119" s="3"/>
      <c r="E119" s="3"/>
      <c r="F119" s="3"/>
    </row>
    <row r="120" ht="15.75" customHeight="1">
      <c r="A120" s="3"/>
      <c r="B120" s="3"/>
      <c r="C120" s="3"/>
      <c r="D120" s="3"/>
      <c r="E120" s="3"/>
      <c r="F120" s="3"/>
    </row>
    <row r="121" ht="15.75" customHeight="1">
      <c r="A121" s="3"/>
      <c r="B121" s="3"/>
      <c r="C121" s="3"/>
      <c r="D121" s="3"/>
      <c r="E121" s="3"/>
      <c r="F121" s="3"/>
    </row>
    <row r="122" ht="15.75" customHeight="1">
      <c r="A122" s="3"/>
      <c r="B122" s="3"/>
      <c r="C122" s="3"/>
      <c r="D122" s="3"/>
      <c r="E122" s="3"/>
      <c r="F122" s="3"/>
    </row>
    <row r="123" ht="15.75" customHeight="1">
      <c r="A123" s="3"/>
      <c r="B123" s="3"/>
      <c r="C123" s="3"/>
      <c r="D123" s="3"/>
      <c r="E123" s="3"/>
      <c r="F123" s="3"/>
    </row>
    <row r="124" ht="15.75" customHeight="1">
      <c r="A124" s="3"/>
      <c r="B124" s="3"/>
      <c r="C124" s="3"/>
      <c r="D124" s="3"/>
      <c r="E124" s="3"/>
      <c r="F124" s="3"/>
    </row>
    <row r="125" ht="15.75" customHeight="1">
      <c r="A125" s="3"/>
      <c r="B125" s="3"/>
      <c r="C125" s="3"/>
      <c r="D125" s="3"/>
      <c r="E125" s="3"/>
      <c r="F125" s="3"/>
    </row>
    <row r="126" ht="15.75" customHeight="1">
      <c r="A126" s="3"/>
      <c r="B126" s="3"/>
      <c r="C126" s="3"/>
      <c r="D126" s="3"/>
      <c r="E126" s="3"/>
      <c r="F126" s="3"/>
    </row>
    <row r="127" ht="15.75" customHeight="1">
      <c r="A127" s="3"/>
      <c r="B127" s="3"/>
      <c r="C127" s="3"/>
      <c r="D127" s="3"/>
      <c r="E127" s="3"/>
      <c r="F127" s="3"/>
    </row>
    <row r="128" ht="15.75" customHeight="1">
      <c r="A128" s="3"/>
      <c r="B128" s="3"/>
      <c r="C128" s="3"/>
      <c r="D128" s="3"/>
      <c r="E128" s="3"/>
      <c r="F128" s="3"/>
    </row>
    <row r="129" ht="15.75" customHeight="1">
      <c r="A129" s="3"/>
      <c r="B129" s="3"/>
      <c r="C129" s="3"/>
      <c r="D129" s="3"/>
      <c r="E129" s="3"/>
      <c r="F129" s="3"/>
    </row>
    <row r="130" ht="15.75" customHeight="1">
      <c r="A130" s="3"/>
      <c r="B130" s="3"/>
      <c r="C130" s="3"/>
      <c r="D130" s="3"/>
      <c r="E130" s="3"/>
      <c r="F130" s="3"/>
    </row>
    <row r="131" ht="15.75" customHeight="1">
      <c r="A131" s="3"/>
      <c r="B131" s="3"/>
      <c r="C131" s="3"/>
      <c r="D131" s="3"/>
      <c r="E131" s="3"/>
      <c r="F131" s="3"/>
    </row>
    <row r="132" ht="15.75" customHeight="1">
      <c r="A132" s="3"/>
      <c r="B132" s="3"/>
      <c r="C132" s="3"/>
      <c r="D132" s="3"/>
      <c r="E132" s="3"/>
      <c r="F132" s="3"/>
    </row>
    <row r="133" ht="15.75" customHeight="1">
      <c r="A133" s="3"/>
      <c r="B133" s="3"/>
      <c r="C133" s="3"/>
      <c r="D133" s="3"/>
      <c r="E133" s="3"/>
      <c r="F133" s="3"/>
    </row>
    <row r="134" ht="15.75" customHeight="1">
      <c r="A134" s="3"/>
      <c r="B134" s="3"/>
      <c r="C134" s="3"/>
      <c r="D134" s="3"/>
      <c r="E134" s="3"/>
      <c r="F134" s="3"/>
    </row>
    <row r="135" ht="15.75" customHeight="1">
      <c r="A135" s="3"/>
      <c r="B135" s="3"/>
      <c r="C135" s="3"/>
      <c r="D135" s="3"/>
      <c r="E135" s="3"/>
      <c r="F135" s="3"/>
    </row>
    <row r="136" ht="15.75" customHeight="1">
      <c r="A136" s="3"/>
      <c r="B136" s="3"/>
      <c r="C136" s="3"/>
      <c r="D136" s="3"/>
      <c r="E136" s="3"/>
      <c r="F136" s="3"/>
    </row>
    <row r="137" ht="15.75" customHeight="1">
      <c r="A137" s="3"/>
      <c r="B137" s="3"/>
      <c r="C137" s="3"/>
      <c r="D137" s="3"/>
      <c r="E137" s="3"/>
      <c r="F137" s="3"/>
    </row>
    <row r="138" ht="15.75" customHeight="1">
      <c r="A138" s="3"/>
      <c r="B138" s="3"/>
      <c r="C138" s="3"/>
      <c r="D138" s="3"/>
      <c r="E138" s="3"/>
      <c r="F138" s="3"/>
    </row>
    <row r="139" ht="15.75" customHeight="1">
      <c r="A139" s="3"/>
      <c r="B139" s="3"/>
      <c r="C139" s="3"/>
      <c r="D139" s="3"/>
      <c r="E139" s="3"/>
      <c r="F139" s="3"/>
    </row>
    <row r="140" ht="15.75" customHeight="1">
      <c r="A140" s="3"/>
      <c r="B140" s="3"/>
      <c r="C140" s="3"/>
      <c r="D140" s="3"/>
      <c r="E140" s="3"/>
      <c r="F140" s="3"/>
    </row>
    <row r="141" ht="15.75" customHeight="1">
      <c r="A141" s="3"/>
      <c r="B141" s="3"/>
      <c r="C141" s="3"/>
      <c r="D141" s="3"/>
      <c r="E141" s="3"/>
      <c r="F141" s="3"/>
    </row>
    <row r="142" ht="15.75" customHeight="1">
      <c r="A142" s="3"/>
      <c r="B142" s="3"/>
      <c r="C142" s="3"/>
      <c r="D142" s="3"/>
      <c r="E142" s="3"/>
      <c r="F142" s="3"/>
    </row>
    <row r="143" ht="15.75" customHeight="1">
      <c r="A143" s="3"/>
      <c r="B143" s="3"/>
      <c r="C143" s="3"/>
      <c r="D143" s="3"/>
      <c r="E143" s="3"/>
      <c r="F143" s="3"/>
    </row>
    <row r="144" ht="15.75" customHeight="1">
      <c r="A144" s="3"/>
      <c r="B144" s="3"/>
      <c r="C144" s="3"/>
      <c r="D144" s="3"/>
      <c r="E144" s="3"/>
      <c r="F144" s="3"/>
    </row>
    <row r="145" ht="15.75" customHeight="1">
      <c r="A145" s="3"/>
      <c r="B145" s="3"/>
      <c r="C145" s="3"/>
      <c r="D145" s="3"/>
      <c r="E145" s="3"/>
      <c r="F145" s="3"/>
    </row>
    <row r="146" ht="15.75" customHeight="1">
      <c r="A146" s="3"/>
      <c r="B146" s="3"/>
      <c r="C146" s="3"/>
      <c r="D146" s="3"/>
      <c r="E146" s="3"/>
      <c r="F146" s="3"/>
    </row>
    <row r="147" ht="15.75" customHeight="1">
      <c r="A147" s="3"/>
      <c r="B147" s="3"/>
      <c r="C147" s="3"/>
      <c r="D147" s="3"/>
      <c r="E147" s="3"/>
      <c r="F147" s="3"/>
    </row>
    <row r="148" ht="15.75" customHeight="1">
      <c r="A148" s="3"/>
      <c r="B148" s="3"/>
      <c r="C148" s="3"/>
      <c r="D148" s="3"/>
      <c r="E148" s="3"/>
      <c r="F148" s="3"/>
    </row>
    <row r="149" ht="15.75" customHeight="1">
      <c r="A149" s="3"/>
      <c r="B149" s="3"/>
      <c r="C149" s="3"/>
      <c r="D149" s="3"/>
      <c r="E149" s="3"/>
      <c r="F149" s="3"/>
    </row>
    <row r="150" ht="15.75" customHeight="1">
      <c r="A150" s="3"/>
      <c r="B150" s="3"/>
      <c r="C150" s="3"/>
      <c r="D150" s="3"/>
      <c r="E150" s="3"/>
      <c r="F150" s="3"/>
    </row>
    <row r="151" ht="15.75" customHeight="1">
      <c r="A151" s="3"/>
      <c r="B151" s="3"/>
      <c r="C151" s="3"/>
      <c r="D151" s="3"/>
      <c r="E151" s="3"/>
      <c r="F151" s="3"/>
    </row>
    <row r="152" ht="15.75" customHeight="1">
      <c r="A152" s="3"/>
      <c r="B152" s="3"/>
      <c r="C152" s="3"/>
      <c r="D152" s="3"/>
      <c r="E152" s="3"/>
      <c r="F152" s="3"/>
    </row>
    <row r="153" ht="15.75" customHeight="1">
      <c r="A153" s="3"/>
      <c r="B153" s="3"/>
      <c r="C153" s="3"/>
      <c r="D153" s="3"/>
      <c r="E153" s="3"/>
      <c r="F153" s="3"/>
    </row>
    <row r="154" ht="15.75" customHeight="1">
      <c r="A154" s="3"/>
      <c r="B154" s="3"/>
      <c r="C154" s="3"/>
      <c r="D154" s="3"/>
      <c r="E154" s="3"/>
      <c r="F154" s="3"/>
    </row>
    <row r="155" ht="15.75" customHeight="1">
      <c r="A155" s="3"/>
      <c r="B155" s="3"/>
      <c r="C155" s="3"/>
      <c r="D155" s="3"/>
      <c r="E155" s="3"/>
      <c r="F155" s="3"/>
    </row>
    <row r="156" ht="15.75" customHeight="1">
      <c r="A156" s="3"/>
      <c r="B156" s="3"/>
      <c r="C156" s="3"/>
      <c r="D156" s="3"/>
      <c r="E156" s="3"/>
      <c r="F156" s="3"/>
    </row>
    <row r="157" ht="15.75" customHeight="1">
      <c r="A157" s="3"/>
      <c r="B157" s="3"/>
      <c r="C157" s="3"/>
      <c r="D157" s="3"/>
      <c r="E157" s="3"/>
      <c r="F157" s="3"/>
    </row>
    <row r="158" ht="15.75" customHeight="1">
      <c r="A158" s="3"/>
      <c r="B158" s="3"/>
      <c r="C158" s="3"/>
      <c r="D158" s="3"/>
      <c r="E158" s="3"/>
      <c r="F158" s="3"/>
    </row>
    <row r="159" ht="15.75" customHeight="1">
      <c r="A159" s="3"/>
      <c r="B159" s="3"/>
      <c r="C159" s="3"/>
      <c r="D159" s="3"/>
      <c r="E159" s="3"/>
      <c r="F159" s="3"/>
    </row>
    <row r="160" ht="15.75" customHeight="1">
      <c r="A160" s="3"/>
      <c r="B160" s="3"/>
      <c r="C160" s="3"/>
      <c r="D160" s="3"/>
      <c r="E160" s="3"/>
      <c r="F160" s="3"/>
    </row>
    <row r="161" ht="15.75" customHeight="1">
      <c r="A161" s="3"/>
      <c r="B161" s="3"/>
      <c r="C161" s="3"/>
      <c r="D161" s="3"/>
      <c r="E161" s="3"/>
      <c r="F161" s="3"/>
    </row>
    <row r="162" ht="15.75" customHeight="1">
      <c r="A162" s="3"/>
      <c r="B162" s="3"/>
      <c r="C162" s="3"/>
      <c r="D162" s="3"/>
      <c r="E162" s="3"/>
      <c r="F162" s="3"/>
    </row>
    <row r="163" ht="15.75" customHeight="1">
      <c r="A163" s="3"/>
      <c r="B163" s="3"/>
      <c r="C163" s="3"/>
      <c r="D163" s="3"/>
      <c r="E163" s="3"/>
      <c r="F163" s="3"/>
    </row>
    <row r="164" ht="15.75" customHeight="1">
      <c r="A164" s="3"/>
      <c r="B164" s="3"/>
      <c r="C164" s="3"/>
      <c r="D164" s="3"/>
      <c r="E164" s="3"/>
      <c r="F164" s="3"/>
    </row>
    <row r="165" ht="15.75" customHeight="1">
      <c r="A165" s="3"/>
      <c r="B165" s="3"/>
      <c r="C165" s="3"/>
      <c r="D165" s="3"/>
      <c r="E165" s="3"/>
      <c r="F165" s="3"/>
    </row>
    <row r="166" ht="15.75" customHeight="1">
      <c r="A166" s="3"/>
      <c r="B166" s="3"/>
      <c r="C166" s="3"/>
      <c r="D166" s="3"/>
      <c r="E166" s="3"/>
      <c r="F166" s="3"/>
    </row>
    <row r="167" ht="15.75" customHeight="1">
      <c r="A167" s="3"/>
      <c r="B167" s="3"/>
      <c r="C167" s="3"/>
      <c r="D167" s="3"/>
      <c r="E167" s="3"/>
      <c r="F167" s="3"/>
    </row>
    <row r="168" ht="15.75" customHeight="1">
      <c r="A168" s="3"/>
      <c r="B168" s="3"/>
      <c r="C168" s="3"/>
      <c r="D168" s="3"/>
      <c r="E168" s="3"/>
      <c r="F168" s="3"/>
    </row>
    <row r="169" ht="15.75" customHeight="1">
      <c r="A169" s="3"/>
      <c r="B169" s="3"/>
      <c r="C169" s="3"/>
      <c r="D169" s="3"/>
      <c r="E169" s="3"/>
      <c r="F169" s="3"/>
    </row>
    <row r="170" ht="15.75" customHeight="1">
      <c r="A170" s="3"/>
      <c r="B170" s="3"/>
      <c r="C170" s="3"/>
      <c r="D170" s="3"/>
      <c r="E170" s="3"/>
      <c r="F170" s="3"/>
    </row>
    <row r="171" ht="15.75" customHeight="1">
      <c r="A171" s="3"/>
      <c r="B171" s="3"/>
      <c r="C171" s="3"/>
      <c r="D171" s="3"/>
      <c r="E171" s="3"/>
      <c r="F171" s="3"/>
    </row>
    <row r="172" ht="15.75" customHeight="1">
      <c r="A172" s="3"/>
      <c r="B172" s="3"/>
      <c r="C172" s="3"/>
      <c r="D172" s="3"/>
      <c r="E172" s="3"/>
      <c r="F172" s="3"/>
    </row>
    <row r="173" ht="15.75" customHeight="1">
      <c r="A173" s="3"/>
      <c r="B173" s="3"/>
      <c r="C173" s="3"/>
      <c r="D173" s="3"/>
      <c r="E173" s="3"/>
      <c r="F173" s="3"/>
    </row>
    <row r="174" ht="15.75" customHeight="1">
      <c r="A174" s="3"/>
      <c r="B174" s="3"/>
      <c r="C174" s="3"/>
      <c r="D174" s="3"/>
      <c r="E174" s="3"/>
      <c r="F174" s="3"/>
    </row>
    <row r="175" ht="15.75" customHeight="1">
      <c r="A175" s="3"/>
      <c r="B175" s="3"/>
      <c r="C175" s="3"/>
      <c r="D175" s="3"/>
      <c r="E175" s="3"/>
      <c r="F175" s="3"/>
    </row>
    <row r="176" ht="15.75" customHeight="1">
      <c r="A176" s="3"/>
      <c r="B176" s="3"/>
      <c r="C176" s="3"/>
      <c r="D176" s="3"/>
      <c r="E176" s="3"/>
      <c r="F176" s="3"/>
    </row>
    <row r="177" ht="15.75" customHeight="1">
      <c r="A177" s="3"/>
      <c r="B177" s="3"/>
      <c r="C177" s="3"/>
      <c r="D177" s="3"/>
      <c r="E177" s="3"/>
      <c r="F177" s="3"/>
    </row>
    <row r="178" ht="15.75" customHeight="1">
      <c r="A178" s="3"/>
      <c r="B178" s="3"/>
      <c r="C178" s="3"/>
      <c r="D178" s="3"/>
      <c r="E178" s="3"/>
      <c r="F178" s="3"/>
    </row>
    <row r="179" ht="15.75" customHeight="1">
      <c r="A179" s="3"/>
      <c r="B179" s="3"/>
      <c r="C179" s="3"/>
      <c r="D179" s="3"/>
      <c r="E179" s="3"/>
      <c r="F179" s="3"/>
    </row>
    <row r="180" ht="15.75" customHeight="1">
      <c r="A180" s="3"/>
      <c r="B180" s="3"/>
      <c r="C180" s="3"/>
      <c r="D180" s="3"/>
      <c r="E180" s="3"/>
      <c r="F180" s="3"/>
    </row>
    <row r="181" ht="15.75" customHeight="1">
      <c r="A181" s="3"/>
      <c r="B181" s="3"/>
      <c r="C181" s="3"/>
      <c r="D181" s="3"/>
      <c r="E181" s="3"/>
      <c r="F181" s="3"/>
    </row>
    <row r="182" ht="15.75" customHeight="1">
      <c r="A182" s="3"/>
      <c r="B182" s="3"/>
      <c r="C182" s="3"/>
      <c r="D182" s="3"/>
      <c r="E182" s="3"/>
      <c r="F182" s="3"/>
    </row>
    <row r="183" ht="15.75" customHeight="1">
      <c r="A183" s="3"/>
      <c r="B183" s="3"/>
      <c r="C183" s="3"/>
      <c r="D183" s="3"/>
      <c r="E183" s="3"/>
      <c r="F183" s="3"/>
    </row>
    <row r="184" ht="15.75" customHeight="1">
      <c r="A184" s="3"/>
      <c r="B184" s="3"/>
      <c r="C184" s="3"/>
      <c r="D184" s="3"/>
      <c r="E184" s="3"/>
      <c r="F184" s="3"/>
    </row>
    <row r="185" ht="15.75" customHeight="1">
      <c r="A185" s="3"/>
      <c r="B185" s="3"/>
      <c r="C185" s="3"/>
      <c r="D185" s="3"/>
      <c r="E185" s="3"/>
      <c r="F185" s="3"/>
    </row>
    <row r="186" ht="15.75" customHeight="1">
      <c r="A186" s="3"/>
      <c r="B186" s="3"/>
      <c r="C186" s="3"/>
      <c r="D186" s="3"/>
      <c r="E186" s="3"/>
      <c r="F186" s="3"/>
    </row>
    <row r="187" ht="15.75" customHeight="1">
      <c r="A187" s="3"/>
      <c r="B187" s="3"/>
      <c r="C187" s="3"/>
      <c r="D187" s="3"/>
      <c r="E187" s="3"/>
      <c r="F187" s="3"/>
    </row>
    <row r="188" ht="15.75" customHeight="1">
      <c r="A188" s="3"/>
      <c r="B188" s="3"/>
      <c r="C188" s="3"/>
      <c r="D188" s="3"/>
      <c r="E188" s="3"/>
      <c r="F188" s="3"/>
    </row>
    <row r="189" ht="15.75" customHeight="1">
      <c r="A189" s="3"/>
      <c r="B189" s="3"/>
      <c r="C189" s="3"/>
      <c r="D189" s="3"/>
      <c r="E189" s="3"/>
      <c r="F189" s="3"/>
    </row>
    <row r="190" ht="15.75" customHeight="1">
      <c r="A190" s="3"/>
      <c r="B190" s="3"/>
      <c r="C190" s="3"/>
      <c r="D190" s="3"/>
      <c r="E190" s="3"/>
      <c r="F190" s="3"/>
    </row>
    <row r="191" ht="15.75" customHeight="1">
      <c r="A191" s="3"/>
      <c r="B191" s="3"/>
      <c r="C191" s="3"/>
      <c r="D191" s="3"/>
      <c r="E191" s="3"/>
      <c r="F191" s="3"/>
    </row>
    <row r="192" ht="15.75" customHeight="1">
      <c r="A192" s="3"/>
      <c r="B192" s="3"/>
      <c r="C192" s="3"/>
      <c r="D192" s="3"/>
      <c r="E192" s="3"/>
      <c r="F192" s="3"/>
    </row>
    <row r="193" ht="15.75" customHeight="1">
      <c r="A193" s="3"/>
      <c r="B193" s="3"/>
      <c r="C193" s="3"/>
      <c r="D193" s="3"/>
      <c r="E193" s="3"/>
      <c r="F193" s="3"/>
    </row>
    <row r="194" ht="15.75" customHeight="1">
      <c r="A194" s="3"/>
      <c r="B194" s="3"/>
      <c r="C194" s="3"/>
      <c r="D194" s="3"/>
      <c r="E194" s="3"/>
      <c r="F194" s="3"/>
    </row>
    <row r="195" ht="15.75" customHeight="1">
      <c r="A195" s="3"/>
      <c r="B195" s="3"/>
      <c r="C195" s="3"/>
      <c r="D195" s="3"/>
      <c r="E195" s="3"/>
      <c r="F195" s="3"/>
    </row>
    <row r="196" ht="15.75" customHeight="1">
      <c r="A196" s="3"/>
      <c r="B196" s="3"/>
      <c r="C196" s="3"/>
      <c r="D196" s="3"/>
      <c r="E196" s="3"/>
      <c r="F196" s="3"/>
    </row>
    <row r="197" ht="15.75" customHeight="1">
      <c r="A197" s="3"/>
      <c r="B197" s="3"/>
      <c r="C197" s="3"/>
      <c r="D197" s="3"/>
      <c r="E197" s="3"/>
      <c r="F197" s="3"/>
    </row>
    <row r="198" ht="15.75" customHeight="1">
      <c r="A198" s="3"/>
      <c r="B198" s="3"/>
      <c r="C198" s="3"/>
      <c r="D198" s="3"/>
      <c r="E198" s="3"/>
      <c r="F198" s="3"/>
    </row>
    <row r="199" ht="15.75" customHeight="1">
      <c r="A199" s="3"/>
      <c r="B199" s="3"/>
      <c r="C199" s="3"/>
      <c r="D199" s="3"/>
      <c r="E199" s="3"/>
      <c r="F199" s="3"/>
    </row>
    <row r="200" ht="15.75" customHeight="1">
      <c r="A200" s="3"/>
      <c r="B200" s="3"/>
      <c r="C200" s="3"/>
      <c r="D200" s="3"/>
      <c r="E200" s="3"/>
      <c r="F200" s="3"/>
    </row>
    <row r="201" ht="15.75" customHeight="1">
      <c r="A201" s="3"/>
      <c r="B201" s="3"/>
      <c r="C201" s="3"/>
      <c r="D201" s="3"/>
      <c r="E201" s="3"/>
      <c r="F201" s="3"/>
    </row>
    <row r="202" ht="15.75" customHeight="1">
      <c r="A202" s="3"/>
      <c r="B202" s="3"/>
      <c r="C202" s="3"/>
      <c r="D202" s="3"/>
      <c r="E202" s="3"/>
      <c r="F202" s="3"/>
    </row>
    <row r="203" ht="15.75" customHeight="1">
      <c r="A203" s="3"/>
      <c r="B203" s="3"/>
      <c r="C203" s="3"/>
      <c r="D203" s="3"/>
      <c r="E203" s="3"/>
      <c r="F203" s="3"/>
    </row>
    <row r="204" ht="15.75" customHeight="1">
      <c r="A204" s="3"/>
      <c r="B204" s="3"/>
      <c r="C204" s="3"/>
      <c r="D204" s="3"/>
      <c r="E204" s="3"/>
      <c r="F204" s="3"/>
    </row>
    <row r="205" ht="15.75" customHeight="1">
      <c r="A205" s="3"/>
      <c r="B205" s="3"/>
      <c r="C205" s="3"/>
      <c r="D205" s="3"/>
      <c r="E205" s="3"/>
      <c r="F205" s="3"/>
    </row>
    <row r="206" ht="15.75" customHeight="1">
      <c r="A206" s="3"/>
      <c r="B206" s="3"/>
      <c r="C206" s="3"/>
      <c r="D206" s="3"/>
      <c r="E206" s="3"/>
      <c r="F206" s="3"/>
    </row>
    <row r="207" ht="15.75" customHeight="1">
      <c r="A207" s="3"/>
      <c r="B207" s="3"/>
      <c r="C207" s="3"/>
      <c r="D207" s="3"/>
      <c r="E207" s="3"/>
      <c r="F207" s="3"/>
    </row>
    <row r="208" ht="15.75" customHeight="1">
      <c r="A208" s="3"/>
      <c r="B208" s="3"/>
      <c r="C208" s="3"/>
      <c r="D208" s="3"/>
      <c r="E208" s="3"/>
      <c r="F208" s="3"/>
    </row>
    <row r="209" ht="15.75" customHeight="1">
      <c r="A209" s="3"/>
      <c r="B209" s="3"/>
      <c r="C209" s="3"/>
      <c r="D209" s="3"/>
      <c r="E209" s="3"/>
      <c r="F209" s="3"/>
    </row>
    <row r="210" ht="15.75" customHeight="1">
      <c r="A210" s="3"/>
      <c r="B210" s="3"/>
      <c r="C210" s="3"/>
      <c r="D210" s="3"/>
      <c r="E210" s="3"/>
      <c r="F210" s="3"/>
    </row>
    <row r="211" ht="15.75" customHeight="1">
      <c r="A211" s="3"/>
      <c r="B211" s="3"/>
      <c r="C211" s="3"/>
      <c r="D211" s="3"/>
      <c r="E211" s="3"/>
      <c r="F211" s="3"/>
    </row>
    <row r="212" ht="15.75" customHeight="1">
      <c r="A212" s="3"/>
      <c r="B212" s="3"/>
      <c r="C212" s="3"/>
      <c r="D212" s="3"/>
      <c r="E212" s="3"/>
      <c r="F212" s="3"/>
    </row>
    <row r="213" ht="15.75" customHeight="1">
      <c r="A213" s="3"/>
      <c r="B213" s="3"/>
      <c r="C213" s="3"/>
      <c r="D213" s="3"/>
      <c r="E213" s="3"/>
      <c r="F213" s="3"/>
    </row>
    <row r="214" ht="15.75" customHeight="1">
      <c r="A214" s="3"/>
      <c r="B214" s="3"/>
      <c r="C214" s="3"/>
      <c r="D214" s="3"/>
      <c r="E214" s="3"/>
      <c r="F214" s="3"/>
    </row>
    <row r="215" ht="15.75" customHeight="1">
      <c r="A215" s="3"/>
      <c r="B215" s="3"/>
      <c r="C215" s="3"/>
      <c r="D215" s="3"/>
      <c r="E215" s="3"/>
      <c r="F215" s="3"/>
    </row>
    <row r="216" ht="15.75" customHeight="1">
      <c r="A216" s="3"/>
      <c r="B216" s="3"/>
      <c r="C216" s="3"/>
      <c r="D216" s="3"/>
      <c r="E216" s="3"/>
      <c r="F216" s="3"/>
    </row>
    <row r="217" ht="15.75" customHeight="1">
      <c r="A217" s="3"/>
      <c r="B217" s="3"/>
      <c r="C217" s="3"/>
      <c r="D217" s="3"/>
      <c r="E217" s="3"/>
      <c r="F217" s="3"/>
    </row>
    <row r="218" ht="15.75" customHeight="1">
      <c r="A218" s="3"/>
      <c r="B218" s="3"/>
      <c r="C218" s="3"/>
      <c r="D218" s="3"/>
      <c r="E218" s="3"/>
      <c r="F218" s="3"/>
    </row>
    <row r="219" ht="15.75" customHeight="1">
      <c r="A219" s="3"/>
      <c r="B219" s="3"/>
      <c r="C219" s="3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80.0"/>
    <col customWidth="1" min="4" max="6" width="8.71"/>
  </cols>
  <sheetData>
    <row r="1">
      <c r="A1" s="54" t="s">
        <v>240</v>
      </c>
      <c r="B1" s="54" t="s">
        <v>241</v>
      </c>
      <c r="C1" s="54" t="s">
        <v>242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7" t="s">
        <v>243</v>
      </c>
      <c r="B2" s="7" t="s">
        <v>244</v>
      </c>
      <c r="C2" s="7" t="s">
        <v>245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7" t="s">
        <v>246</v>
      </c>
      <c r="B3" s="7" t="s">
        <v>244</v>
      </c>
      <c r="C3" s="7" t="s">
        <v>247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7" t="s">
        <v>246</v>
      </c>
      <c r="B4" s="7" t="s">
        <v>244</v>
      </c>
      <c r="C4" s="7" t="s">
        <v>248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7" t="s">
        <v>249</v>
      </c>
      <c r="B5" s="7" t="s">
        <v>244</v>
      </c>
      <c r="C5" s="7" t="s">
        <v>250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7" t="s">
        <v>251</v>
      </c>
      <c r="B6" s="7" t="s">
        <v>244</v>
      </c>
      <c r="C6" s="7" t="s">
        <v>252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253</v>
      </c>
      <c r="B7" s="7" t="s">
        <v>244</v>
      </c>
      <c r="C7" s="7" t="s">
        <v>254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7" t="s">
        <v>255</v>
      </c>
      <c r="B8" s="7" t="s">
        <v>244</v>
      </c>
      <c r="C8" s="7" t="s">
        <v>256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7" t="s">
        <v>257</v>
      </c>
      <c r="B9" s="7" t="s">
        <v>244</v>
      </c>
      <c r="C9" s="7" t="s">
        <v>258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7" t="s">
        <v>259</v>
      </c>
      <c r="B10" s="7" t="s">
        <v>244</v>
      </c>
      <c r="C10" s="7" t="s">
        <v>260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7" t="s">
        <v>261</v>
      </c>
      <c r="B11" s="7" t="s">
        <v>244</v>
      </c>
      <c r="C11" s="7" t="s">
        <v>262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 t="s">
        <v>263</v>
      </c>
      <c r="B12" s="3" t="s">
        <v>244</v>
      </c>
      <c r="C12" s="3" t="s">
        <v>264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265</v>
      </c>
      <c r="B13" s="3" t="s">
        <v>244</v>
      </c>
      <c r="C13" s="3" t="s">
        <v>266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20" t="s">
        <v>267</v>
      </c>
      <c r="B14" s="20" t="s">
        <v>268</v>
      </c>
      <c r="C14" s="19" t="s">
        <v>269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270</v>
      </c>
      <c r="B15" s="3" t="s">
        <v>244</v>
      </c>
      <c r="C15" s="3" t="s">
        <v>271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272</v>
      </c>
      <c r="B16" s="3" t="s">
        <v>244</v>
      </c>
      <c r="C16" s="3" t="s">
        <v>273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274</v>
      </c>
      <c r="B17" s="3" t="s">
        <v>244</v>
      </c>
      <c r="C17" s="3" t="s">
        <v>275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276</v>
      </c>
      <c r="B18" s="3" t="s">
        <v>244</v>
      </c>
      <c r="C18" s="3" t="s">
        <v>275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277</v>
      </c>
      <c r="B19" s="3" t="s">
        <v>244</v>
      </c>
      <c r="C19" s="3" t="s">
        <v>278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279</v>
      </c>
      <c r="B20" s="3" t="s">
        <v>244</v>
      </c>
      <c r="C20" s="3" t="s">
        <v>280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 t="s">
        <v>281</v>
      </c>
      <c r="B21" s="3" t="s">
        <v>244</v>
      </c>
      <c r="C21" s="3" t="s">
        <v>282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 t="s">
        <v>283</v>
      </c>
      <c r="B22" s="3" t="s">
        <v>244</v>
      </c>
      <c r="C22" s="3" t="s">
        <v>284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 t="s">
        <v>285</v>
      </c>
      <c r="B23" s="3" t="s">
        <v>244</v>
      </c>
      <c r="C23" s="3" t="s">
        <v>286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 t="s">
        <v>287</v>
      </c>
      <c r="B24" s="3" t="s">
        <v>244</v>
      </c>
      <c r="C24" s="3" t="s">
        <v>288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 t="s">
        <v>289</v>
      </c>
      <c r="B25" s="3" t="s">
        <v>244</v>
      </c>
      <c r="C25" s="3" t="s">
        <v>290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 t="s">
        <v>291</v>
      </c>
      <c r="B26" s="3" t="s">
        <v>244</v>
      </c>
      <c r="C26" s="3" t="s">
        <v>292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 t="s">
        <v>293</v>
      </c>
      <c r="B27" s="3" t="s">
        <v>244</v>
      </c>
      <c r="C27" s="3" t="s">
        <v>294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 t="s">
        <v>295</v>
      </c>
      <c r="B28" s="3" t="s">
        <v>244</v>
      </c>
      <c r="C28" s="3" t="s">
        <v>296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 t="s">
        <v>297</v>
      </c>
      <c r="B29" s="3" t="s">
        <v>244</v>
      </c>
      <c r="C29" s="3" t="s">
        <v>298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 t="s">
        <v>299</v>
      </c>
      <c r="B30" s="3" t="s">
        <v>244</v>
      </c>
      <c r="C30" s="3" t="s">
        <v>300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 t="s">
        <v>301</v>
      </c>
      <c r="B31" s="3" t="s">
        <v>244</v>
      </c>
      <c r="C31" s="3" t="s">
        <v>302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 t="s">
        <v>303</v>
      </c>
      <c r="B32" s="3" t="s">
        <v>244</v>
      </c>
      <c r="C32" s="3" t="s">
        <v>304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 t="s">
        <v>305</v>
      </c>
      <c r="B33" s="3" t="s">
        <v>244</v>
      </c>
      <c r="C33" s="3" t="s">
        <v>306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 t="s">
        <v>307</v>
      </c>
      <c r="B34" s="3" t="s">
        <v>244</v>
      </c>
      <c r="C34" s="3" t="s">
        <v>308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 t="s">
        <v>309</v>
      </c>
      <c r="B35" s="3" t="s">
        <v>244</v>
      </c>
      <c r="C35" s="3" t="s">
        <v>310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 t="s">
        <v>311</v>
      </c>
      <c r="B36" s="3" t="s">
        <v>244</v>
      </c>
      <c r="C36" s="3" t="s">
        <v>312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 t="s">
        <v>313</v>
      </c>
      <c r="B37" s="3" t="s">
        <v>244</v>
      </c>
      <c r="C37" s="3" t="s">
        <v>314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 t="s">
        <v>315</v>
      </c>
      <c r="B38" s="3" t="s">
        <v>244</v>
      </c>
      <c r="C38" s="3" t="s">
        <v>316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 t="s">
        <v>317</v>
      </c>
      <c r="B39" s="3" t="s">
        <v>244</v>
      </c>
      <c r="C39" s="3" t="s">
        <v>318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 t="s">
        <v>319</v>
      </c>
      <c r="B40" s="3" t="s">
        <v>244</v>
      </c>
      <c r="C40" s="3" t="s">
        <v>320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 t="s">
        <v>321</v>
      </c>
      <c r="B41" s="3" t="s">
        <v>244</v>
      </c>
      <c r="C41" s="3" t="s">
        <v>322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 t="s">
        <v>323</v>
      </c>
      <c r="B42" s="3" t="s">
        <v>244</v>
      </c>
      <c r="C42" s="3" t="s">
        <v>324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 t="s">
        <v>325</v>
      </c>
      <c r="B43" s="3" t="s">
        <v>244</v>
      </c>
      <c r="C43" s="3" t="s">
        <v>326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 t="s">
        <v>327</v>
      </c>
      <c r="B44" s="3" t="s">
        <v>244</v>
      </c>
      <c r="C44" s="3" t="s">
        <v>328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 t="s">
        <v>329</v>
      </c>
      <c r="B45" s="3" t="s">
        <v>244</v>
      </c>
      <c r="C45" s="3" t="s">
        <v>324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 t="s">
        <v>330</v>
      </c>
      <c r="B46" s="3" t="s">
        <v>244</v>
      </c>
      <c r="C46" s="3" t="s">
        <v>331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 t="s">
        <v>332</v>
      </c>
      <c r="B47" s="3" t="s">
        <v>244</v>
      </c>
      <c r="C47" s="3" t="s">
        <v>333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 t="s">
        <v>334</v>
      </c>
      <c r="B48" s="3" t="s">
        <v>244</v>
      </c>
      <c r="C48" s="3" t="s">
        <v>335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 t="s">
        <v>336</v>
      </c>
      <c r="B49" s="3" t="s">
        <v>244</v>
      </c>
      <c r="C49" s="3" t="s">
        <v>337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 t="s">
        <v>338</v>
      </c>
      <c r="B50" s="3" t="s">
        <v>244</v>
      </c>
      <c r="C50" s="3" t="s">
        <v>339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 t="s">
        <v>340</v>
      </c>
      <c r="B51" s="3" t="s">
        <v>244</v>
      </c>
      <c r="C51" s="3" t="s">
        <v>341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 t="s">
        <v>342</v>
      </c>
      <c r="B52" s="3" t="s">
        <v>244</v>
      </c>
      <c r="C52" s="3" t="s">
        <v>343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 t="s">
        <v>344</v>
      </c>
      <c r="B53" s="3" t="s">
        <v>244</v>
      </c>
      <c r="C53" s="3" t="s">
        <v>345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 t="s">
        <v>346</v>
      </c>
      <c r="B54" s="3" t="s">
        <v>244</v>
      </c>
      <c r="C54" s="3" t="s">
        <v>347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 t="s">
        <v>348</v>
      </c>
      <c r="B55" s="3" t="s">
        <v>244</v>
      </c>
      <c r="C55" s="3" t="s">
        <v>349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 t="s">
        <v>350</v>
      </c>
      <c r="B56" s="3" t="s">
        <v>244</v>
      </c>
      <c r="C56" s="3" t="s">
        <v>351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 t="s">
        <v>352</v>
      </c>
      <c r="B57" s="3" t="s">
        <v>244</v>
      </c>
      <c r="C57" s="3" t="s">
        <v>343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 t="s">
        <v>353</v>
      </c>
      <c r="B58" s="3" t="s">
        <v>244</v>
      </c>
      <c r="C58" s="3" t="s">
        <v>337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 t="s">
        <v>354</v>
      </c>
      <c r="B59" s="3" t="s">
        <v>244</v>
      </c>
      <c r="C59" s="3" t="s">
        <v>333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 t="s">
        <v>355</v>
      </c>
      <c r="B60" s="3" t="s">
        <v>244</v>
      </c>
      <c r="C60" s="3" t="s">
        <v>356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 t="s">
        <v>357</v>
      </c>
      <c r="B61" s="3" t="s">
        <v>244</v>
      </c>
      <c r="C61" s="3" t="s">
        <v>358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 t="s">
        <v>359</v>
      </c>
      <c r="B62" s="3" t="s">
        <v>244</v>
      </c>
      <c r="C62" s="3" t="s">
        <v>360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 t="s">
        <v>361</v>
      </c>
      <c r="B63" s="3" t="s">
        <v>244</v>
      </c>
      <c r="C63" s="3" t="s">
        <v>362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 t="s">
        <v>363</v>
      </c>
      <c r="B64" s="3" t="s">
        <v>244</v>
      </c>
      <c r="C64" s="3" t="s">
        <v>364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 t="s">
        <v>365</v>
      </c>
      <c r="B65" s="3" t="s">
        <v>244</v>
      </c>
      <c r="C65" s="3" t="s">
        <v>364</v>
      </c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 t="s">
        <v>366</v>
      </c>
      <c r="B66" s="3" t="s">
        <v>244</v>
      </c>
      <c r="C66" s="3" t="s">
        <v>364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 t="s">
        <v>367</v>
      </c>
      <c r="B67" s="3" t="s">
        <v>244</v>
      </c>
      <c r="C67" s="3" t="s">
        <v>364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 t="s">
        <v>368</v>
      </c>
      <c r="B68" s="3" t="s">
        <v>244</v>
      </c>
      <c r="C68" s="3" t="s">
        <v>364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 t="s">
        <v>369</v>
      </c>
      <c r="B69" s="3" t="s">
        <v>244</v>
      </c>
      <c r="C69" s="3" t="s">
        <v>370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 t="s">
        <v>371</v>
      </c>
      <c r="B70" s="3" t="s">
        <v>244</v>
      </c>
      <c r="C70" s="3" t="s">
        <v>372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 t="s">
        <v>373</v>
      </c>
      <c r="B71" s="3" t="s">
        <v>244</v>
      </c>
      <c r="C71" s="3" t="s">
        <v>374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 t="s">
        <v>375</v>
      </c>
      <c r="B72" s="3" t="s">
        <v>244</v>
      </c>
      <c r="C72" s="3" t="s">
        <v>376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 t="s">
        <v>377</v>
      </c>
      <c r="B73" s="3" t="s">
        <v>244</v>
      </c>
      <c r="C73" s="3" t="s">
        <v>378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 t="s">
        <v>379</v>
      </c>
      <c r="B74" s="3" t="s">
        <v>244</v>
      </c>
      <c r="C74" s="3" t="s">
        <v>380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 t="s">
        <v>381</v>
      </c>
      <c r="B75" s="3" t="s">
        <v>244</v>
      </c>
      <c r="C75" s="3" t="s">
        <v>382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3.0"/>
    <col customWidth="1" min="3" max="3" width="24.0"/>
    <col customWidth="1" min="4" max="4" width="14.0"/>
    <col customWidth="1" min="5" max="6" width="12.0"/>
    <col customWidth="1" min="7" max="7" width="16.0"/>
    <col customWidth="1" min="8" max="8" width="13.0"/>
    <col customWidth="1" min="9" max="9" width="16.0"/>
    <col customWidth="1" min="10" max="10" width="12.0"/>
    <col customWidth="1" min="11" max="11" width="53.0"/>
  </cols>
  <sheetData>
    <row r="1" ht="25.5" customHeight="1">
      <c r="A1" s="55" t="s">
        <v>2</v>
      </c>
      <c r="B1" s="55" t="s">
        <v>1</v>
      </c>
      <c r="C1" s="55" t="s">
        <v>383</v>
      </c>
      <c r="D1" s="55" t="s">
        <v>384</v>
      </c>
      <c r="E1" s="55" t="s">
        <v>17</v>
      </c>
      <c r="F1" s="55" t="s">
        <v>385</v>
      </c>
      <c r="G1" s="55" t="s">
        <v>386</v>
      </c>
      <c r="H1" s="55" t="s">
        <v>23</v>
      </c>
      <c r="I1" s="55" t="s">
        <v>172</v>
      </c>
      <c r="J1" s="55" t="s">
        <v>388</v>
      </c>
      <c r="K1" s="55" t="s">
        <v>20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56" t="s">
        <v>212</v>
      </c>
      <c r="B2" s="56" t="s">
        <v>27</v>
      </c>
      <c r="C2" s="57" t="s">
        <v>389</v>
      </c>
      <c r="D2" s="58">
        <v>1954.0</v>
      </c>
      <c r="E2" s="58">
        <v>1890.88</v>
      </c>
      <c r="F2" s="58">
        <v>2080.24</v>
      </c>
      <c r="G2" s="58">
        <v>2000.0</v>
      </c>
      <c r="H2" s="56" t="s">
        <v>390</v>
      </c>
      <c r="I2" s="58">
        <v>1954.0</v>
      </c>
      <c r="J2" s="58">
        <v>0.0</v>
      </c>
      <c r="K2" s="57" t="s">
        <v>391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9.5" customHeight="1">
      <c r="A3" s="56" t="s">
        <v>212</v>
      </c>
      <c r="B3" s="56" t="s">
        <v>392</v>
      </c>
      <c r="C3" s="57" t="s">
        <v>393</v>
      </c>
      <c r="D3" s="58">
        <v>11283.5</v>
      </c>
      <c r="E3" s="58">
        <v>10780.43</v>
      </c>
      <c r="F3" s="58">
        <v>12289.64</v>
      </c>
      <c r="G3" s="58">
        <v>2000.0</v>
      </c>
      <c r="H3" s="56" t="s">
        <v>390</v>
      </c>
      <c r="I3" s="58">
        <v>11283.5</v>
      </c>
      <c r="J3" s="58">
        <v>0.0</v>
      </c>
      <c r="K3" s="57" t="s">
        <v>394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9.5" customHeight="1">
      <c r="A4" s="56" t="s">
        <v>212</v>
      </c>
      <c r="B4" s="56" t="s">
        <v>395</v>
      </c>
      <c r="C4" s="57" t="s">
        <v>396</v>
      </c>
      <c r="D4" s="58">
        <v>5098.8</v>
      </c>
      <c r="E4" s="58">
        <v>4900.54</v>
      </c>
      <c r="F4" s="58">
        <v>5495.31</v>
      </c>
      <c r="G4" s="58">
        <v>2000.0</v>
      </c>
      <c r="H4" s="56" t="s">
        <v>390</v>
      </c>
      <c r="I4" s="58">
        <v>5098.8</v>
      </c>
      <c r="J4" s="58">
        <v>0.0</v>
      </c>
      <c r="K4" s="57" t="s">
        <v>394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9.5" customHeight="1">
      <c r="A5" s="56" t="s">
        <v>212</v>
      </c>
      <c r="B5" s="56" t="s">
        <v>397</v>
      </c>
      <c r="C5" s="57" t="s">
        <v>398</v>
      </c>
      <c r="D5" s="58">
        <v>3686.3</v>
      </c>
      <c r="E5" s="58">
        <v>3491.06</v>
      </c>
      <c r="F5" s="58">
        <v>4076.79</v>
      </c>
      <c r="G5" s="58">
        <v>2000.0</v>
      </c>
      <c r="H5" s="56" t="s">
        <v>390</v>
      </c>
      <c r="I5" s="58">
        <v>3686.3</v>
      </c>
      <c r="J5" s="58">
        <v>0.0</v>
      </c>
      <c r="K5" s="57" t="s">
        <v>399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9.5" customHeight="1">
      <c r="A6" s="56" t="s">
        <v>212</v>
      </c>
      <c r="B6" s="56" t="s">
        <v>77</v>
      </c>
      <c r="C6" s="57" t="s">
        <v>400</v>
      </c>
      <c r="D6" s="58">
        <v>4592.5</v>
      </c>
      <c r="E6" s="58">
        <v>4418.04</v>
      </c>
      <c r="F6" s="58">
        <v>4941.41</v>
      </c>
      <c r="G6" s="58">
        <v>2000.0</v>
      </c>
      <c r="H6" s="56" t="s">
        <v>390</v>
      </c>
      <c r="I6" s="58">
        <v>4592.5</v>
      </c>
      <c r="J6" s="58">
        <v>0.0</v>
      </c>
      <c r="K6" s="57" t="s">
        <v>401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</row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53" t="s">
        <v>2</v>
      </c>
      <c r="B1" s="53" t="s">
        <v>387</v>
      </c>
    </row>
    <row r="2">
      <c r="A2" s="53" t="s">
        <v>26</v>
      </c>
      <c r="B2" s="53">
        <v>-4.400000000000091</v>
      </c>
    </row>
    <row r="3">
      <c r="A3" s="53" t="s">
        <v>102</v>
      </c>
      <c r="B3" s="53">
        <v>-22.30000000000018</v>
      </c>
    </row>
    <row r="4">
      <c r="A4" s="53" t="s">
        <v>66</v>
      </c>
      <c r="B4" s="53">
        <v>104.7999999999997</v>
      </c>
    </row>
    <row r="5">
      <c r="A5" s="53" t="s">
        <v>132</v>
      </c>
      <c r="B5" s="53">
        <v>103.8499999999997</v>
      </c>
    </row>
    <row r="6">
      <c r="A6" s="53" t="s">
        <v>120</v>
      </c>
      <c r="B6" s="53">
        <v>119.6399999999998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2026-07-21T07:18:24Z</dcterms:created>
  <dc:creator>openpyxl</dc:creator>
</cp:coreProperties>
</file>