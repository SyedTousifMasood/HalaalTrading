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ystem_Playbook" sheetId="1" state="visible" r:id="rId1"/>
    <sheet name="Dashboard" sheetId="2" state="visible" r:id="rId2"/>
    <sheet name="Ledger" sheetId="3" state="visible" r:id="rId3"/>
    <sheet name="Recommendations" sheetId="4" state="visible" r:id="rId4"/>
    <sheet name="Capital" sheetId="5" state="visible" r:id="rId5"/>
    <sheet name="Logs" sheetId="6" state="visible" r:id="rId6"/>
    <sheet name="Paper_Trades" sheetId="7" state="visible" r:id="rId7"/>
    <sheet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5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pivotButton="0" quotePrefix="0" xfId="0"/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3" fillId="12" borderId="0" pivotButton="0" quotePrefix="0" xfId="0"/>
    <xf numFmtId="0" fontId="23" fillId="12" borderId="0" pivotButton="0" quotePrefix="0" xfId="0"/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Pt>
            <idx val="9"/>
            <spPr>
              <a:solidFill>
                <a:srgbClr val="A693BE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Pt>
            <idx val="9"/>
            <spPr>
              <a:solidFill>
                <a:srgbClr val="A693BE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691459684"/>
        <axId val="754794254"/>
      </lineChart>
      <catAx>
        <axId val="169145968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4794254"/>
        <lblOffset val="100"/>
      </catAx>
      <valAx>
        <axId val="75479425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91459684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6032001"/>
        <axId val="1634755641"/>
      </lineChart>
      <catAx>
        <axId val="51603200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34755641"/>
        <lblOffset val="100"/>
      </catAx>
      <valAx>
        <axId val="163475564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603200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222972591"/>
        <axId val="640587046"/>
      </lineChart>
      <catAx>
        <axId val="122297259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0587046"/>
        <lblOffset val="100"/>
      </catAx>
      <valAx>
        <axId val="64058704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297259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70042242"/>
        <axId val="725026122"/>
      </lineChart>
      <catAx>
        <axId val="87004224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25026122"/>
        <lblOffset val="100"/>
      </catAx>
      <valAx>
        <axId val="72502612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0042242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02086811"/>
        <axId val="61980095"/>
      </lineChart>
      <catAx>
        <axId val="90208681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980095"/>
        <lblOffset val="100"/>
      </catAx>
      <valAx>
        <axId val="61980095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208681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52587274"/>
        <axId val="1878268849"/>
      </lineChart>
      <catAx>
        <axId val="195258727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268849"/>
        <lblOffset val="100"/>
      </catAx>
      <valAx>
        <axId val="187826884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2587274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11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11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11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7">
      <c r="A7" s="11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7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7">
      <c r="A10" s="11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7">
      <c r="A11" s="11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7">
      <c r="A12" s="11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7">
      <c r="A13" s="11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7">
      <c r="A14" s="11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7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7">
      <c r="A17" s="11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7">
      <c r="A18" s="11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7">
      <c r="A19" s="11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7">
      <c r="A20" s="11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7">
      <c r="A21" s="11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7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7">
      <c r="A24" s="11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7">
      <c r="A25" s="11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7">
      <c r="A26" s="11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7">
      <c r="A27" s="11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7">
      <c r="A28" s="11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7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7">
      <c r="A43" s="11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7">
      <c r="A44" s="11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7">
      <c r="A45" s="11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7">
      <c r="A46" s="11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7">
      <c r="A47" s="11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7">
      <c r="A2" s="62" t="inlineStr">
        <is>
          <t>Last updated on : 2026-08-12 14:47:54</t>
        </is>
      </c>
      <c r="B2" s="77" t="n"/>
      <c r="C2" s="77" t="n"/>
      <c r="D2" s="77" t="n"/>
      <c r="E2" s="77" t="n"/>
      <c r="F2" s="77" t="n"/>
      <c r="G2" s="77" t="n"/>
      <c r="H2" s="77" t="n"/>
      <c r="I2" s="77" t="n"/>
      <c r="J2" s="77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77" t="n"/>
      <c r="D3" s="78" t="inlineStr">
        <is>
          <t>Stock</t>
        </is>
      </c>
      <c r="E3" s="78" t="inlineStr">
        <is>
          <t>Qty</t>
        </is>
      </c>
      <c r="F3" s="78" t="inlineStr">
        <is>
          <t>Purchase Price</t>
        </is>
      </c>
      <c r="G3" s="78" t="inlineStr">
        <is>
          <t>Current Price</t>
        </is>
      </c>
      <c r="H3" s="78" t="inlineStr">
        <is>
          <t>Current Value</t>
        </is>
      </c>
      <c r="I3" s="78" t="inlineStr">
        <is>
          <t>P&amp;L Amount</t>
        </is>
      </c>
      <c r="J3" s="78" t="inlineStr">
        <is>
          <t>P&amp;L %</t>
        </is>
      </c>
      <c r="K3" s="78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4" t="inlineStr">
        <is>
          <t>Global Portfolio Metrics</t>
        </is>
      </c>
      <c r="C4" s="77" t="n"/>
      <c r="D4" s="79" t="inlineStr">
        <is>
          <t>JSWSTEEL</t>
        </is>
      </c>
      <c r="E4" s="80" t="n">
        <v>1</v>
      </c>
      <c r="F4" s="81" t="n">
        <v>1265.1</v>
      </c>
      <c r="G4" s="81" t="n">
        <v>1269.099975585938</v>
      </c>
      <c r="H4" s="81">
        <f>E4*G4</f>
        <v/>
      </c>
      <c r="I4" s="82">
        <f>H4-(E4*F4)</f>
        <v/>
      </c>
      <c r="J4" s="83">
        <f>IF(F4&gt;0, I4/(E4*F4), 0)</f>
        <v/>
      </c>
      <c r="K4" s="84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77" t="n"/>
      <c r="D5" s="79" t="inlineStr">
        <is>
          <t>TECHM</t>
        </is>
      </c>
      <c r="E5" s="80" t="n">
        <v>1</v>
      </c>
      <c r="F5" s="81" t="n">
        <v>1579</v>
      </c>
      <c r="G5" s="81" t="n">
        <v>1625</v>
      </c>
      <c r="H5" s="81">
        <f>E5*G5</f>
        <v/>
      </c>
      <c r="I5" s="82">
        <f>H5-(E5*F5)</f>
        <v/>
      </c>
      <c r="J5" s="83">
        <f>IF(F5&gt;0, I5/(E5*F5), 0)</f>
        <v/>
      </c>
      <c r="K5" s="84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5" t="inlineStr">
        <is>
          <t>Lifetime Realized PnL</t>
        </is>
      </c>
      <c r="B6" s="66">
        <f>SUM(Ledger!M:M)</f>
        <v/>
      </c>
      <c r="C6" s="77" t="n"/>
      <c r="D6" s="79" t="inlineStr">
        <is>
          <t>BERGEPAINT</t>
        </is>
      </c>
      <c r="E6" s="80" t="n">
        <v>2</v>
      </c>
      <c r="F6" s="81" t="n">
        <v>519.13</v>
      </c>
      <c r="G6" s="81" t="n">
        <v>559.7999877929688</v>
      </c>
      <c r="H6" s="81">
        <f>E6*G6</f>
        <v/>
      </c>
      <c r="I6" s="82">
        <f>H6-(E6*F6)</f>
        <v/>
      </c>
      <c r="J6" s="83">
        <f>IF(F6&gt;0, I6/(E6*F6), 0)</f>
        <v/>
      </c>
      <c r="K6" s="84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5" t="inlineStr">
        <is>
          <t>Lifetime Realized P/L Percentage</t>
        </is>
      </c>
      <c r="B7" s="67">
        <f>B6/B5</f>
        <v/>
      </c>
      <c r="C7" s="77" t="n"/>
      <c r="D7" s="79" t="inlineStr">
        <is>
          <t>ADVANCE</t>
        </is>
      </c>
      <c r="E7" s="80" t="n">
        <v>4</v>
      </c>
      <c r="F7" s="81" t="n">
        <v>127.8</v>
      </c>
      <c r="G7" s="81" t="n">
        <v>118.0100021362305</v>
      </c>
      <c r="H7" s="81">
        <f>E7*G7</f>
        <v/>
      </c>
      <c r="I7" s="87">
        <f>H7-(E7*F7)</f>
        <v/>
      </c>
      <c r="J7" s="88">
        <f>IF(F7&gt;0, I7/(E7*F7), 0)</f>
        <v/>
      </c>
      <c r="K7" s="84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5" t="inlineStr">
        <is>
          <t>Current Total Portfolio Value</t>
        </is>
      </c>
      <c r="B8" s="66">
        <f>B13+B12</f>
        <v/>
      </c>
      <c r="C8" s="77" t="n"/>
      <c r="D8" s="79" t="inlineStr">
        <is>
          <t>IFGLEXPOR</t>
        </is>
      </c>
      <c r="E8" s="80" t="n">
        <v>4</v>
      </c>
      <c r="F8" s="81" t="n">
        <v>219.6</v>
      </c>
      <c r="G8" s="81" t="n">
        <v>212.9299926757812</v>
      </c>
      <c r="H8" s="81">
        <f>E8*G8</f>
        <v/>
      </c>
      <c r="I8" s="87">
        <f>H8-(E8*F8)</f>
        <v/>
      </c>
      <c r="J8" s="88">
        <f>IF(F8&gt;0, I8/(E8*F8), 0)</f>
        <v/>
      </c>
      <c r="K8" s="84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77" t="n"/>
      <c r="D9" s="79" t="inlineStr">
        <is>
          <t>SAPPHIRE</t>
        </is>
      </c>
      <c r="E9" s="80" t="n">
        <v>4</v>
      </c>
      <c r="F9" s="81" t="n">
        <v>202.5</v>
      </c>
      <c r="G9" s="81" t="n">
        <v>231.7400054931641</v>
      </c>
      <c r="H9" s="81">
        <f>E9*G9</f>
        <v/>
      </c>
      <c r="I9" s="82">
        <f>H9-(E9*F9)</f>
        <v/>
      </c>
      <c r="J9" s="83">
        <f>IF(F9&gt;0, I9/(E9*F9), 0)</f>
        <v/>
      </c>
      <c r="K9" s="84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77" t="n"/>
      <c r="D10" s="79" t="inlineStr">
        <is>
          <t>AEROENTER</t>
        </is>
      </c>
      <c r="E10" s="80" t="n">
        <v>8</v>
      </c>
      <c r="F10" s="81" t="n">
        <v>132.01</v>
      </c>
      <c r="G10" s="81" t="n">
        <v>129.2899932861328</v>
      </c>
      <c r="H10" s="81">
        <f>E10*G10</f>
        <v/>
      </c>
      <c r="I10" s="87">
        <f>H10-(E10*F10)</f>
        <v/>
      </c>
      <c r="J10" s="88">
        <f>IF(F10&gt;0, I10/(E10*F10), 0)</f>
        <v/>
      </c>
      <c r="K10" s="84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77" t="n"/>
      <c r="D11" s="79" t="inlineStr">
        <is>
          <t>HARSHA</t>
        </is>
      </c>
      <c r="E11" s="80" t="n">
        <v>3</v>
      </c>
      <c r="F11" s="81" t="n">
        <v>432.6</v>
      </c>
      <c r="G11" s="81" t="n">
        <v>399.8999938964844</v>
      </c>
      <c r="H11" s="81">
        <f>E11*G11</f>
        <v/>
      </c>
      <c r="I11" s="87">
        <f>H11-(E11*F11)</f>
        <v/>
      </c>
      <c r="J11" s="88">
        <f>IF(F11&gt;0, I11/(E11*F11), 0)</f>
        <v/>
      </c>
      <c r="K11" s="84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5" t="inlineStr">
        <is>
          <t>Current Value of Active Trades</t>
        </is>
      </c>
      <c r="B12" s="66" t="n">
        <v>11265.13993835449</v>
      </c>
      <c r="C12" s="77" t="n"/>
      <c r="D12" s="79" t="inlineStr">
        <is>
          <t>CONFIPET</t>
        </is>
      </c>
      <c r="E12" s="80" t="n">
        <v>10</v>
      </c>
      <c r="F12" s="81" t="n">
        <v>82.73999999999999</v>
      </c>
      <c r="G12" s="81" t="n">
        <v>73.81999969482422</v>
      </c>
      <c r="H12" s="81">
        <f>E12*G12</f>
        <v/>
      </c>
      <c r="I12" s="87">
        <f>H12-(E12*F12)</f>
        <v/>
      </c>
      <c r="J12" s="88">
        <f>IF(F12&gt;0, I12/(E12*F12), 0)</f>
        <v/>
      </c>
      <c r="K12" s="84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5" t="inlineStr">
        <is>
          <t>Capital Available for Trading</t>
        </is>
      </c>
      <c r="B13" s="66">
        <f>B5 - SUMIF(Capital!B:B, "WITHDRAWAL", Capital!C:C) + B6 - B11</f>
        <v/>
      </c>
      <c r="C13" s="77" t="n"/>
      <c r="D13" s="79" t="inlineStr">
        <is>
          <t>BEL</t>
        </is>
      </c>
      <c r="E13" s="80" t="n">
        <v>5</v>
      </c>
      <c r="F13" s="81" t="n">
        <v>405.85</v>
      </c>
      <c r="G13" s="81" t="n">
        <v>405.7000122070312</v>
      </c>
      <c r="H13" s="81">
        <f>E13*G13</f>
        <v/>
      </c>
      <c r="I13" s="87">
        <f>H13-(E13*F13)</f>
        <v/>
      </c>
      <c r="J13" s="88">
        <f>IF(F13&gt;0, I13/(E13*F13), 0)</f>
        <v/>
      </c>
      <c r="K13" s="84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5" t="inlineStr">
        <is>
          <t>Total Wins</t>
        </is>
      </c>
      <c r="B14" s="68">
        <f>COUNTIF(Ledger!N:N, "WIN")</f>
        <v/>
      </c>
      <c r="C14" s="77" t="n"/>
      <c r="D14" s="89" t="inlineStr">
        <is>
          <t>Total Portfolio</t>
        </is>
      </c>
      <c r="E14" s="98" t="inlineStr"/>
      <c r="F14" s="99" t="inlineStr"/>
      <c r="G14" s="99" t="inlineStr"/>
      <c r="H14" s="92">
        <f>SUM(H4:H13)</f>
        <v/>
      </c>
      <c r="I14" s="92">
        <f>SUM(I4:I13)</f>
        <v/>
      </c>
      <c r="J14" s="93">
        <f>IF((H14-I14)&gt;0, I14/(H14-I14), 0)</f>
        <v/>
      </c>
      <c r="K14" s="93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5" t="inlineStr">
        <is>
          <t>Total Losses</t>
        </is>
      </c>
      <c r="B15" s="68">
        <f>COUNTIF(Ledger!N:N, "LOSS")</f>
        <v/>
      </c>
      <c r="C15" s="77" t="n"/>
      <c r="D15" s="77" t="n"/>
      <c r="E15" s="77" t="n"/>
      <c r="F15" s="77" t="n"/>
      <c r="G15" s="77" t="n"/>
      <c r="H15" s="77" t="n"/>
      <c r="I15" s="77" t="n"/>
      <c r="J15" s="77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77" t="n"/>
      <c r="D16" s="77" t="n"/>
      <c r="E16" s="77" t="n"/>
      <c r="F16" s="77" t="n"/>
      <c r="G16" s="77" t="n"/>
      <c r="H16" s="77" t="n"/>
      <c r="I16" s="77" t="n"/>
      <c r="J16" s="77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9" t="inlineStr">
        <is>
          <t>Swing Trading Statistics</t>
        </is>
      </c>
      <c r="C17" s="77" t="n"/>
      <c r="D17" s="77" t="n"/>
      <c r="E17" s="77" t="n"/>
      <c r="F17" s="77" t="n"/>
      <c r="G17" s="77" t="n"/>
      <c r="H17" s="77" t="n"/>
      <c r="I17" s="77" t="n"/>
      <c r="J17" s="77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7" t="n"/>
      <c r="D18" s="77" t="n"/>
      <c r="E18" s="77" t="n"/>
      <c r="F18" s="77" t="n"/>
      <c r="G18" s="77" t="n"/>
      <c r="H18" s="77" t="n"/>
      <c r="I18" s="77" t="n"/>
      <c r="J18" s="77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5" t="inlineStr">
        <is>
          <t>Swing Realized PnL</t>
        </is>
      </c>
      <c r="B19" s="66">
        <f>SUMIFS(Ledger!M:M, Ledger!P:P, "SWING")</f>
        <v/>
      </c>
      <c r="C19" s="77" t="n"/>
      <c r="D19" s="77" t="n"/>
      <c r="E19" s="77" t="n"/>
      <c r="F19" s="77" t="n"/>
      <c r="G19" s="77" t="n"/>
      <c r="H19" s="77" t="n"/>
      <c r="I19" s="77" t="n"/>
      <c r="J19" s="77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77" t="n"/>
      <c r="D20" s="77" t="n"/>
      <c r="E20" s="77" t="n"/>
      <c r="F20" s="77" t="n"/>
      <c r="G20" s="77" t="n"/>
      <c r="H20" s="77" t="n"/>
      <c r="I20" s="77" t="n"/>
      <c r="J20" s="77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77" t="n"/>
      <c r="D21" s="77" t="n"/>
      <c r="E21" s="77" t="n"/>
      <c r="F21" s="77" t="n"/>
      <c r="G21" s="77" t="n"/>
      <c r="H21" s="77" t="n"/>
      <c r="I21" s="77" t="n"/>
      <c r="J21" s="77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69" t="inlineStr">
        <is>
          <t>Intraday Trading Statistics</t>
        </is>
      </c>
      <c r="C22" s="77" t="n"/>
      <c r="D22" s="77" t="n"/>
      <c r="E22" s="77" t="n"/>
      <c r="F22" s="77" t="n"/>
      <c r="G22" s="77" t="n"/>
      <c r="H22" s="77" t="n"/>
      <c r="I22" s="77" t="n"/>
      <c r="J22" s="77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7" t="n"/>
      <c r="D23" s="77" t="n"/>
      <c r="E23" s="77" t="n"/>
      <c r="F23" s="77" t="n"/>
      <c r="G23" s="77" t="n"/>
      <c r="H23" s="77" t="n"/>
      <c r="I23" s="77" t="n"/>
      <c r="J23" s="77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77" t="n"/>
      <c r="D24" s="77" t="n"/>
      <c r="E24" s="77" t="n"/>
      <c r="F24" s="77" t="n"/>
      <c r="G24" s="77" t="n"/>
      <c r="H24" s="77" t="n"/>
      <c r="I24" s="77" t="n"/>
      <c r="J24" s="77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77" t="n"/>
      <c r="D25" s="77" t="n"/>
      <c r="E25" s="77" t="n"/>
      <c r="F25" s="77" t="n"/>
      <c r="G25" s="77" t="n"/>
      <c r="H25" s="77" t="n"/>
      <c r="I25" s="77" t="n"/>
      <c r="J25" s="77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77" t="n"/>
      <c r="D26" s="77" t="n"/>
      <c r="E26" s="77" t="n"/>
      <c r="F26" s="77" t="n"/>
      <c r="G26" s="77" t="n"/>
      <c r="H26" s="77" t="n"/>
      <c r="I26" s="77" t="n"/>
      <c r="J26" s="77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69" t="inlineStr">
        <is>
          <t>Activity &amp; Performance Metrics</t>
        </is>
      </c>
      <c r="C27" s="77" t="n"/>
      <c r="D27" s="77" t="n"/>
      <c r="E27" s="77" t="n"/>
      <c r="F27" s="77" t="n"/>
      <c r="G27" s="77" t="n"/>
      <c r="H27" s="77" t="n"/>
      <c r="I27" s="77" t="n"/>
      <c r="J27" s="77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65" t="inlineStr">
        <is>
          <t>Average Days to Exit a Trade</t>
        </is>
      </c>
      <c r="B28" s="70" t="n">
        <v>5.35</v>
      </c>
      <c r="C28" s="77" t="n"/>
      <c r="D28" s="77" t="n"/>
      <c r="E28" s="77" t="n"/>
      <c r="F28" s="77" t="n"/>
      <c r="G28" s="77" t="n"/>
      <c r="H28" s="77" t="n"/>
      <c r="I28" s="77" t="n"/>
      <c r="J28" s="77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65" t="inlineStr">
        <is>
          <t>Average Trades per Day</t>
        </is>
      </c>
      <c r="B29" s="70" t="n">
        <v>2</v>
      </c>
      <c r="C29" s="77" t="n"/>
      <c r="D29" s="77" t="n"/>
      <c r="E29" s="77" t="n"/>
      <c r="F29" s="77" t="n"/>
      <c r="G29" s="77" t="n"/>
      <c r="H29" s="77" t="n"/>
      <c r="I29" s="77" t="n"/>
      <c r="J29" s="77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65" t="inlineStr">
        <is>
          <t>Average Unique Holdings per Day</t>
        </is>
      </c>
      <c r="B30" s="70" t="n">
        <v>5.588235294117647</v>
      </c>
      <c r="C30" s="77" t="n"/>
      <c r="D30" s="77" t="n"/>
      <c r="E30" s="77" t="n"/>
      <c r="F30" s="77" t="n"/>
      <c r="G30" s="77" t="n"/>
      <c r="H30" s="77" t="n"/>
      <c r="I30" s="77" t="n"/>
      <c r="J30" s="77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77" t="n"/>
      <c r="B31" s="77" t="n"/>
      <c r="C31" s="77" t="n"/>
      <c r="D31" s="77" t="n"/>
      <c r="E31" s="77" t="n"/>
      <c r="F31" s="77" t="n"/>
      <c r="G31" s="77" t="n"/>
      <c r="H31" s="77" t="n"/>
      <c r="I31" s="77" t="n"/>
      <c r="J31" s="77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77" t="n"/>
      <c r="B32" s="77" t="n"/>
      <c r="C32" s="77" t="n"/>
      <c r="D32" s="77" t="n"/>
      <c r="E32" s="77" t="n"/>
      <c r="F32" s="77" t="n"/>
      <c r="G32" s="77" t="n"/>
      <c r="H32" s="77" t="n"/>
      <c r="I32" s="77" t="n"/>
      <c r="J32" s="77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77" t="n"/>
      <c r="B33" s="77" t="n"/>
      <c r="C33" s="77" t="n"/>
      <c r="D33" s="77" t="n"/>
      <c r="E33" s="77" t="n"/>
      <c r="F33" s="77" t="n"/>
      <c r="G33" s="77" t="n"/>
      <c r="H33" s="77" t="n"/>
      <c r="I33" s="77" t="n"/>
      <c r="J33" s="77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77" t="n"/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77" t="n"/>
      <c r="B35" s="77" t="n"/>
      <c r="C35" s="77" t="n"/>
      <c r="D35" s="77" t="n"/>
      <c r="E35" s="77" t="n"/>
      <c r="F35" s="77" t="n"/>
      <c r="G35" s="77" t="n"/>
      <c r="H35" s="77" t="n"/>
      <c r="I35" s="77" t="n"/>
      <c r="J35" s="77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77" t="n"/>
      <c r="B36" s="77" t="n"/>
      <c r="C36" s="77" t="n"/>
      <c r="D36" s="77" t="n"/>
      <c r="E36" s="77" t="n"/>
      <c r="F36" s="77" t="n"/>
      <c r="G36" s="77" t="n"/>
      <c r="H36" s="77" t="n"/>
      <c r="I36" s="77" t="n"/>
      <c r="J36" s="77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77" t="n"/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77" t="n"/>
      <c r="B38" s="77" t="n"/>
      <c r="C38" s="77" t="n"/>
      <c r="D38" s="77" t="n"/>
      <c r="E38" s="77" t="n"/>
      <c r="F38" s="77" t="n"/>
      <c r="G38" s="77" t="n"/>
      <c r="H38" s="77" t="n"/>
      <c r="I38" s="77" t="n"/>
      <c r="J38" s="77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77" t="n"/>
      <c r="B39" s="77" t="n"/>
      <c r="C39" s="77" t="n"/>
      <c r="D39" s="77" t="n"/>
      <c r="E39" s="77" t="n"/>
      <c r="F39" s="77" t="n"/>
      <c r="G39" s="77" t="n"/>
      <c r="H39" s="77" t="n"/>
      <c r="I39" s="77" t="n"/>
      <c r="J39" s="77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77" t="n"/>
      <c r="B40" s="77" t="n"/>
      <c r="C40" s="77" t="n"/>
      <c r="D40" s="77" t="n"/>
      <c r="E40" s="77" t="n"/>
      <c r="F40" s="77" t="n"/>
      <c r="G40" s="77" t="n"/>
      <c r="H40" s="77" t="n"/>
      <c r="I40" s="77" t="n"/>
      <c r="J40" s="77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77" t="n"/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  <c r="J42" s="77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77" t="n"/>
      <c r="B43" s="77" t="n"/>
      <c r="C43" s="77" t="n"/>
      <c r="D43" s="77" t="n"/>
      <c r="E43" s="77" t="n"/>
      <c r="F43" s="77" t="n"/>
      <c r="G43" s="77" t="n"/>
      <c r="H43" s="77" t="n"/>
      <c r="I43" s="77" t="n"/>
      <c r="J43" s="77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77" t="n"/>
      <c r="B44" s="77" t="n"/>
      <c r="C44" s="77" t="n"/>
      <c r="D44" s="77" t="n"/>
      <c r="E44" s="77" t="n"/>
      <c r="F44" s="77" t="n"/>
      <c r="G44" s="77" t="n"/>
      <c r="H44" s="77" t="n"/>
      <c r="I44" s="77" t="n"/>
      <c r="J44" s="77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77" t="n"/>
      <c r="B45" s="77" t="n"/>
      <c r="C45" s="77" t="n"/>
      <c r="D45" s="77" t="n"/>
      <c r="E45" s="77" t="n"/>
      <c r="F45" s="77" t="n"/>
      <c r="G45" s="77" t="n"/>
      <c r="H45" s="77" t="n"/>
      <c r="I45" s="77" t="n"/>
      <c r="J45" s="77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77" t="n"/>
      <c r="B46" s="77" t="n"/>
      <c r="C46" s="77" t="n"/>
      <c r="D46" s="77" t="n"/>
      <c r="E46" s="77" t="n"/>
      <c r="F46" s="77" t="n"/>
      <c r="G46" s="77" t="n"/>
      <c r="H46" s="77" t="n"/>
      <c r="I46" s="77" t="n"/>
      <c r="J46" s="77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77" t="n"/>
      <c r="B47" s="77" t="n"/>
      <c r="C47" s="77" t="n"/>
      <c r="D47" s="77" t="n"/>
      <c r="E47" s="77" t="n"/>
      <c r="F47" s="77" t="n"/>
      <c r="G47" s="77" t="n"/>
      <c r="H47" s="77" t="n"/>
      <c r="I47" s="77" t="n"/>
      <c r="J47" s="77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  <c r="J49" s="77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77" t="n"/>
      <c r="B50" s="77" t="n"/>
      <c r="C50" s="77" t="n"/>
      <c r="D50" s="77" t="n"/>
      <c r="E50" s="77" t="n"/>
      <c r="F50" s="77" t="n"/>
      <c r="G50" s="77" t="n"/>
      <c r="H50" s="77" t="n"/>
      <c r="I50" s="77" t="n"/>
      <c r="J50" s="77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7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6" t="n">
        <v>1579</v>
      </c>
      <c r="F7" s="6" t="n">
        <v>1593.900024414062</v>
      </c>
      <c r="G7" s="6">
        <f>E7-F7</f>
        <v/>
      </c>
      <c r="H7" s="6" t="n">
        <v>1773.642944335938</v>
      </c>
      <c r="I7" s="6" t="n">
        <v>1504.028564453125</v>
      </c>
      <c r="J7" s="4" t="inlineStr">
        <is>
          <t>1:2.6</t>
        </is>
      </c>
      <c r="K7" s="4" t="n"/>
      <c r="L7" s="4" t="n"/>
      <c r="M7" s="6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6" t="n">
        <v>519.13</v>
      </c>
      <c r="F8" s="6" t="n">
        <v>521.35</v>
      </c>
      <c r="G8" s="6">
        <f>E8-F8</f>
        <v/>
      </c>
      <c r="H8" s="6" t="n">
        <v>574.85</v>
      </c>
      <c r="I8" s="6" t="n">
        <v>494.6</v>
      </c>
      <c r="J8" s="4" t="inlineStr">
        <is>
          <t>1:2.0</t>
        </is>
      </c>
      <c r="K8" s="4" t="n"/>
      <c r="L8" s="6" t="n"/>
      <c r="M8" s="6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6" t="n">
        <v>127.8</v>
      </c>
      <c r="F9" s="6" t="n">
        <v>125.01</v>
      </c>
      <c r="G9" s="6">
        <f>E9-F9</f>
        <v/>
      </c>
      <c r="H9" s="6" t="n">
        <v>145.56</v>
      </c>
      <c r="I9" s="6" t="n">
        <v>114.74</v>
      </c>
      <c r="J9" s="4" t="inlineStr">
        <is>
          <t>1:2.0</t>
        </is>
      </c>
      <c r="K9" s="4" t="n"/>
      <c r="L9" s="6" t="n"/>
      <c r="M9" s="6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6" t="n">
        <v>202.5</v>
      </c>
      <c r="F16" s="6" t="n">
        <v>202.5</v>
      </c>
      <c r="G16" s="6" t="n">
        <v>0</v>
      </c>
      <c r="H16" s="6" t="n">
        <v>238.85</v>
      </c>
      <c r="I16" s="6" t="n">
        <v>184.35</v>
      </c>
      <c r="J16" s="4" t="inlineStr">
        <is>
          <t>1:2.0</t>
        </is>
      </c>
      <c r="K16" s="4" t="n"/>
      <c r="L16" s="4" t="n"/>
      <c r="M16" s="6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>
        <f>E18-F18</f>
        <v/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HARSHA</t>
        </is>
      </c>
      <c r="B19" s="4" t="inlineStr">
        <is>
          <t>Harsha Engineers International Limited</t>
        </is>
      </c>
      <c r="C19" s="4" t="inlineStr">
        <is>
          <t>2026-08-11</t>
        </is>
      </c>
      <c r="D19" s="4" t="n">
        <v>3</v>
      </c>
      <c r="E19" s="6" t="n">
        <v>432.6</v>
      </c>
      <c r="F19" s="6" t="n">
        <v>432.6</v>
      </c>
      <c r="G19" s="6" t="n">
        <v>0</v>
      </c>
      <c r="H19" s="6" t="n">
        <v>480.15</v>
      </c>
      <c r="I19" s="6" t="n">
        <v>408.85</v>
      </c>
      <c r="J19" s="4" t="inlineStr">
        <is>
          <t>1:2.0</t>
        </is>
      </c>
      <c r="K19" s="4" t="n"/>
      <c r="L19" s="4" t="n"/>
      <c r="M19" s="6">
        <f>IF(OR(N19="WIN", N19="LOSS"), (L19-E19)*D19, 0)</f>
        <v/>
      </c>
      <c r="N19" s="4" t="inlineStr">
        <is>
          <t>OPEN</t>
        </is>
      </c>
      <c r="O19" s="4" t="inlineStr">
        <is>
          <t>AMO Swing Trade. GTT Trigger: 331229921</t>
        </is>
      </c>
      <c r="P19" s="4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CONFIPET</t>
        </is>
      </c>
      <c r="B20" s="4" t="inlineStr">
        <is>
          <t>Confidence Petroleum India Limited</t>
        </is>
      </c>
      <c r="C20" s="4" t="inlineStr">
        <is>
          <t>2026-08-11</t>
        </is>
      </c>
      <c r="D20" s="4" t="n">
        <v>10</v>
      </c>
      <c r="E20" s="6" t="n">
        <v>82.73999999999999</v>
      </c>
      <c r="F20" s="6" t="n">
        <v>82.73999999999999</v>
      </c>
      <c r="G20" s="6" t="n">
        <v>0</v>
      </c>
      <c r="H20" s="6" t="n">
        <v>99.31</v>
      </c>
      <c r="I20" s="6" t="n">
        <v>74.45</v>
      </c>
      <c r="J20" s="4" t="inlineStr">
        <is>
          <t>1:2.0</t>
        </is>
      </c>
      <c r="K20" s="4" t="n"/>
      <c r="L20" s="4" t="n"/>
      <c r="M20" s="6">
        <f>IF(OR(N20="WIN", N20="LOSS"), (L20-E20)*D20, 0)</f>
        <v/>
      </c>
      <c r="N20" s="4" t="inlineStr">
        <is>
          <t>OPEN</t>
        </is>
      </c>
      <c r="O20" s="4" t="inlineStr">
        <is>
          <t>AMO Swing Trade. GTT Trigger: 10002</t>
        </is>
      </c>
      <c r="P20" s="4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BEL</t>
        </is>
      </c>
      <c r="B21" s="4" t="inlineStr">
        <is>
          <t>BEL</t>
        </is>
      </c>
      <c r="C21" s="4" t="inlineStr">
        <is>
          <t>2026-08-12</t>
        </is>
      </c>
      <c r="D21" s="4" t="n">
        <v>5</v>
      </c>
      <c r="E21" s="6" t="n">
        <v>405.85</v>
      </c>
      <c r="F21" s="6" t="n">
        <v>405.85</v>
      </c>
      <c r="G21" s="6" t="n">
        <v>0</v>
      </c>
      <c r="H21" s="6" t="n">
        <v>418.75</v>
      </c>
      <c r="I21" s="6" t="n">
        <v>399.4</v>
      </c>
      <c r="J21" s="4" t="inlineStr">
        <is>
          <t>1:2.0</t>
        </is>
      </c>
      <c r="K21" s="4" t="inlineStr"/>
      <c r="L21" s="4" t="inlineStr"/>
      <c r="M21" s="6">
        <f>IF(OR(N21="WIN", N21="LOSS"), (L21-E21)*D21, 0)</f>
        <v/>
      </c>
      <c r="N21" s="4" t="inlineStr">
        <is>
          <t>OPEN</t>
        </is>
      </c>
      <c r="O21" s="4" t="inlineStr">
        <is>
          <t>Intraday AMO placement. GTT Trigger: 331431140</t>
        </is>
      </c>
      <c r="P21" s="4" t="inlineStr">
        <is>
          <t>INTRADAY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2026-08-12</t>
        </is>
      </c>
      <c r="B36" s="4" t="inlineStr">
        <is>
          <t>BLISSGVS</t>
        </is>
      </c>
      <c r="C36" s="4" t="inlineStr">
        <is>
          <t>Bliss GVS Pharma Limited</t>
        </is>
      </c>
      <c r="D36" s="4" t="inlineStr">
        <is>
          <t>96/100</t>
        </is>
      </c>
      <c r="E36" s="6" t="n">
        <v>494.0499877929688</v>
      </c>
      <c r="F36" s="6" t="n">
        <v>448.4285627092634</v>
      </c>
      <c r="G36" s="6" t="n">
        <v>585.2928379603794</v>
      </c>
      <c r="H36" s="4" t="inlineStr">
        <is>
          <t>1:2.0</t>
        </is>
      </c>
      <c r="I36" s="4" t="n">
        <v>21</v>
      </c>
      <c r="J36" s="6" t="n">
        <v>10375.04974365234</v>
      </c>
      <c r="K36" s="4" t="inlineStr">
        <is>
          <t>PENDING</t>
        </is>
      </c>
      <c r="L36" s="4" t="inlineStr">
        <is>
          <t>Swing Scanner (STATE 1: Macro Bullish)</t>
        </is>
      </c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2026-08-12</t>
        </is>
      </c>
      <c r="B37" s="4" t="inlineStr">
        <is>
          <t>ARVIND</t>
        </is>
      </c>
      <c r="C37" s="4" t="inlineStr">
        <is>
          <t>Arvind Limited</t>
        </is>
      </c>
      <c r="D37" s="4" t="inlineStr">
        <is>
          <t>96/100</t>
        </is>
      </c>
      <c r="E37" s="6" t="n">
        <v>567.6500244140625</v>
      </c>
      <c r="F37" s="6" t="n">
        <v>530.3357195172991</v>
      </c>
      <c r="G37" s="6" t="n">
        <v>642.2786342075893</v>
      </c>
      <c r="H37" s="4" t="inlineStr">
        <is>
          <t>1:2.0</t>
        </is>
      </c>
      <c r="I37" s="4" t="n">
        <v>26</v>
      </c>
      <c r="J37" s="6" t="n">
        <v>14758.90063476562</v>
      </c>
      <c r="K37" s="4" t="inlineStr">
        <is>
          <t>PENDING</t>
        </is>
      </c>
      <c r="L37" s="4" t="inlineStr">
        <is>
          <t>Swing Scanner (STATE 1: Macro Bullish)</t>
        </is>
      </c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2026-08-12</t>
        </is>
      </c>
      <c r="B38" s="4" t="inlineStr">
        <is>
          <t>AKUMS</t>
        </is>
      </c>
      <c r="C38" s="4" t="inlineStr">
        <is>
          <t>AKUMS</t>
        </is>
      </c>
      <c r="D38" s="4" t="inlineStr">
        <is>
          <t>96/100</t>
        </is>
      </c>
      <c r="E38" s="6" t="n">
        <v>760.9500122070312</v>
      </c>
      <c r="F38" s="6" t="n">
        <v>712.7142944335938</v>
      </c>
      <c r="G38" s="6" t="n">
        <v>857.4214477539062</v>
      </c>
      <c r="H38" s="4" t="inlineStr">
        <is>
          <t>1:2.0</t>
        </is>
      </c>
      <c r="I38" s="4" t="n">
        <v>20</v>
      </c>
      <c r="J38" s="6" t="n">
        <v>15219.00024414062</v>
      </c>
      <c r="K38" s="4" t="inlineStr">
        <is>
          <t>PENDING</t>
        </is>
      </c>
      <c r="L38" s="4" t="inlineStr">
        <is>
          <t>Swing Scanner (STATE 1: Macro Bullish)</t>
        </is>
      </c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2026-08-12</t>
        </is>
      </c>
      <c r="B39" s="4" t="inlineStr">
        <is>
          <t>BRITANNIA</t>
        </is>
      </c>
      <c r="C39" s="4" t="inlineStr">
        <is>
          <t>Britannia Industries Limited</t>
        </is>
      </c>
      <c r="D39" s="4" t="inlineStr">
        <is>
          <t>96/100</t>
        </is>
      </c>
      <c r="E39" s="6" t="n">
        <v>5598</v>
      </c>
      <c r="F39" s="6" t="n">
        <v>5358.620418563584</v>
      </c>
      <c r="G39" s="6" t="n">
        <v>6076.759162872831</v>
      </c>
      <c r="H39" s="4" t="inlineStr">
        <is>
          <t>1:2.0</t>
        </is>
      </c>
      <c r="I39" s="4" t="n">
        <v>3</v>
      </c>
      <c r="J39" s="6" t="n">
        <v>16794</v>
      </c>
      <c r="K39" s="4" t="inlineStr">
        <is>
          <t>PENDING</t>
        </is>
      </c>
      <c r="L39" s="4" t="inlineStr">
        <is>
          <t>Swing Scanner (STATE 1: Macro Bullish)</t>
        </is>
      </c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2026-08-12</t>
        </is>
      </c>
      <c r="B40" s="4" t="inlineStr">
        <is>
          <t>CLEAN</t>
        </is>
      </c>
      <c r="C40" s="4" t="inlineStr">
        <is>
          <t>Clean Science and Technology Limited</t>
        </is>
      </c>
      <c r="D40" s="4" t="inlineStr">
        <is>
          <t>96/100</t>
        </is>
      </c>
      <c r="E40" s="6" t="n">
        <v>810</v>
      </c>
      <c r="F40" s="6" t="n">
        <v>760.7071446010044</v>
      </c>
      <c r="G40" s="6" t="n">
        <v>908.5857107979911</v>
      </c>
      <c r="H40" s="4" t="inlineStr">
        <is>
          <t>1:2.0</t>
        </is>
      </c>
      <c r="I40" s="4" t="n">
        <v>20</v>
      </c>
      <c r="J40" s="6" t="n">
        <v>16200</v>
      </c>
      <c r="K40" s="4" t="inlineStr">
        <is>
          <t>PENDING</t>
        </is>
      </c>
      <c r="L40" s="4" t="inlineStr">
        <is>
          <t>Swing Scanner (STATE 1: Macro Bullish)</t>
        </is>
      </c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2026-08-12</t>
        </is>
      </c>
      <c r="B41" s="4" t="inlineStr">
        <is>
          <t>ULTRACEMCO</t>
        </is>
      </c>
      <c r="C41" s="4" t="inlineStr">
        <is>
          <t>UltraTech Cement Limited</t>
        </is>
      </c>
      <c r="D41" s="4" t="inlineStr">
        <is>
          <t>100/100</t>
        </is>
      </c>
      <c r="E41" s="6" t="n">
        <v>11891</v>
      </c>
      <c r="F41" s="6" t="n">
        <v>11725.7</v>
      </c>
      <c r="G41" s="6" t="n">
        <v>12221.6</v>
      </c>
      <c r="H41" s="4" t="inlineStr">
        <is>
          <t>1:2.0</t>
        </is>
      </c>
      <c r="I41" s="4" t="n">
        <v>0</v>
      </c>
      <c r="J41" s="6" t="n">
        <v>0</v>
      </c>
      <c r="K41" s="4" t="inlineStr">
        <is>
          <t>PENDING</t>
        </is>
      </c>
      <c r="L41" s="4" t="inlineStr">
        <is>
          <t>Intraday Scanner (STATE 1: Macro Bullish)</t>
        </is>
      </c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2026-08-12</t>
        </is>
      </c>
      <c r="B42" s="4" t="inlineStr">
        <is>
          <t>PIDILITIND</t>
        </is>
      </c>
      <c r="C42" s="4" t="inlineStr">
        <is>
          <t>Pidilite Industries Limited</t>
        </is>
      </c>
      <c r="D42" s="4" t="inlineStr">
        <is>
          <t>100/100</t>
        </is>
      </c>
      <c r="E42" s="6" t="n">
        <v>1701.5</v>
      </c>
      <c r="F42" s="6" t="n">
        <v>1685.7</v>
      </c>
      <c r="G42" s="6" t="n">
        <v>1733.1</v>
      </c>
      <c r="H42" s="4" t="inlineStr">
        <is>
          <t>1:2.0</t>
        </is>
      </c>
      <c r="I42" s="4" t="n">
        <v>5</v>
      </c>
      <c r="J42" s="6" t="n">
        <v>8507.5</v>
      </c>
      <c r="K42" s="4" t="inlineStr">
        <is>
          <t>PENDING</t>
        </is>
      </c>
      <c r="L42" s="4" t="inlineStr">
        <is>
          <t>Intraday Scanner (STATE 1: Macro Bullish)</t>
        </is>
      </c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2026-08-12</t>
        </is>
      </c>
      <c r="B43" s="4" t="inlineStr">
        <is>
          <t>PERSISTENT</t>
        </is>
      </c>
      <c r="C43" s="4" t="inlineStr">
        <is>
          <t>Persistent Systems Limited</t>
        </is>
      </c>
      <c r="D43" s="4" t="inlineStr">
        <is>
          <t>100/100</t>
        </is>
      </c>
      <c r="E43" s="6" t="n">
        <v>5474</v>
      </c>
      <c r="F43" s="6" t="n">
        <v>5413.25</v>
      </c>
      <c r="G43" s="6" t="n">
        <v>5595.5</v>
      </c>
      <c r="H43" s="4" t="inlineStr">
        <is>
          <t>1:2.0</t>
        </is>
      </c>
      <c r="I43" s="4" t="n">
        <v>1</v>
      </c>
      <c r="J43" s="6" t="n">
        <v>5474</v>
      </c>
      <c r="K43" s="4" t="inlineStr">
        <is>
          <t>PENDING</t>
        </is>
      </c>
      <c r="L43" s="4" t="inlineStr">
        <is>
          <t>Intraday Scanner (STATE 1: Macro Bullish)</t>
        </is>
      </c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2026-08-12</t>
        </is>
      </c>
      <c r="B44" s="4" t="inlineStr">
        <is>
          <t>ASTRAL</t>
        </is>
      </c>
      <c r="C44" s="4" t="inlineStr">
        <is>
          <t>Astral Limited</t>
        </is>
      </c>
      <c r="D44" s="4" t="inlineStr">
        <is>
          <t>100/100</t>
        </is>
      </c>
      <c r="E44" s="6" t="n">
        <v>1464</v>
      </c>
      <c r="F44" s="6" t="n">
        <v>1450.45</v>
      </c>
      <c r="G44" s="6" t="n">
        <v>1491.1</v>
      </c>
      <c r="H44" s="4" t="inlineStr">
        <is>
          <t>1:2.0</t>
        </is>
      </c>
      <c r="I44" s="4" t="n">
        <v>6</v>
      </c>
      <c r="J44" s="6" t="n">
        <v>8784</v>
      </c>
      <c r="K44" s="4" t="inlineStr">
        <is>
          <t>PENDING</t>
        </is>
      </c>
      <c r="L44" s="4" t="inlineStr">
        <is>
          <t>Intraday Scanner (STATE 1: Macro Bullish)</t>
        </is>
      </c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2026-08-12</t>
        </is>
      </c>
      <c r="B45" s="4" t="inlineStr">
        <is>
          <t>SUPREMEIND</t>
        </is>
      </c>
      <c r="C45" s="4" t="inlineStr">
        <is>
          <t>Supreme Industries Limited</t>
        </is>
      </c>
      <c r="D45" s="4" t="inlineStr">
        <is>
          <t>100/100</t>
        </is>
      </c>
      <c r="E45" s="6" t="n">
        <v>3459.9</v>
      </c>
      <c r="F45" s="6" t="n">
        <v>3417.85</v>
      </c>
      <c r="G45" s="6" t="n">
        <v>3543.95</v>
      </c>
      <c r="H45" s="4" t="inlineStr">
        <is>
          <t>1:2.0</t>
        </is>
      </c>
      <c r="I45" s="4" t="n">
        <v>2</v>
      </c>
      <c r="J45" s="6" t="n">
        <v>6919.8</v>
      </c>
      <c r="K45" s="4" t="inlineStr">
        <is>
          <t>PENDING</t>
        </is>
      </c>
      <c r="L45" s="4" t="inlineStr">
        <is>
          <t>Intraday Scanner (STATE 1: Macro Bullish)</t>
        </is>
      </c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57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57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57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57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57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57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57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57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57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57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57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57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57">
      <c r="A33" s="4" t="n"/>
      <c r="B33" s="4" t="n"/>
      <c r="C33" s="4" t="n"/>
      <c r="D33" s="4" t="n"/>
      <c r="E33" s="4" t="n"/>
      <c r="F33" s="4" t="n"/>
    </row>
    <row r="34" ht="15.75" customHeight="1" s="57">
      <c r="A34" s="4" t="n"/>
      <c r="B34" s="4" t="n"/>
      <c r="C34" s="4" t="n"/>
      <c r="D34" s="4" t="n"/>
      <c r="E34" s="4" t="n"/>
      <c r="F34" s="4" t="n"/>
    </row>
    <row r="35" ht="15.75" customHeight="1" s="57">
      <c r="A35" s="4" t="n"/>
      <c r="B35" s="4" t="n"/>
      <c r="C35" s="4" t="n"/>
      <c r="D35" s="4" t="n"/>
      <c r="E35" s="4" t="n"/>
      <c r="F35" s="4" t="n"/>
    </row>
    <row r="36" ht="15.75" customHeight="1" s="57">
      <c r="A36" s="4" t="n"/>
      <c r="B36" s="4" t="n"/>
      <c r="C36" s="4" t="n"/>
      <c r="D36" s="4" t="n"/>
      <c r="E36" s="4" t="n"/>
      <c r="F36" s="4" t="n"/>
    </row>
    <row r="37" ht="15.75" customHeight="1" s="57">
      <c r="A37" s="4" t="n"/>
      <c r="B37" s="4" t="n"/>
      <c r="C37" s="4" t="n"/>
      <c r="D37" s="4" t="n"/>
      <c r="E37" s="4" t="n"/>
      <c r="F37" s="4" t="n"/>
    </row>
    <row r="38" ht="15.75" customHeight="1" s="57">
      <c r="A38" s="4" t="n"/>
      <c r="B38" s="4" t="n"/>
      <c r="C38" s="4" t="n"/>
      <c r="D38" s="4" t="n"/>
      <c r="E38" s="4" t="n"/>
      <c r="F38" s="4" t="n"/>
    </row>
    <row r="39" ht="15.75" customHeight="1" s="57">
      <c r="A39" s="4" t="n"/>
      <c r="B39" s="4" t="n"/>
      <c r="C39" s="4" t="n"/>
      <c r="D39" s="4" t="n"/>
      <c r="E39" s="4" t="n"/>
      <c r="F39" s="4" t="n"/>
    </row>
    <row r="40" ht="15.75" customHeight="1" s="57">
      <c r="A40" s="4" t="n"/>
      <c r="B40" s="4" t="n"/>
      <c r="C40" s="4" t="n"/>
      <c r="D40" s="4" t="n"/>
      <c r="E40" s="4" t="n"/>
      <c r="F40" s="4" t="n"/>
    </row>
    <row r="41" ht="15.75" customHeight="1" s="57">
      <c r="A41" s="4" t="n"/>
      <c r="B41" s="4" t="n"/>
      <c r="C41" s="4" t="n"/>
      <c r="D41" s="4" t="n"/>
      <c r="E41" s="4" t="n"/>
      <c r="F41" s="4" t="n"/>
    </row>
    <row r="42" ht="15.75" customHeight="1" s="57">
      <c r="A42" s="4" t="n"/>
      <c r="B42" s="4" t="n"/>
      <c r="C42" s="4" t="n"/>
      <c r="D42" s="4" t="n"/>
      <c r="E42" s="4" t="n"/>
      <c r="F42" s="4" t="n"/>
    </row>
    <row r="43" ht="15.75" customHeight="1" s="57">
      <c r="A43" s="4" t="n"/>
      <c r="B43" s="4" t="n"/>
      <c r="C43" s="4" t="n"/>
      <c r="D43" s="4" t="n"/>
      <c r="E43" s="4" t="n"/>
      <c r="F43" s="4" t="n"/>
    </row>
    <row r="44" ht="15.75" customHeight="1" s="57">
      <c r="A44" s="4" t="n"/>
      <c r="B44" s="4" t="n"/>
      <c r="C44" s="4" t="n"/>
      <c r="D44" s="4" t="n"/>
      <c r="E44" s="4" t="n"/>
      <c r="F44" s="4" t="n"/>
    </row>
    <row r="45" ht="15.75" customHeight="1" s="57">
      <c r="A45" s="4" t="n"/>
      <c r="B45" s="4" t="n"/>
      <c r="C45" s="4" t="n"/>
      <c r="D45" s="4" t="n"/>
      <c r="E45" s="4" t="n"/>
      <c r="F45" s="4" t="n"/>
    </row>
    <row r="46" ht="15.75" customHeight="1" s="57">
      <c r="A46" s="4" t="n"/>
      <c r="B46" s="4" t="n"/>
      <c r="C46" s="4" t="n"/>
      <c r="D46" s="4" t="n"/>
      <c r="E46" s="4" t="n"/>
      <c r="F46" s="4" t="n"/>
    </row>
    <row r="47" ht="15.75" customHeight="1" s="57">
      <c r="A47" s="4" t="n"/>
      <c r="B47" s="4" t="n"/>
      <c r="C47" s="4" t="n"/>
      <c r="D47" s="4" t="n"/>
      <c r="E47" s="4" t="n"/>
      <c r="F47" s="4" t="n"/>
    </row>
    <row r="48" ht="15.75" customHeight="1" s="57">
      <c r="A48" s="4" t="n"/>
      <c r="B48" s="4" t="n"/>
      <c r="C48" s="4" t="n"/>
      <c r="D48" s="4" t="n"/>
      <c r="E48" s="4" t="n"/>
      <c r="F48" s="4" t="n"/>
    </row>
    <row r="49" ht="15.75" customHeight="1" s="57">
      <c r="A49" s="4" t="n"/>
      <c r="B49" s="4" t="n"/>
      <c r="C49" s="4" t="n"/>
      <c r="D49" s="4" t="n"/>
      <c r="E49" s="4" t="n"/>
      <c r="F49" s="4" t="n"/>
    </row>
    <row r="50" ht="15.75" customHeight="1" s="57">
      <c r="A50" s="4" t="n"/>
      <c r="B50" s="4" t="n"/>
      <c r="C50" s="4" t="n"/>
      <c r="D50" s="4" t="n"/>
      <c r="E50" s="4" t="n"/>
      <c r="F50" s="4" t="n"/>
    </row>
    <row r="51" ht="15.75" customHeight="1" s="57">
      <c r="A51" s="4" t="n"/>
      <c r="B51" s="4" t="n"/>
      <c r="C51" s="4" t="n"/>
      <c r="D51" s="4" t="n"/>
      <c r="E51" s="4" t="n"/>
      <c r="F51" s="4" t="n"/>
    </row>
    <row r="52" ht="15.75" customHeight="1" s="57">
      <c r="A52" s="4" t="n"/>
      <c r="B52" s="4" t="n"/>
      <c r="C52" s="4" t="n"/>
      <c r="D52" s="4" t="n"/>
      <c r="E52" s="4" t="n"/>
      <c r="F52" s="4" t="n"/>
    </row>
    <row r="53" ht="15.75" customHeight="1" s="57">
      <c r="A53" s="4" t="n"/>
      <c r="B53" s="4" t="n"/>
      <c r="C53" s="4" t="n"/>
      <c r="D53" s="4" t="n"/>
      <c r="E53" s="4" t="n"/>
      <c r="F53" s="4" t="n"/>
    </row>
    <row r="54" ht="15.75" customHeight="1" s="57">
      <c r="A54" s="4" t="n"/>
      <c r="B54" s="4" t="n"/>
      <c r="C54" s="4" t="n"/>
      <c r="D54" s="4" t="n"/>
      <c r="E54" s="4" t="n"/>
      <c r="F54" s="4" t="n"/>
    </row>
    <row r="55" ht="15.75" customHeight="1" s="57">
      <c r="A55" s="4" t="n"/>
      <c r="B55" s="4" t="n"/>
      <c r="C55" s="4" t="n"/>
      <c r="D55" s="4" t="n"/>
      <c r="E55" s="4" t="n"/>
      <c r="F55" s="4" t="n"/>
    </row>
    <row r="56" ht="15.75" customHeight="1" s="57">
      <c r="A56" s="4" t="n"/>
      <c r="B56" s="4" t="n"/>
      <c r="C56" s="4" t="n"/>
      <c r="D56" s="4" t="n"/>
      <c r="E56" s="4" t="n"/>
      <c r="F56" s="4" t="n"/>
    </row>
    <row r="57" ht="15.75" customHeight="1" s="57">
      <c r="A57" s="4" t="n"/>
      <c r="B57" s="4" t="n"/>
      <c r="C57" s="4" t="n"/>
      <c r="D57" s="4" t="n"/>
      <c r="E57" s="4" t="n"/>
      <c r="F57" s="4" t="n"/>
    </row>
    <row r="58" ht="15.75" customHeight="1" s="57">
      <c r="A58" s="4" t="n"/>
      <c r="B58" s="4" t="n"/>
      <c r="C58" s="4" t="n"/>
      <c r="D58" s="4" t="n"/>
      <c r="E58" s="4" t="n"/>
      <c r="F58" s="4" t="n"/>
    </row>
    <row r="59" ht="15.75" customHeight="1" s="57">
      <c r="A59" s="4" t="n"/>
      <c r="B59" s="4" t="n"/>
      <c r="C59" s="4" t="n"/>
      <c r="D59" s="4" t="n"/>
      <c r="E59" s="4" t="n"/>
      <c r="F59" s="4" t="n"/>
    </row>
    <row r="60" ht="15.75" customHeight="1" s="57">
      <c r="A60" s="4" t="n"/>
      <c r="B60" s="4" t="n"/>
      <c r="C60" s="4" t="n"/>
      <c r="D60" s="4" t="n"/>
      <c r="E60" s="4" t="n"/>
      <c r="F60" s="4" t="n"/>
    </row>
    <row r="61" ht="15.75" customHeight="1" s="57">
      <c r="A61" s="4" t="n"/>
      <c r="B61" s="4" t="n"/>
      <c r="C61" s="4" t="n"/>
      <c r="D61" s="4" t="n"/>
      <c r="E61" s="4" t="n"/>
      <c r="F61" s="4" t="n"/>
    </row>
    <row r="62" ht="15.75" customHeight="1" s="57">
      <c r="A62" s="4" t="n"/>
      <c r="B62" s="4" t="n"/>
      <c r="C62" s="4" t="n"/>
      <c r="D62" s="4" t="n"/>
      <c r="E62" s="4" t="n"/>
      <c r="F62" s="4" t="n"/>
    </row>
    <row r="63" ht="15.75" customHeight="1" s="57">
      <c r="A63" s="4" t="n"/>
      <c r="B63" s="4" t="n"/>
      <c r="C63" s="4" t="n"/>
      <c r="D63" s="4" t="n"/>
      <c r="E63" s="4" t="n"/>
      <c r="F63" s="4" t="n"/>
    </row>
    <row r="64" ht="15.75" customHeight="1" s="57">
      <c r="A64" s="4" t="n"/>
      <c r="B64" s="4" t="n"/>
      <c r="C64" s="4" t="n"/>
      <c r="D64" s="4" t="n"/>
      <c r="E64" s="4" t="n"/>
      <c r="F64" s="4" t="n"/>
    </row>
    <row r="65" ht="15.75" customHeight="1" s="57">
      <c r="A65" s="4" t="n"/>
      <c r="B65" s="4" t="n"/>
      <c r="C65" s="4" t="n"/>
      <c r="D65" s="4" t="n"/>
      <c r="E65" s="4" t="n"/>
      <c r="F65" s="4" t="n"/>
    </row>
    <row r="66" ht="15.75" customHeight="1" s="57">
      <c r="A66" s="4" t="n"/>
      <c r="B66" s="4" t="n"/>
      <c r="C66" s="4" t="n"/>
      <c r="D66" s="4" t="n"/>
      <c r="E66" s="4" t="n"/>
      <c r="F66" s="4" t="n"/>
    </row>
    <row r="67" ht="15.75" customHeight="1" s="57">
      <c r="A67" s="4" t="n"/>
      <c r="B67" s="4" t="n"/>
      <c r="C67" s="4" t="n"/>
      <c r="D67" s="4" t="n"/>
      <c r="E67" s="4" t="n"/>
      <c r="F67" s="4" t="n"/>
    </row>
    <row r="68" ht="15.75" customHeight="1" s="57">
      <c r="A68" s="4" t="n"/>
      <c r="B68" s="4" t="n"/>
      <c r="C68" s="4" t="n"/>
      <c r="D68" s="4" t="n"/>
      <c r="E68" s="4" t="n"/>
      <c r="F68" s="4" t="n"/>
    </row>
    <row r="69" ht="15.75" customHeight="1" s="57">
      <c r="A69" s="4" t="n"/>
      <c r="B69" s="4" t="n"/>
      <c r="C69" s="4" t="n"/>
      <c r="D69" s="4" t="n"/>
      <c r="E69" s="4" t="n"/>
      <c r="F69" s="4" t="n"/>
    </row>
    <row r="70" ht="15.75" customHeight="1" s="57">
      <c r="A70" s="4" t="n"/>
      <c r="B70" s="4" t="n"/>
      <c r="C70" s="4" t="n"/>
      <c r="D70" s="4" t="n"/>
      <c r="E70" s="4" t="n"/>
      <c r="F70" s="4" t="n"/>
    </row>
    <row r="71" ht="15.75" customHeight="1" s="57">
      <c r="A71" s="4" t="n"/>
      <c r="B71" s="4" t="n"/>
      <c r="C71" s="4" t="n"/>
      <c r="D71" s="4" t="n"/>
      <c r="E71" s="4" t="n"/>
      <c r="F71" s="4" t="n"/>
    </row>
    <row r="72" ht="15.75" customHeight="1" s="57">
      <c r="A72" s="4" t="n"/>
      <c r="B72" s="4" t="n"/>
      <c r="C72" s="4" t="n"/>
      <c r="D72" s="4" t="n"/>
      <c r="E72" s="4" t="n"/>
      <c r="F72" s="4" t="n"/>
    </row>
    <row r="73" ht="15.75" customHeight="1" s="57">
      <c r="A73" s="4" t="n"/>
      <c r="B73" s="4" t="n"/>
      <c r="C73" s="4" t="n"/>
      <c r="D73" s="4" t="n"/>
      <c r="E73" s="4" t="n"/>
      <c r="F73" s="4" t="n"/>
    </row>
    <row r="74" ht="15.75" customHeight="1" s="57">
      <c r="A74" s="4" t="n"/>
      <c r="B74" s="4" t="n"/>
      <c r="C74" s="4" t="n"/>
      <c r="D74" s="4" t="n"/>
      <c r="E74" s="4" t="n"/>
      <c r="F74" s="4" t="n"/>
    </row>
    <row r="75" ht="15.75" customHeight="1" s="57">
      <c r="A75" s="4" t="n"/>
      <c r="B75" s="4" t="n"/>
      <c r="C75" s="4" t="n"/>
      <c r="D75" s="4" t="n"/>
      <c r="E75" s="4" t="n"/>
      <c r="F75" s="4" t="n"/>
    </row>
    <row r="76" ht="15.75" customHeight="1" s="57">
      <c r="A76" s="4" t="n"/>
      <c r="B76" s="4" t="n"/>
      <c r="C76" s="4" t="n"/>
      <c r="D76" s="4" t="n"/>
      <c r="E76" s="4" t="n"/>
      <c r="F76" s="4" t="n"/>
    </row>
    <row r="77" ht="15.75" customHeight="1" s="57">
      <c r="A77" s="4" t="n"/>
      <c r="B77" s="4" t="n"/>
      <c r="C77" s="4" t="n"/>
      <c r="D77" s="4" t="n"/>
      <c r="E77" s="4" t="n"/>
      <c r="F77" s="4" t="n"/>
    </row>
    <row r="78" ht="15.75" customHeight="1" s="57">
      <c r="A78" s="4" t="n"/>
      <c r="B78" s="4" t="n"/>
      <c r="C78" s="4" t="n"/>
      <c r="D78" s="4" t="n"/>
      <c r="E78" s="4" t="n"/>
      <c r="F78" s="4" t="n"/>
    </row>
    <row r="79" ht="15.75" customHeight="1" s="57">
      <c r="A79" s="4" t="n"/>
      <c r="B79" s="4" t="n"/>
      <c r="C79" s="4" t="n"/>
      <c r="D79" s="4" t="n"/>
      <c r="E79" s="4" t="n"/>
      <c r="F79" s="4" t="n"/>
    </row>
    <row r="80" ht="15.75" customHeight="1" s="57">
      <c r="A80" s="4" t="n"/>
      <c r="B80" s="4" t="n"/>
      <c r="C80" s="4" t="n"/>
      <c r="D80" s="4" t="n"/>
      <c r="E80" s="4" t="n"/>
      <c r="F80" s="4" t="n"/>
    </row>
    <row r="81" ht="15.75" customHeight="1" s="57">
      <c r="A81" s="4" t="n"/>
      <c r="B81" s="4" t="n"/>
      <c r="C81" s="4" t="n"/>
      <c r="D81" s="4" t="n"/>
      <c r="E81" s="4" t="n"/>
      <c r="F81" s="4" t="n"/>
    </row>
    <row r="82" ht="15.75" customHeight="1" s="57">
      <c r="A82" s="4" t="n"/>
      <c r="B82" s="4" t="n"/>
      <c r="C82" s="4" t="n"/>
      <c r="D82" s="4" t="n"/>
      <c r="E82" s="4" t="n"/>
      <c r="F82" s="4" t="n"/>
    </row>
    <row r="83" ht="15.75" customHeight="1" s="57">
      <c r="A83" s="4" t="n"/>
      <c r="B83" s="4" t="n"/>
      <c r="C83" s="4" t="n"/>
      <c r="D83" s="4" t="n"/>
      <c r="E83" s="4" t="n"/>
      <c r="F83" s="4" t="n"/>
    </row>
    <row r="84" ht="15.75" customHeight="1" s="57">
      <c r="A84" s="4" t="n"/>
      <c r="B84" s="4" t="n"/>
      <c r="C84" s="4" t="n"/>
      <c r="D84" s="4" t="n"/>
      <c r="E84" s="4" t="n"/>
      <c r="F84" s="4" t="n"/>
    </row>
    <row r="85" ht="15.75" customHeight="1" s="57">
      <c r="A85" s="4" t="n"/>
      <c r="B85" s="4" t="n"/>
      <c r="C85" s="4" t="n"/>
      <c r="D85" s="4" t="n"/>
      <c r="E85" s="4" t="n"/>
      <c r="F85" s="4" t="n"/>
    </row>
    <row r="86" ht="15.75" customHeight="1" s="57">
      <c r="A86" s="4" t="n"/>
      <c r="B86" s="4" t="n"/>
      <c r="C86" s="4" t="n"/>
      <c r="D86" s="4" t="n"/>
      <c r="E86" s="4" t="n"/>
      <c r="F86" s="4" t="n"/>
    </row>
    <row r="87" ht="15.75" customHeight="1" s="57">
      <c r="A87" s="4" t="n"/>
      <c r="B87" s="4" t="n"/>
      <c r="C87" s="4" t="n"/>
      <c r="D87" s="4" t="n"/>
      <c r="E87" s="4" t="n"/>
      <c r="F87" s="4" t="n"/>
    </row>
    <row r="88" ht="15.75" customHeight="1" s="57">
      <c r="A88" s="4" t="n"/>
      <c r="B88" s="4" t="n"/>
      <c r="C88" s="4" t="n"/>
      <c r="D88" s="4" t="n"/>
      <c r="E88" s="4" t="n"/>
      <c r="F88" s="4" t="n"/>
    </row>
    <row r="89" ht="15.75" customHeight="1" s="57">
      <c r="A89" s="4" t="n"/>
      <c r="B89" s="4" t="n"/>
      <c r="C89" s="4" t="n"/>
      <c r="D89" s="4" t="n"/>
      <c r="E89" s="4" t="n"/>
      <c r="F89" s="4" t="n"/>
    </row>
    <row r="90" ht="15.75" customHeight="1" s="57">
      <c r="A90" s="4" t="n"/>
      <c r="B90" s="4" t="n"/>
      <c r="C90" s="4" t="n"/>
      <c r="D90" s="4" t="n"/>
      <c r="E90" s="4" t="n"/>
      <c r="F90" s="4" t="n"/>
    </row>
    <row r="91" ht="15.75" customHeight="1" s="57">
      <c r="A91" s="4" t="n"/>
      <c r="B91" s="4" t="n"/>
      <c r="C91" s="4" t="n"/>
      <c r="D91" s="4" t="n"/>
      <c r="E91" s="4" t="n"/>
      <c r="F91" s="4" t="n"/>
    </row>
    <row r="92" ht="15.75" customHeight="1" s="57">
      <c r="A92" s="4" t="n"/>
      <c r="B92" s="4" t="n"/>
      <c r="C92" s="4" t="n"/>
      <c r="D92" s="4" t="n"/>
      <c r="E92" s="4" t="n"/>
      <c r="F92" s="4" t="n"/>
    </row>
    <row r="93" ht="15.75" customHeight="1" s="57">
      <c r="A93" s="4" t="n"/>
      <c r="B93" s="4" t="n"/>
      <c r="C93" s="4" t="n"/>
      <c r="D93" s="4" t="n"/>
      <c r="E93" s="4" t="n"/>
      <c r="F93" s="4" t="n"/>
    </row>
    <row r="94" ht="15.75" customHeight="1" s="57">
      <c r="A94" s="4" t="n"/>
      <c r="B94" s="4" t="n"/>
      <c r="C94" s="4" t="n"/>
      <c r="D94" s="4" t="n"/>
      <c r="E94" s="4" t="n"/>
      <c r="F94" s="4" t="n"/>
    </row>
    <row r="95" ht="15.75" customHeight="1" s="57">
      <c r="A95" s="4" t="n"/>
      <c r="B95" s="4" t="n"/>
      <c r="C95" s="4" t="n"/>
      <c r="D95" s="4" t="n"/>
      <c r="E95" s="4" t="n"/>
      <c r="F95" s="4" t="n"/>
    </row>
    <row r="96" ht="15.75" customHeight="1" s="57">
      <c r="A96" s="4" t="n"/>
      <c r="B96" s="4" t="n"/>
      <c r="C96" s="4" t="n"/>
      <c r="D96" s="4" t="n"/>
      <c r="E96" s="4" t="n"/>
      <c r="F96" s="4" t="n"/>
    </row>
    <row r="97" ht="15.75" customHeight="1" s="57">
      <c r="A97" s="4" t="n"/>
      <c r="B97" s="4" t="n"/>
      <c r="C97" s="4" t="n"/>
      <c r="D97" s="4" t="n"/>
      <c r="E97" s="4" t="n"/>
      <c r="F97" s="4" t="n"/>
    </row>
    <row r="98" ht="15.75" customHeight="1" s="57">
      <c r="A98" s="4" t="n"/>
      <c r="B98" s="4" t="n"/>
      <c r="C98" s="4" t="n"/>
      <c r="D98" s="4" t="n"/>
      <c r="E98" s="4" t="n"/>
      <c r="F98" s="4" t="n"/>
    </row>
    <row r="99" ht="15.75" customHeight="1" s="57">
      <c r="A99" s="4" t="n"/>
      <c r="B99" s="4" t="n"/>
      <c r="C99" s="4" t="n"/>
      <c r="D99" s="4" t="n"/>
      <c r="E99" s="4" t="n"/>
      <c r="F99" s="4" t="n"/>
    </row>
    <row r="100" ht="15.75" customHeight="1" s="57">
      <c r="A100" s="4" t="n"/>
      <c r="B100" s="4" t="n"/>
      <c r="C100" s="4" t="n"/>
      <c r="D100" s="4" t="n"/>
      <c r="E100" s="4" t="n"/>
      <c r="F100" s="4" t="n"/>
    </row>
    <row r="101" ht="15.75" customHeight="1" s="57">
      <c r="A101" s="4" t="n"/>
      <c r="B101" s="4" t="n"/>
      <c r="C101" s="4" t="n"/>
      <c r="D101" s="4" t="n"/>
      <c r="E101" s="4" t="n"/>
      <c r="F101" s="4" t="n"/>
    </row>
    <row r="102" ht="15.75" customHeight="1" s="57">
      <c r="A102" s="4" t="n"/>
      <c r="B102" s="4" t="n"/>
      <c r="C102" s="4" t="n"/>
      <c r="D102" s="4" t="n"/>
      <c r="E102" s="4" t="n"/>
      <c r="F102" s="4" t="n"/>
    </row>
    <row r="103" ht="15.75" customHeight="1" s="57">
      <c r="A103" s="4" t="n"/>
      <c r="B103" s="4" t="n"/>
      <c r="C103" s="4" t="n"/>
      <c r="D103" s="4" t="n"/>
      <c r="E103" s="4" t="n"/>
      <c r="F103" s="4" t="n"/>
    </row>
    <row r="104" ht="15.75" customHeight="1" s="57">
      <c r="A104" s="4" t="n"/>
      <c r="B104" s="4" t="n"/>
      <c r="C104" s="4" t="n"/>
      <c r="D104" s="4" t="n"/>
      <c r="E104" s="4" t="n"/>
      <c r="F104" s="4" t="n"/>
    </row>
    <row r="105" ht="15.75" customHeight="1" s="57">
      <c r="A105" s="4" t="n"/>
      <c r="B105" s="4" t="n"/>
      <c r="C105" s="4" t="n"/>
      <c r="D105" s="4" t="n"/>
      <c r="E105" s="4" t="n"/>
      <c r="F105" s="4" t="n"/>
    </row>
    <row r="106" ht="15.75" customHeight="1" s="57">
      <c r="A106" s="4" t="n"/>
      <c r="B106" s="4" t="n"/>
      <c r="C106" s="4" t="n"/>
      <c r="D106" s="4" t="n"/>
      <c r="E106" s="4" t="n"/>
      <c r="F106" s="4" t="n"/>
    </row>
    <row r="107" ht="15.75" customHeight="1" s="57">
      <c r="A107" s="4" t="n"/>
      <c r="B107" s="4" t="n"/>
      <c r="C107" s="4" t="n"/>
      <c r="D107" s="4" t="n"/>
      <c r="E107" s="4" t="n"/>
      <c r="F107" s="4" t="n"/>
    </row>
    <row r="108" ht="15.75" customHeight="1" s="57">
      <c r="A108" s="4" t="n"/>
      <c r="B108" s="4" t="n"/>
      <c r="C108" s="4" t="n"/>
      <c r="D108" s="4" t="n"/>
      <c r="E108" s="4" t="n"/>
      <c r="F108" s="4" t="n"/>
    </row>
    <row r="109" ht="15.75" customHeight="1" s="57">
      <c r="A109" s="4" t="n"/>
      <c r="B109" s="4" t="n"/>
      <c r="C109" s="4" t="n"/>
      <c r="D109" s="4" t="n"/>
      <c r="E109" s="4" t="n"/>
      <c r="F109" s="4" t="n"/>
    </row>
    <row r="110" ht="15.75" customHeight="1" s="57">
      <c r="A110" s="4" t="n"/>
      <c r="B110" s="4" t="n"/>
      <c r="C110" s="4" t="n"/>
      <c r="D110" s="4" t="n"/>
      <c r="E110" s="4" t="n"/>
      <c r="F110" s="4" t="n"/>
    </row>
    <row r="111" ht="15.75" customHeight="1" s="57">
      <c r="A111" s="4" t="n"/>
      <c r="B111" s="4" t="n"/>
      <c r="C111" s="4" t="n"/>
      <c r="D111" s="4" t="n"/>
      <c r="E111" s="4" t="n"/>
      <c r="F111" s="4" t="n"/>
    </row>
    <row r="112" ht="15.75" customHeight="1" s="57">
      <c r="A112" s="4" t="n"/>
      <c r="B112" s="4" t="n"/>
      <c r="C112" s="4" t="n"/>
      <c r="D112" s="4" t="n"/>
      <c r="E112" s="4" t="n"/>
      <c r="F112" s="4" t="n"/>
    </row>
    <row r="113" ht="15.75" customHeight="1" s="57">
      <c r="A113" s="4" t="n"/>
      <c r="B113" s="4" t="n"/>
      <c r="C113" s="4" t="n"/>
      <c r="D113" s="4" t="n"/>
      <c r="E113" s="4" t="n"/>
      <c r="F113" s="4" t="n"/>
    </row>
    <row r="114" ht="15.75" customHeight="1" s="57">
      <c r="A114" s="4" t="n"/>
      <c r="B114" s="4" t="n"/>
      <c r="C114" s="4" t="n"/>
      <c r="D114" s="4" t="n"/>
      <c r="E114" s="4" t="n"/>
      <c r="F114" s="4" t="n"/>
    </row>
    <row r="115" ht="15.75" customHeight="1" s="57">
      <c r="A115" s="4" t="n"/>
      <c r="B115" s="4" t="n"/>
      <c r="C115" s="4" t="n"/>
      <c r="D115" s="4" t="n"/>
      <c r="E115" s="4" t="n"/>
      <c r="F115" s="4" t="n"/>
    </row>
    <row r="116" ht="15.75" customHeight="1" s="57">
      <c r="A116" s="4" t="n"/>
      <c r="B116" s="4" t="n"/>
      <c r="C116" s="4" t="n"/>
      <c r="D116" s="4" t="n"/>
      <c r="E116" s="4" t="n"/>
      <c r="F116" s="4" t="n"/>
    </row>
    <row r="117" ht="15.75" customHeight="1" s="57">
      <c r="A117" s="4" t="n"/>
      <c r="B117" s="4" t="n"/>
      <c r="C117" s="4" t="n"/>
      <c r="D117" s="4" t="n"/>
      <c r="E117" s="4" t="n"/>
      <c r="F117" s="4" t="n"/>
    </row>
    <row r="118" ht="15.75" customHeight="1" s="57">
      <c r="A118" s="4" t="n"/>
      <c r="B118" s="4" t="n"/>
      <c r="C118" s="4" t="n"/>
      <c r="D118" s="4" t="n"/>
      <c r="E118" s="4" t="n"/>
      <c r="F118" s="4" t="n"/>
    </row>
    <row r="119" ht="15.75" customHeight="1" s="57">
      <c r="A119" s="4" t="n"/>
      <c r="B119" s="4" t="n"/>
      <c r="C119" s="4" t="n"/>
      <c r="D119" s="4" t="n"/>
      <c r="E119" s="4" t="n"/>
      <c r="F119" s="4" t="n"/>
    </row>
    <row r="120" ht="15.75" customHeight="1" s="57">
      <c r="A120" s="4" t="n"/>
      <c r="B120" s="4" t="n"/>
      <c r="C120" s="4" t="n"/>
      <c r="D120" s="4" t="n"/>
      <c r="E120" s="4" t="n"/>
      <c r="F120" s="4" t="n"/>
    </row>
    <row r="121" ht="15.75" customHeight="1" s="57">
      <c r="A121" s="4" t="n"/>
      <c r="B121" s="4" t="n"/>
      <c r="C121" s="4" t="n"/>
      <c r="D121" s="4" t="n"/>
      <c r="E121" s="4" t="n"/>
      <c r="F121" s="4" t="n"/>
    </row>
    <row r="122" ht="15.75" customHeight="1" s="57">
      <c r="A122" s="4" t="n"/>
      <c r="B122" s="4" t="n"/>
      <c r="C122" s="4" t="n"/>
      <c r="D122" s="4" t="n"/>
      <c r="E122" s="4" t="n"/>
      <c r="F122" s="4" t="n"/>
    </row>
    <row r="123" ht="15.75" customHeight="1" s="57">
      <c r="A123" s="4" t="n"/>
      <c r="B123" s="4" t="n"/>
      <c r="C123" s="4" t="n"/>
      <c r="D123" s="4" t="n"/>
      <c r="E123" s="4" t="n"/>
      <c r="F123" s="4" t="n"/>
    </row>
    <row r="124" ht="15.75" customHeight="1" s="57">
      <c r="A124" s="4" t="n"/>
      <c r="B124" s="4" t="n"/>
      <c r="C124" s="4" t="n"/>
      <c r="D124" s="4" t="n"/>
      <c r="E124" s="4" t="n"/>
      <c r="F124" s="4" t="n"/>
    </row>
    <row r="125" ht="15.75" customHeight="1" s="57">
      <c r="A125" s="4" t="n"/>
      <c r="B125" s="4" t="n"/>
      <c r="C125" s="4" t="n"/>
      <c r="D125" s="4" t="n"/>
      <c r="E125" s="4" t="n"/>
      <c r="F125" s="4" t="n"/>
    </row>
    <row r="126" ht="15.75" customHeight="1" s="57">
      <c r="A126" s="4" t="n"/>
      <c r="B126" s="4" t="n"/>
      <c r="C126" s="4" t="n"/>
      <c r="D126" s="4" t="n"/>
      <c r="E126" s="4" t="n"/>
      <c r="F126" s="4" t="n"/>
    </row>
    <row r="127" ht="15.75" customHeight="1" s="57">
      <c r="A127" s="4" t="n"/>
      <c r="B127" s="4" t="n"/>
      <c r="C127" s="4" t="n"/>
      <c r="D127" s="4" t="n"/>
      <c r="E127" s="4" t="n"/>
      <c r="F127" s="4" t="n"/>
    </row>
    <row r="128" ht="15.75" customHeight="1" s="57">
      <c r="A128" s="4" t="n"/>
      <c r="B128" s="4" t="n"/>
      <c r="C128" s="4" t="n"/>
      <c r="D128" s="4" t="n"/>
      <c r="E128" s="4" t="n"/>
      <c r="F128" s="4" t="n"/>
    </row>
    <row r="129" ht="15.75" customHeight="1" s="57">
      <c r="A129" s="4" t="n"/>
      <c r="B129" s="4" t="n"/>
      <c r="C129" s="4" t="n"/>
      <c r="D129" s="4" t="n"/>
      <c r="E129" s="4" t="n"/>
      <c r="F129" s="4" t="n"/>
    </row>
    <row r="130" ht="15.75" customHeight="1" s="57">
      <c r="A130" s="4" t="n"/>
      <c r="B130" s="4" t="n"/>
      <c r="C130" s="4" t="n"/>
      <c r="D130" s="4" t="n"/>
      <c r="E130" s="4" t="n"/>
      <c r="F130" s="4" t="n"/>
    </row>
    <row r="131" ht="15.75" customHeight="1" s="57">
      <c r="A131" s="4" t="n"/>
      <c r="B131" s="4" t="n"/>
      <c r="C131" s="4" t="n"/>
      <c r="D131" s="4" t="n"/>
      <c r="E131" s="4" t="n"/>
      <c r="F131" s="4" t="n"/>
    </row>
    <row r="132" ht="15.75" customHeight="1" s="57">
      <c r="A132" s="4" t="n"/>
      <c r="B132" s="4" t="n"/>
      <c r="C132" s="4" t="n"/>
      <c r="D132" s="4" t="n"/>
      <c r="E132" s="4" t="n"/>
      <c r="F132" s="4" t="n"/>
    </row>
    <row r="133" ht="15.75" customHeight="1" s="57">
      <c r="A133" s="4" t="n"/>
      <c r="B133" s="4" t="n"/>
      <c r="C133" s="4" t="n"/>
      <c r="D133" s="4" t="n"/>
      <c r="E133" s="4" t="n"/>
      <c r="F133" s="4" t="n"/>
    </row>
    <row r="134" ht="15.75" customHeight="1" s="57">
      <c r="A134" s="4" t="n"/>
      <c r="B134" s="4" t="n"/>
      <c r="C134" s="4" t="n"/>
      <c r="D134" s="4" t="n"/>
      <c r="E134" s="4" t="n"/>
      <c r="F134" s="4" t="n"/>
    </row>
    <row r="135" ht="15.75" customHeight="1" s="57">
      <c r="A135" s="4" t="n"/>
      <c r="B135" s="4" t="n"/>
      <c r="C135" s="4" t="n"/>
      <c r="D135" s="4" t="n"/>
      <c r="E135" s="4" t="n"/>
      <c r="F135" s="4" t="n"/>
    </row>
    <row r="136" ht="15.75" customHeight="1" s="57">
      <c r="A136" s="4" t="n"/>
      <c r="B136" s="4" t="n"/>
      <c r="C136" s="4" t="n"/>
      <c r="D136" s="4" t="n"/>
      <c r="E136" s="4" t="n"/>
      <c r="F136" s="4" t="n"/>
    </row>
    <row r="137" ht="15.75" customHeight="1" s="57">
      <c r="A137" s="4" t="n"/>
      <c r="B137" s="4" t="n"/>
      <c r="C137" s="4" t="n"/>
      <c r="D137" s="4" t="n"/>
      <c r="E137" s="4" t="n"/>
      <c r="F137" s="4" t="n"/>
    </row>
    <row r="138" ht="15.75" customHeight="1" s="57">
      <c r="A138" s="4" t="n"/>
      <c r="B138" s="4" t="n"/>
      <c r="C138" s="4" t="n"/>
      <c r="D138" s="4" t="n"/>
      <c r="E138" s="4" t="n"/>
      <c r="F138" s="4" t="n"/>
    </row>
    <row r="139" ht="15.75" customHeight="1" s="57">
      <c r="A139" s="4" t="n"/>
      <c r="B139" s="4" t="n"/>
      <c r="C139" s="4" t="n"/>
      <c r="D139" s="4" t="n"/>
      <c r="E139" s="4" t="n"/>
      <c r="F139" s="4" t="n"/>
    </row>
    <row r="140" ht="15.75" customHeight="1" s="57">
      <c r="A140" s="4" t="n"/>
      <c r="B140" s="4" t="n"/>
      <c r="C140" s="4" t="n"/>
      <c r="D140" s="4" t="n"/>
      <c r="E140" s="4" t="n"/>
      <c r="F140" s="4" t="n"/>
    </row>
    <row r="141" ht="15.75" customHeight="1" s="57">
      <c r="A141" s="4" t="n"/>
      <c r="B141" s="4" t="n"/>
      <c r="C141" s="4" t="n"/>
      <c r="D141" s="4" t="n"/>
      <c r="E141" s="4" t="n"/>
      <c r="F141" s="4" t="n"/>
    </row>
    <row r="142" ht="15.75" customHeight="1" s="57">
      <c r="A142" s="4" t="n"/>
      <c r="B142" s="4" t="n"/>
      <c r="C142" s="4" t="n"/>
      <c r="D142" s="4" t="n"/>
      <c r="E142" s="4" t="n"/>
      <c r="F142" s="4" t="n"/>
    </row>
    <row r="143" ht="15.75" customHeight="1" s="57">
      <c r="A143" s="4" t="n"/>
      <c r="B143" s="4" t="n"/>
      <c r="C143" s="4" t="n"/>
      <c r="D143" s="4" t="n"/>
      <c r="E143" s="4" t="n"/>
      <c r="F143" s="4" t="n"/>
    </row>
    <row r="144" ht="15.75" customHeight="1" s="57">
      <c r="A144" s="4" t="n"/>
      <c r="B144" s="4" t="n"/>
      <c r="C144" s="4" t="n"/>
      <c r="D144" s="4" t="n"/>
      <c r="E144" s="4" t="n"/>
      <c r="F144" s="4" t="n"/>
    </row>
    <row r="145" ht="15.75" customHeight="1" s="57">
      <c r="A145" s="4" t="n"/>
      <c r="B145" s="4" t="n"/>
      <c r="C145" s="4" t="n"/>
      <c r="D145" s="4" t="n"/>
      <c r="E145" s="4" t="n"/>
      <c r="F145" s="4" t="n"/>
    </row>
    <row r="146" ht="15.75" customHeight="1" s="57">
      <c r="A146" s="4" t="n"/>
      <c r="B146" s="4" t="n"/>
      <c r="C146" s="4" t="n"/>
      <c r="D146" s="4" t="n"/>
      <c r="E146" s="4" t="n"/>
      <c r="F146" s="4" t="n"/>
    </row>
    <row r="147" ht="15.75" customHeight="1" s="57">
      <c r="A147" s="4" t="n"/>
      <c r="B147" s="4" t="n"/>
      <c r="C147" s="4" t="n"/>
      <c r="D147" s="4" t="n"/>
      <c r="E147" s="4" t="n"/>
      <c r="F147" s="4" t="n"/>
    </row>
    <row r="148" ht="15.75" customHeight="1" s="57">
      <c r="A148" s="4" t="n"/>
      <c r="B148" s="4" t="n"/>
      <c r="C148" s="4" t="n"/>
      <c r="D148" s="4" t="n"/>
      <c r="E148" s="4" t="n"/>
      <c r="F148" s="4" t="n"/>
    </row>
    <row r="149" ht="15.75" customHeight="1" s="57">
      <c r="A149" s="4" t="n"/>
      <c r="B149" s="4" t="n"/>
      <c r="C149" s="4" t="n"/>
      <c r="D149" s="4" t="n"/>
      <c r="E149" s="4" t="n"/>
      <c r="F149" s="4" t="n"/>
    </row>
    <row r="150" ht="15.75" customHeight="1" s="57">
      <c r="A150" s="4" t="n"/>
      <c r="B150" s="4" t="n"/>
      <c r="C150" s="4" t="n"/>
      <c r="D150" s="4" t="n"/>
      <c r="E150" s="4" t="n"/>
      <c r="F150" s="4" t="n"/>
    </row>
    <row r="151" ht="15.75" customHeight="1" s="57">
      <c r="A151" s="4" t="n"/>
      <c r="B151" s="4" t="n"/>
      <c r="C151" s="4" t="n"/>
      <c r="D151" s="4" t="n"/>
      <c r="E151" s="4" t="n"/>
      <c r="F151" s="4" t="n"/>
    </row>
    <row r="152" ht="15.75" customHeight="1" s="57">
      <c r="A152" s="4" t="n"/>
      <c r="B152" s="4" t="n"/>
      <c r="C152" s="4" t="n"/>
      <c r="D152" s="4" t="n"/>
      <c r="E152" s="4" t="n"/>
      <c r="F152" s="4" t="n"/>
    </row>
    <row r="153" ht="15.75" customHeight="1" s="57">
      <c r="A153" s="4" t="n"/>
      <c r="B153" s="4" t="n"/>
      <c r="C153" s="4" t="n"/>
      <c r="D153" s="4" t="n"/>
      <c r="E153" s="4" t="n"/>
      <c r="F153" s="4" t="n"/>
    </row>
    <row r="154" ht="15.75" customHeight="1" s="57">
      <c r="A154" s="4" t="n"/>
      <c r="B154" s="4" t="n"/>
      <c r="C154" s="4" t="n"/>
      <c r="D154" s="4" t="n"/>
      <c r="E154" s="4" t="n"/>
      <c r="F154" s="4" t="n"/>
    </row>
    <row r="155" ht="15.75" customHeight="1" s="57">
      <c r="A155" s="4" t="n"/>
      <c r="B155" s="4" t="n"/>
      <c r="C155" s="4" t="n"/>
      <c r="D155" s="4" t="n"/>
      <c r="E155" s="4" t="n"/>
      <c r="F155" s="4" t="n"/>
    </row>
    <row r="156" ht="15.75" customHeight="1" s="57">
      <c r="A156" s="4" t="n"/>
      <c r="B156" s="4" t="n"/>
      <c r="C156" s="4" t="n"/>
      <c r="D156" s="4" t="n"/>
      <c r="E156" s="4" t="n"/>
      <c r="F156" s="4" t="n"/>
    </row>
    <row r="157" ht="15.75" customHeight="1" s="57">
      <c r="A157" s="4" t="n"/>
      <c r="B157" s="4" t="n"/>
      <c r="C157" s="4" t="n"/>
      <c r="D157" s="4" t="n"/>
      <c r="E157" s="4" t="n"/>
      <c r="F157" s="4" t="n"/>
    </row>
    <row r="158" ht="15.75" customHeight="1" s="57">
      <c r="A158" s="4" t="n"/>
      <c r="B158" s="4" t="n"/>
      <c r="C158" s="4" t="n"/>
      <c r="D158" s="4" t="n"/>
      <c r="E158" s="4" t="n"/>
      <c r="F158" s="4" t="n"/>
    </row>
    <row r="159" ht="15.75" customHeight="1" s="57">
      <c r="A159" s="4" t="n"/>
      <c r="B159" s="4" t="n"/>
      <c r="C159" s="4" t="n"/>
      <c r="D159" s="4" t="n"/>
      <c r="E159" s="4" t="n"/>
      <c r="F159" s="4" t="n"/>
    </row>
    <row r="160" ht="15.75" customHeight="1" s="57">
      <c r="A160" s="4" t="n"/>
      <c r="B160" s="4" t="n"/>
      <c r="C160" s="4" t="n"/>
      <c r="D160" s="4" t="n"/>
      <c r="E160" s="4" t="n"/>
      <c r="F160" s="4" t="n"/>
    </row>
    <row r="161" ht="15.75" customHeight="1" s="57">
      <c r="A161" s="4" t="n"/>
      <c r="B161" s="4" t="n"/>
      <c r="C161" s="4" t="n"/>
      <c r="D161" s="4" t="n"/>
      <c r="E161" s="4" t="n"/>
      <c r="F161" s="4" t="n"/>
    </row>
    <row r="162" ht="15.75" customHeight="1" s="57">
      <c r="A162" s="4" t="n"/>
      <c r="B162" s="4" t="n"/>
      <c r="C162" s="4" t="n"/>
      <c r="D162" s="4" t="n"/>
      <c r="E162" s="4" t="n"/>
      <c r="F162" s="4" t="n"/>
    </row>
    <row r="163" ht="15.75" customHeight="1" s="57">
      <c r="A163" s="4" t="n"/>
      <c r="B163" s="4" t="n"/>
      <c r="C163" s="4" t="n"/>
      <c r="D163" s="4" t="n"/>
      <c r="E163" s="4" t="n"/>
      <c r="F163" s="4" t="n"/>
    </row>
    <row r="164" ht="15.75" customHeight="1" s="57">
      <c r="A164" s="4" t="n"/>
      <c r="B164" s="4" t="n"/>
      <c r="C164" s="4" t="n"/>
      <c r="D164" s="4" t="n"/>
      <c r="E164" s="4" t="n"/>
      <c r="F164" s="4" t="n"/>
    </row>
    <row r="165" ht="15.75" customHeight="1" s="57">
      <c r="A165" s="4" t="n"/>
      <c r="B165" s="4" t="n"/>
      <c r="C165" s="4" t="n"/>
      <c r="D165" s="4" t="n"/>
      <c r="E165" s="4" t="n"/>
      <c r="F165" s="4" t="n"/>
    </row>
    <row r="166" ht="15.75" customHeight="1" s="57">
      <c r="A166" s="4" t="n"/>
      <c r="B166" s="4" t="n"/>
      <c r="C166" s="4" t="n"/>
      <c r="D166" s="4" t="n"/>
      <c r="E166" s="4" t="n"/>
      <c r="F166" s="4" t="n"/>
    </row>
    <row r="167" ht="15.75" customHeight="1" s="57">
      <c r="A167" s="4" t="n"/>
      <c r="B167" s="4" t="n"/>
      <c r="C167" s="4" t="n"/>
      <c r="D167" s="4" t="n"/>
      <c r="E167" s="4" t="n"/>
      <c r="F167" s="4" t="n"/>
    </row>
    <row r="168" ht="15.75" customHeight="1" s="57">
      <c r="A168" s="4" t="n"/>
      <c r="B168" s="4" t="n"/>
      <c r="C168" s="4" t="n"/>
      <c r="D168" s="4" t="n"/>
      <c r="E168" s="4" t="n"/>
      <c r="F168" s="4" t="n"/>
    </row>
    <row r="169" ht="15.75" customHeight="1" s="57">
      <c r="A169" s="4" t="n"/>
      <c r="B169" s="4" t="n"/>
      <c r="C169" s="4" t="n"/>
      <c r="D169" s="4" t="n"/>
      <c r="E169" s="4" t="n"/>
      <c r="F169" s="4" t="n"/>
    </row>
    <row r="170" ht="15.75" customHeight="1" s="57">
      <c r="A170" s="4" t="n"/>
      <c r="B170" s="4" t="n"/>
      <c r="C170" s="4" t="n"/>
      <c r="D170" s="4" t="n"/>
      <c r="E170" s="4" t="n"/>
      <c r="F170" s="4" t="n"/>
    </row>
    <row r="171" ht="15.75" customHeight="1" s="57">
      <c r="A171" s="4" t="n"/>
      <c r="B171" s="4" t="n"/>
      <c r="C171" s="4" t="n"/>
      <c r="D171" s="4" t="n"/>
      <c r="E171" s="4" t="n"/>
      <c r="F171" s="4" t="n"/>
    </row>
    <row r="172" ht="15.75" customHeight="1" s="57">
      <c r="A172" s="4" t="n"/>
      <c r="B172" s="4" t="n"/>
      <c r="C172" s="4" t="n"/>
      <c r="D172" s="4" t="n"/>
      <c r="E172" s="4" t="n"/>
      <c r="F172" s="4" t="n"/>
    </row>
    <row r="173" ht="15.75" customHeight="1" s="57">
      <c r="A173" s="4" t="n"/>
      <c r="B173" s="4" t="n"/>
      <c r="C173" s="4" t="n"/>
      <c r="D173" s="4" t="n"/>
      <c r="E173" s="4" t="n"/>
      <c r="F173" s="4" t="n"/>
    </row>
    <row r="174" ht="15.75" customHeight="1" s="57">
      <c r="A174" s="4" t="n"/>
      <c r="B174" s="4" t="n"/>
      <c r="C174" s="4" t="n"/>
      <c r="D174" s="4" t="n"/>
      <c r="E174" s="4" t="n"/>
      <c r="F174" s="4" t="n"/>
    </row>
    <row r="175" ht="15.75" customHeight="1" s="57">
      <c r="A175" s="4" t="n"/>
      <c r="B175" s="4" t="n"/>
      <c r="C175" s="4" t="n"/>
      <c r="D175" s="4" t="n"/>
      <c r="E175" s="4" t="n"/>
      <c r="F175" s="4" t="n"/>
    </row>
    <row r="176" ht="15.75" customHeight="1" s="57">
      <c r="A176" s="4" t="n"/>
      <c r="B176" s="4" t="n"/>
      <c r="C176" s="4" t="n"/>
      <c r="D176" s="4" t="n"/>
      <c r="E176" s="4" t="n"/>
      <c r="F176" s="4" t="n"/>
    </row>
    <row r="177" ht="15.75" customHeight="1" s="57">
      <c r="A177" s="4" t="n"/>
      <c r="B177" s="4" t="n"/>
      <c r="C177" s="4" t="n"/>
      <c r="D177" s="4" t="n"/>
      <c r="E177" s="4" t="n"/>
      <c r="F177" s="4" t="n"/>
    </row>
    <row r="178" ht="15.75" customHeight="1" s="57">
      <c r="A178" s="4" t="n"/>
      <c r="B178" s="4" t="n"/>
      <c r="C178" s="4" t="n"/>
      <c r="D178" s="4" t="n"/>
      <c r="E178" s="4" t="n"/>
      <c r="F178" s="4" t="n"/>
    </row>
    <row r="179" ht="15.75" customHeight="1" s="57">
      <c r="A179" s="4" t="n"/>
      <c r="B179" s="4" t="n"/>
      <c r="C179" s="4" t="n"/>
      <c r="D179" s="4" t="n"/>
      <c r="E179" s="4" t="n"/>
      <c r="F179" s="4" t="n"/>
    </row>
    <row r="180" ht="15.75" customHeight="1" s="57">
      <c r="A180" s="4" t="n"/>
      <c r="B180" s="4" t="n"/>
      <c r="C180" s="4" t="n"/>
      <c r="D180" s="4" t="n"/>
      <c r="E180" s="4" t="n"/>
      <c r="F180" s="4" t="n"/>
    </row>
    <row r="181" ht="15.75" customHeight="1" s="57">
      <c r="A181" s="4" t="n"/>
      <c r="B181" s="4" t="n"/>
      <c r="C181" s="4" t="n"/>
      <c r="D181" s="4" t="n"/>
      <c r="E181" s="4" t="n"/>
      <c r="F181" s="4" t="n"/>
    </row>
    <row r="182" ht="15.75" customHeight="1" s="57">
      <c r="A182" s="4" t="n"/>
      <c r="B182" s="4" t="n"/>
      <c r="C182" s="4" t="n"/>
      <c r="D182" s="4" t="n"/>
      <c r="E182" s="4" t="n"/>
      <c r="F182" s="4" t="n"/>
    </row>
    <row r="183" ht="15.75" customHeight="1" s="57">
      <c r="A183" s="4" t="n"/>
      <c r="B183" s="4" t="n"/>
      <c r="C183" s="4" t="n"/>
      <c r="D183" s="4" t="n"/>
      <c r="E183" s="4" t="n"/>
      <c r="F183" s="4" t="n"/>
    </row>
    <row r="184" ht="15.75" customHeight="1" s="57">
      <c r="A184" s="4" t="n"/>
      <c r="B184" s="4" t="n"/>
      <c r="C184" s="4" t="n"/>
      <c r="D184" s="4" t="n"/>
      <c r="E184" s="4" t="n"/>
      <c r="F184" s="4" t="n"/>
    </row>
    <row r="185" ht="15.75" customHeight="1" s="57">
      <c r="A185" s="4" t="n"/>
      <c r="B185" s="4" t="n"/>
      <c r="C185" s="4" t="n"/>
      <c r="D185" s="4" t="n"/>
      <c r="E185" s="4" t="n"/>
      <c r="F185" s="4" t="n"/>
    </row>
    <row r="186" ht="15.75" customHeight="1" s="57">
      <c r="A186" s="4" t="n"/>
      <c r="B186" s="4" t="n"/>
      <c r="C186" s="4" t="n"/>
      <c r="D186" s="4" t="n"/>
      <c r="E186" s="4" t="n"/>
      <c r="F186" s="4" t="n"/>
    </row>
    <row r="187" ht="15.75" customHeight="1" s="57">
      <c r="A187" s="4" t="n"/>
      <c r="B187" s="4" t="n"/>
      <c r="C187" s="4" t="n"/>
      <c r="D187" s="4" t="n"/>
      <c r="E187" s="4" t="n"/>
      <c r="F187" s="4" t="n"/>
    </row>
    <row r="188" ht="15.75" customHeight="1" s="57">
      <c r="A188" s="4" t="n"/>
      <c r="B188" s="4" t="n"/>
      <c r="C188" s="4" t="n"/>
      <c r="D188" s="4" t="n"/>
      <c r="E188" s="4" t="n"/>
      <c r="F188" s="4" t="n"/>
    </row>
    <row r="189" ht="15.75" customHeight="1" s="57">
      <c r="A189" s="4" t="n"/>
      <c r="B189" s="4" t="n"/>
      <c r="C189" s="4" t="n"/>
      <c r="D189" s="4" t="n"/>
      <c r="E189" s="4" t="n"/>
      <c r="F189" s="4" t="n"/>
    </row>
    <row r="190" ht="15.75" customHeight="1" s="57">
      <c r="A190" s="4" t="n"/>
      <c r="B190" s="4" t="n"/>
      <c r="C190" s="4" t="n"/>
      <c r="D190" s="4" t="n"/>
      <c r="E190" s="4" t="n"/>
      <c r="F190" s="4" t="n"/>
    </row>
    <row r="191" ht="15.75" customHeight="1" s="57">
      <c r="A191" s="4" t="n"/>
      <c r="B191" s="4" t="n"/>
      <c r="C191" s="4" t="n"/>
      <c r="D191" s="4" t="n"/>
      <c r="E191" s="4" t="n"/>
      <c r="F191" s="4" t="n"/>
    </row>
    <row r="192" ht="15.75" customHeight="1" s="57">
      <c r="A192" s="4" t="n"/>
      <c r="B192" s="4" t="n"/>
      <c r="C192" s="4" t="n"/>
      <c r="D192" s="4" t="n"/>
      <c r="E192" s="4" t="n"/>
      <c r="F192" s="4" t="n"/>
    </row>
    <row r="193" ht="15.75" customHeight="1" s="57">
      <c r="A193" s="4" t="n"/>
      <c r="B193" s="4" t="n"/>
      <c r="C193" s="4" t="n"/>
      <c r="D193" s="4" t="n"/>
      <c r="E193" s="4" t="n"/>
      <c r="F193" s="4" t="n"/>
    </row>
    <row r="194" ht="15.75" customHeight="1" s="57">
      <c r="A194" s="4" t="n"/>
      <c r="B194" s="4" t="n"/>
      <c r="C194" s="4" t="n"/>
      <c r="D194" s="4" t="n"/>
      <c r="E194" s="4" t="n"/>
      <c r="F194" s="4" t="n"/>
    </row>
    <row r="195" ht="15.75" customHeight="1" s="57">
      <c r="A195" s="4" t="n"/>
      <c r="B195" s="4" t="n"/>
      <c r="C195" s="4" t="n"/>
      <c r="D195" s="4" t="n"/>
      <c r="E195" s="4" t="n"/>
      <c r="F195" s="4" t="n"/>
    </row>
    <row r="196" ht="15.75" customHeight="1" s="57">
      <c r="A196" s="4" t="n"/>
      <c r="B196" s="4" t="n"/>
      <c r="C196" s="4" t="n"/>
      <c r="D196" s="4" t="n"/>
      <c r="E196" s="4" t="n"/>
      <c r="F196" s="4" t="n"/>
    </row>
    <row r="197" ht="15.75" customHeight="1" s="57">
      <c r="A197" s="4" t="n"/>
      <c r="B197" s="4" t="n"/>
      <c r="C197" s="4" t="n"/>
      <c r="D197" s="4" t="n"/>
      <c r="E197" s="4" t="n"/>
      <c r="F197" s="4" t="n"/>
    </row>
    <row r="198" ht="15.75" customHeight="1" s="57">
      <c r="A198" s="4" t="n"/>
      <c r="B198" s="4" t="n"/>
      <c r="C198" s="4" t="n"/>
      <c r="D198" s="4" t="n"/>
      <c r="E198" s="4" t="n"/>
      <c r="F198" s="4" t="n"/>
    </row>
    <row r="199" ht="15.75" customHeight="1" s="57">
      <c r="A199" s="4" t="n"/>
      <c r="B199" s="4" t="n"/>
      <c r="C199" s="4" t="n"/>
      <c r="D199" s="4" t="n"/>
      <c r="E199" s="4" t="n"/>
      <c r="F199" s="4" t="n"/>
    </row>
    <row r="200" ht="15.75" customHeight="1" s="57">
      <c r="A200" s="4" t="n"/>
      <c r="B200" s="4" t="n"/>
      <c r="C200" s="4" t="n"/>
      <c r="D200" s="4" t="n"/>
      <c r="E200" s="4" t="n"/>
      <c r="F200" s="4" t="n"/>
    </row>
    <row r="201" ht="15.75" customHeight="1" s="57">
      <c r="A201" s="4" t="n"/>
      <c r="B201" s="4" t="n"/>
      <c r="C201" s="4" t="n"/>
      <c r="D201" s="4" t="n"/>
      <c r="E201" s="4" t="n"/>
      <c r="F201" s="4" t="n"/>
    </row>
    <row r="202" ht="15.75" customHeight="1" s="57">
      <c r="A202" s="4" t="n"/>
      <c r="B202" s="4" t="n"/>
      <c r="C202" s="4" t="n"/>
      <c r="D202" s="4" t="n"/>
      <c r="E202" s="4" t="n"/>
      <c r="F202" s="4" t="n"/>
    </row>
    <row r="203" ht="15.75" customHeight="1" s="57">
      <c r="A203" s="4" t="n"/>
      <c r="B203" s="4" t="n"/>
      <c r="C203" s="4" t="n"/>
      <c r="D203" s="4" t="n"/>
      <c r="E203" s="4" t="n"/>
      <c r="F203" s="4" t="n"/>
    </row>
    <row r="204" ht="15.75" customHeight="1" s="57">
      <c r="A204" s="4" t="n"/>
      <c r="B204" s="4" t="n"/>
      <c r="C204" s="4" t="n"/>
      <c r="D204" s="4" t="n"/>
      <c r="E204" s="4" t="n"/>
      <c r="F204" s="4" t="n"/>
    </row>
    <row r="205" ht="15.75" customHeight="1" s="57">
      <c r="A205" s="4" t="n"/>
      <c r="B205" s="4" t="n"/>
      <c r="C205" s="4" t="n"/>
      <c r="D205" s="4" t="n"/>
      <c r="E205" s="4" t="n"/>
      <c r="F205" s="4" t="n"/>
    </row>
    <row r="206" ht="15.75" customHeight="1" s="57">
      <c r="A206" s="4" t="n"/>
      <c r="B206" s="4" t="n"/>
      <c r="C206" s="4" t="n"/>
      <c r="D206" s="4" t="n"/>
      <c r="E206" s="4" t="n"/>
      <c r="F206" s="4" t="n"/>
    </row>
    <row r="207" ht="15.75" customHeight="1" s="57">
      <c r="A207" s="4" t="n"/>
      <c r="B207" s="4" t="n"/>
      <c r="C207" s="4" t="n"/>
      <c r="D207" s="4" t="n"/>
      <c r="E207" s="4" t="n"/>
      <c r="F207" s="4" t="n"/>
    </row>
    <row r="208" ht="15.75" customHeight="1" s="57">
      <c r="A208" s="4" t="n"/>
      <c r="B208" s="4" t="n"/>
      <c r="C208" s="4" t="n"/>
      <c r="D208" s="4" t="n"/>
      <c r="E208" s="4" t="n"/>
      <c r="F208" s="4" t="n"/>
    </row>
    <row r="209" ht="15.75" customHeight="1" s="57">
      <c r="A209" s="4" t="n"/>
      <c r="B209" s="4" t="n"/>
      <c r="C209" s="4" t="n"/>
      <c r="D209" s="4" t="n"/>
      <c r="E209" s="4" t="n"/>
      <c r="F209" s="4" t="n"/>
    </row>
    <row r="210" ht="15.75" customHeight="1" s="57">
      <c r="A210" s="4" t="n"/>
      <c r="B210" s="4" t="n"/>
      <c r="C210" s="4" t="n"/>
      <c r="D210" s="4" t="n"/>
      <c r="E210" s="4" t="n"/>
      <c r="F210" s="4" t="n"/>
    </row>
    <row r="211" ht="15.75" customHeight="1" s="57">
      <c r="A211" s="4" t="n"/>
      <c r="B211" s="4" t="n"/>
      <c r="C211" s="4" t="n"/>
      <c r="D211" s="4" t="n"/>
      <c r="E211" s="4" t="n"/>
      <c r="F211" s="4" t="n"/>
    </row>
    <row r="212" ht="15.75" customHeight="1" s="57">
      <c r="A212" s="4" t="n"/>
      <c r="B212" s="4" t="n"/>
      <c r="C212" s="4" t="n"/>
      <c r="D212" s="4" t="n"/>
      <c r="E212" s="4" t="n"/>
      <c r="F212" s="4" t="n"/>
    </row>
    <row r="213" ht="15.75" customHeight="1" s="57">
      <c r="A213" s="4" t="n"/>
      <c r="B213" s="4" t="n"/>
      <c r="C213" s="4" t="n"/>
      <c r="D213" s="4" t="n"/>
      <c r="E213" s="4" t="n"/>
      <c r="F213" s="4" t="n"/>
    </row>
    <row r="214" ht="15.75" customHeight="1" s="57">
      <c r="A214" s="4" t="n"/>
      <c r="B214" s="4" t="n"/>
      <c r="C214" s="4" t="n"/>
      <c r="D214" s="4" t="n"/>
      <c r="E214" s="4" t="n"/>
      <c r="F214" s="4" t="n"/>
    </row>
    <row r="215" ht="15.75" customHeight="1" s="57">
      <c r="A215" s="4" t="n"/>
      <c r="B215" s="4" t="n"/>
      <c r="C215" s="4" t="n"/>
      <c r="D215" s="4" t="n"/>
      <c r="E215" s="4" t="n"/>
      <c r="F215" s="4" t="n"/>
    </row>
    <row r="216" ht="15.75" customHeight="1" s="57">
      <c r="A216" s="4" t="n"/>
      <c r="B216" s="4" t="n"/>
      <c r="C216" s="4" t="n"/>
      <c r="D216" s="4" t="n"/>
      <c r="E216" s="4" t="n"/>
      <c r="F216" s="4" t="n"/>
    </row>
    <row r="217" ht="15.75" customHeight="1" s="57">
      <c r="A217" s="4" t="n"/>
      <c r="B217" s="4" t="n"/>
      <c r="C217" s="4" t="n"/>
      <c r="D217" s="4" t="n"/>
      <c r="E217" s="4" t="n"/>
      <c r="F217" s="4" t="n"/>
    </row>
    <row r="218" ht="15.75" customHeight="1" s="57">
      <c r="A218" s="4" t="n"/>
      <c r="B218" s="4" t="n"/>
      <c r="C218" s="4" t="n"/>
      <c r="D218" s="4" t="n"/>
      <c r="E218" s="4" t="n"/>
      <c r="F218" s="4" t="n"/>
    </row>
    <row r="219" ht="15.75" customHeight="1" s="57">
      <c r="A219" s="4" t="n"/>
      <c r="B219" s="4" t="n"/>
      <c r="C219" s="4" t="n"/>
      <c r="D219" s="4" t="n"/>
      <c r="E219" s="4" t="n"/>
      <c r="F219" s="4" t="n"/>
    </row>
    <row r="220" ht="15.75" customHeight="1" s="57">
      <c r="A220" s="4" t="n"/>
      <c r="B220" s="4" t="n"/>
      <c r="C220" s="4" t="n"/>
      <c r="D220" s="4" t="n"/>
      <c r="E220" s="4" t="n"/>
      <c r="F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2026-07-21T07:18:24Z</dcterms:created>
  <dcterms:modified xsi:type="dcterms:W3CDTF">2026-08-12T20:04:55Z</dcterms:modified>
</cp:coreProperties>
</file>