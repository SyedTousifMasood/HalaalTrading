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Ledger" sheetId="2" state="visible" r:id="rId2"/>
    <sheet name="Logs" sheetId="3" state="visible" r:id="rId3"/>
    <sheet name="Capital" sheetId="4" state="visible" r:id="rId4"/>
    <sheet name="Recommend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1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1"/>
    </font>
    <font>
      <name val="Quattrocento Sans"/>
      <b val="1"/>
      <color theme="1"/>
      <sz val="11"/>
    </font>
    <font>
      <name val="Quattrocento Sans"/>
      <color theme="1"/>
      <sz val="11"/>
    </font>
    <font>
      <name val="Calibri"/>
      <color theme="1"/>
      <scheme val="minor"/>
    </font>
    <font>
      <name val="Calibri"/>
      <color theme="1"/>
      <sz val="11"/>
    </font>
    <font>
      <name val="Segoe UI"/>
      <b val="1"/>
      <color rgb="00FFFFFF"/>
      <sz val="11"/>
    </font>
    <font>
      <name val="Segoe UI"/>
      <b val="1"/>
      <color rgb="001B365D"/>
      <sz val="16"/>
    </font>
    <font>
      <name val="Segoe UI"/>
      <b val="1"/>
      <sz val="11"/>
    </font>
    <font>
      <name val="Segoe UI"/>
      <sz val="11"/>
    </font>
  </fonts>
  <fills count="8">
    <fill>
      <patternFill/>
    </fill>
    <fill>
      <patternFill patternType="lightGray"/>
    </fill>
    <fill>
      <patternFill patternType="solid">
        <fgColor rgb="FF1B365D"/>
        <bgColor rgb="FF1B365D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2B6CB0"/>
        <bgColor rgb="002B6CB0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2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pivotButton="0" quotePrefix="0" xfId="0"/>
    <xf numFmtId="164" fontId="4" fillId="0" borderId="0" pivotButton="0" quotePrefix="0" xfId="0"/>
    <xf numFmtId="165" fontId="4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6" fillId="0" borderId="0" pivotButton="0" quotePrefix="0" xfId="0"/>
    <xf numFmtId="0" fontId="2" fillId="4" borderId="1" applyAlignment="1" pivotButton="0" quotePrefix="0" xfId="0">
      <alignment horizontal="center" vertical="center"/>
    </xf>
    <xf numFmtId="164" fontId="6" fillId="0" borderId="0" pivotButton="0" quotePrefix="0" xfId="0"/>
    <xf numFmtId="0" fontId="0" fillId="0" borderId="0" pivotButton="0" quotePrefix="0" xfId="0"/>
    <xf numFmtId="0" fontId="7" fillId="5" borderId="0" applyAlignment="1" pivotButton="0" quotePrefix="0" xfId="0">
      <alignment horizontal="center" vertical="center"/>
    </xf>
    <xf numFmtId="164" fontId="0" fillId="0" borderId="0" pivotButton="0" quotePrefix="0" xfId="0"/>
    <xf numFmtId="0" fontId="8" fillId="0" borderId="0" pivotButton="0" quotePrefix="0" xfId="0"/>
    <xf numFmtId="0" fontId="7" fillId="6" borderId="1" applyAlignment="1" pivotButton="0" quotePrefix="0" xfId="0">
      <alignment horizontal="center" vertical="center"/>
    </xf>
    <xf numFmtId="0" fontId="9" fillId="7" borderId="1" pivotButton="0" quotePrefix="0" xfId="0"/>
    <xf numFmtId="164" fontId="10" fillId="0" borderId="0" pivotButton="0" quotePrefix="0" xfId="0"/>
    <xf numFmtId="165" fontId="10" fillId="0" borderId="0" pivotButton="0" quotePrefix="0" xfId="0"/>
    <xf numFmtId="0" fontId="10" fillId="0" borderId="0" pivotButton="0" quotePrefix="0" xfId="0"/>
    <xf numFmtId="0" fontId="7" fillId="6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1" workbookViewId="0">
      <selection activeCell="A1" sqref="A1"/>
    </sheetView>
  </sheetViews>
  <sheetFormatPr baseColWidth="8" defaultColWidth="14.43" defaultRowHeight="15" customHeight="1"/>
  <cols>
    <col width="30" customWidth="1" style="11" min="1" max="1"/>
    <col width="20" customWidth="1" style="11" min="2" max="2"/>
    <col width="8.710000000000001" customWidth="1" style="11" min="3" max="26"/>
  </cols>
  <sheetData>
    <row r="1" ht="30" customHeight="1" s="11">
      <c r="A1" s="14" t="inlineStr">
        <is>
          <t>HSTS v1.0 Trading Dashboard</t>
        </is>
      </c>
    </row>
    <row r="3" ht="24" customHeight="1" s="11">
      <c r="A3" s="15" t="inlineStr">
        <is>
          <t>Metric</t>
        </is>
      </c>
      <c r="B3" s="15" t="inlineStr">
        <is>
          <t>Value</t>
        </is>
      </c>
    </row>
    <row r="4">
      <c r="A4" s="16" t="inlineStr">
        <is>
          <t>Total Invested Capital</t>
        </is>
      </c>
      <c r="B4" s="17">
        <f>SUMIF(Capital!B:B, "DEPOSIT", Capital!C:C) - SUMIF(Capital!B:B, "WITHDRAWAL", Capital!C:C)</f>
        <v/>
      </c>
    </row>
    <row r="5">
      <c r="A5" s="16" t="inlineStr">
        <is>
          <t>Lifetime PnL</t>
        </is>
      </c>
      <c r="B5" s="17">
        <f>SUM(Ledger!M:M)</f>
        <v/>
      </c>
    </row>
    <row r="6">
      <c r="A6" s="16" t="inlineStr">
        <is>
          <t>Current Account Balance</t>
        </is>
      </c>
      <c r="B6" s="17">
        <f>B4 + B5</f>
        <v/>
      </c>
    </row>
    <row r="7">
      <c r="A7" s="16" t="inlineStr">
        <is>
          <t>Win Rate</t>
        </is>
      </c>
      <c r="B7" s="18">
        <f>IF((COUNTIF(Ledger!N:N, "WIN")+COUNTIF(Ledger!N:N, "LOSS"))&gt;0, COUNTIF(Ledger!N:N, "WIN")/(COUNTIF(Ledger!N:N, "WIN")+COUNTIF(Ledger!N:N, "LOSS")), 0)</f>
        <v/>
      </c>
    </row>
    <row r="8">
      <c r="A8" s="16" t="inlineStr">
        <is>
          <t>Total Completed Trades</t>
        </is>
      </c>
      <c r="B8" s="19">
        <f>COUNTIF(Ledger!N:N, "WIN") + COUNTIF(Ledger!N:N, "LOSS")</f>
        <v/>
      </c>
    </row>
    <row r="9">
      <c r="A9" s="16" t="inlineStr">
        <is>
          <t>Active Open Positions</t>
        </is>
      </c>
      <c r="B9" s="19">
        <f>COUNTIF(Ledger!N:N, "OPEN")</f>
        <v/>
      </c>
    </row>
    <row r="10">
      <c r="A10" s="16" t="inlineStr">
        <is>
          <t>Win Trades</t>
        </is>
      </c>
      <c r="B10" s="19">
        <f>COUNTIF(Ledger!N:N, "WIN")</f>
        <v/>
      </c>
    </row>
    <row r="11">
      <c r="A11" s="16" t="inlineStr">
        <is>
          <t>Loss Trades</t>
        </is>
      </c>
      <c r="B11" s="19">
        <f>COUNTIF(Ledger!N:N, "LOSS")</f>
        <v/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5" customWidth="1" style="11" min="2" max="2"/>
    <col width="16" customWidth="1" style="11" min="3" max="13"/>
    <col width="22" customWidth="1" style="11" min="10" max="10"/>
    <col width="30" customWidth="1" style="11" min="14" max="14"/>
    <col width="8.710000000000001" customWidth="1" style="11" min="15" max="26"/>
  </cols>
  <sheetData>
    <row r="1" ht="27.75" customHeight="1" s="11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0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</row>
    <row r="2">
      <c r="A2" s="7" t="inlineStr">
        <is>
          <t>TCS</t>
        </is>
      </c>
      <c r="B2" s="7" t="inlineStr">
        <is>
          <t>Tata Consultancy Services</t>
        </is>
      </c>
      <c r="C2" s="7" t="inlineStr">
        <is>
          <t>2026-07-21</t>
        </is>
      </c>
      <c r="D2" s="7" t="n">
        <v>10</v>
      </c>
      <c r="E2" s="10" t="n">
        <v>2269</v>
      </c>
      <c r="F2" s="10" t="n">
        <v>2269</v>
      </c>
      <c r="G2" s="10" t="n">
        <v>0</v>
      </c>
      <c r="H2" s="10" t="n">
        <v>2547.092133087141</v>
      </c>
      <c r="I2" s="10" t="n">
        <v>2129.95393345643</v>
      </c>
      <c r="J2" t="inlineStr">
        <is>
          <t>1:2.0</t>
        </is>
      </c>
      <c r="K2" s="7" t="inlineStr">
        <is>
          <t>2026-07-21</t>
        </is>
      </c>
      <c r="L2" s="10" t="n">
        <v>2540</v>
      </c>
      <c r="M2" s="10">
        <f>IF(N2="OPEN", 0, (L2-E2)*D2)</f>
        <v/>
      </c>
      <c r="N2" s="7" t="inlineStr">
        <is>
          <t>WIN</t>
        </is>
      </c>
      <c r="O2" s="7" t="inlineStr">
        <is>
          <t>Initial HSTS mock setup trade | Sold at target limit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12" customWidth="1" style="11" min="2" max="2"/>
    <col width="80" customWidth="1" style="11" min="3" max="3"/>
    <col width="8.710000000000001" customWidth="1" style="11" min="4" max="26"/>
  </cols>
  <sheetData>
    <row r="1">
      <c r="A1" s="9" t="inlineStr">
        <is>
          <t>Timestamp</t>
        </is>
      </c>
      <c r="B1" s="9" t="inlineStr">
        <is>
          <t>Level</t>
        </is>
      </c>
      <c r="C1" s="9" t="inlineStr">
        <is>
          <t>Message</t>
        </is>
      </c>
    </row>
    <row r="2">
      <c r="A2" s="7" t="inlineStr">
        <is>
          <t>2026-07-21 03:24:19</t>
        </is>
      </c>
      <c r="B2" s="7" t="inlineStr">
        <is>
          <t>INFO</t>
        </is>
      </c>
      <c r="C2" s="7" t="inlineStr">
        <is>
          <t>Recorded buy order: 10 shares of TCS at 2269.0</t>
        </is>
      </c>
    </row>
    <row r="3">
      <c r="A3" s="7" t="inlineStr">
        <is>
          <t>2026-07-21 03:24:31</t>
        </is>
      </c>
      <c r="B3" s="7" t="inlineStr">
        <is>
          <t>INFO</t>
        </is>
      </c>
      <c r="C3" s="7" t="inlineStr">
        <is>
          <t>Closed trade: TCS exited at 2540.0 (WIN)</t>
        </is>
      </c>
    </row>
    <row r="4">
      <c r="A4" s="7" t="inlineStr">
        <is>
          <t>2026-07-21 03:31:58</t>
        </is>
      </c>
      <c r="B4" s="7" t="inlineStr">
        <is>
          <t>INFO</t>
        </is>
      </c>
      <c r="C4" s="7" t="inlineStr">
        <is>
          <t>Capital Transaction: DEPOSIT of INR 100000.00 logged.</t>
        </is>
      </c>
    </row>
    <row r="5">
      <c r="A5" s="7" t="inlineStr">
        <is>
          <t>2026-07-21 03:32:14</t>
        </is>
      </c>
      <c r="B5" s="7" t="inlineStr">
        <is>
          <t>INFO</t>
        </is>
      </c>
      <c r="C5" s="7" t="inlineStr">
        <is>
          <t>Capital Transaction: WITHDRAWAL of INR 5000.00 logged.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2"/>
    <col width="18" customWidth="1" style="11" min="3" max="3"/>
    <col width="40" customWidth="1" style="11" min="4" max="4"/>
    <col width="8.710000000000001" customWidth="1" style="11" min="5" max="26"/>
  </cols>
  <sheetData>
    <row r="1">
      <c r="A1" s="2" t="inlineStr">
        <is>
          <t>Date</t>
        </is>
      </c>
      <c r="B1" s="2" t="inlineStr">
        <is>
          <t>Type</t>
        </is>
      </c>
      <c r="C1" s="2" t="inlineStr">
        <is>
          <t>Amount</t>
        </is>
      </c>
      <c r="D1" s="2" t="inlineStr">
        <is>
          <t>Notes</t>
        </is>
      </c>
    </row>
    <row r="2">
      <c r="A2" s="7" t="inlineStr">
        <is>
          <t>2026-07-21</t>
        </is>
      </c>
      <c r="B2" s="7" t="inlineStr">
        <is>
          <t>DEPOSIT</t>
        </is>
      </c>
      <c r="C2" s="10" t="n">
        <v>10000</v>
      </c>
      <c r="D2" s="7" t="inlineStr">
        <is>
          <t>Initial funding</t>
        </is>
      </c>
    </row>
    <row r="3">
      <c r="C3" s="10" t="n"/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1" workbookViewId="0">
      <selection activeCell="A1" sqref="A1"/>
    </sheetView>
  </sheetViews>
  <sheetFormatPr baseColWidth="8" defaultRowHeight="15"/>
  <cols>
    <col width="14" customWidth="1" style="11" min="1" max="1"/>
    <col width="14" customWidth="1" style="11" min="2" max="2"/>
    <col width="25" customWidth="1" style="11" min="3" max="3"/>
    <col width="18" customWidth="1" style="11" min="4" max="4"/>
    <col width="18" customWidth="1" style="11" min="5" max="5"/>
    <col width="18" customWidth="1" style="11" min="6" max="6"/>
    <col width="18" customWidth="1" style="11" min="7" max="7"/>
    <col width="22" customWidth="1" style="11" min="8" max="8"/>
    <col width="22" customWidth="1" style="11" min="9" max="9"/>
    <col width="24" customWidth="1" style="11" min="10" max="10"/>
    <col width="30" customWidth="1" style="11" min="11" max="11"/>
  </cols>
  <sheetData>
    <row r="1" ht="28" customHeight="1" s="11">
      <c r="A1" s="12" t="inlineStr">
        <is>
          <t>Date</t>
        </is>
      </c>
      <c r="B1" s="12" t="inlineStr">
        <is>
          <t>Symbol</t>
        </is>
      </c>
      <c r="C1" s="12" t="inlineStr">
        <is>
          <t>Name</t>
        </is>
      </c>
      <c r="D1" s="12" t="inlineStr">
        <is>
          <t>Composite Score</t>
        </is>
      </c>
      <c r="E1" s="12" t="inlineStr">
        <is>
          <t>Target Entry Price</t>
        </is>
      </c>
      <c r="F1" s="12" t="inlineStr">
        <is>
          <t>Initial Stop-Loss</t>
        </is>
      </c>
      <c r="G1" s="12" t="inlineStr">
        <is>
          <t>Profit Target</t>
        </is>
      </c>
      <c r="H1" s="12" t="inlineStr">
        <is>
          <t>Risk-to-Reward Ratio</t>
        </is>
      </c>
      <c r="I1" s="12" t="inlineStr">
        <is>
          <t>Recommended Qty</t>
        </is>
      </c>
      <c r="J1" s="12" t="inlineStr">
        <is>
          <t>Recommended Allocation</t>
        </is>
      </c>
      <c r="K1" s="12" t="inlineStr">
        <is>
          <t>Execution Status</t>
        </is>
      </c>
      <c r="L1" s="12" t="inlineStr">
        <is>
          <t>Notes</t>
        </is>
      </c>
    </row>
    <row r="2">
      <c r="A2" s="0" t="inlineStr">
        <is>
          <t>2026-07-21</t>
        </is>
      </c>
      <c r="B2" s="0" t="inlineStr">
        <is>
          <t>ULTRACEMCO</t>
        </is>
      </c>
      <c r="C2" s="0" t="inlineStr">
        <is>
          <t>UltraTech Cement Limited</t>
        </is>
      </c>
      <c r="D2" s="0" t="inlineStr">
        <is>
          <t>94/100</t>
        </is>
      </c>
      <c r="E2" s="13" t="n">
        <v>12100</v>
      </c>
      <c r="F2" s="13" t="n">
        <v>11664.42857142857</v>
      </c>
      <c r="G2" s="13" t="n">
        <v>12971.14285714286</v>
      </c>
      <c r="H2" t="inlineStr">
        <is>
          <t>1:2.0</t>
        </is>
      </c>
      <c r="I2" s="0" t="n">
        <v>1</v>
      </c>
      <c r="J2" s="13" t="n">
        <v>12100</v>
      </c>
      <c r="K2" s="0" t="inlineStr">
        <is>
          <t>SKIPPED_BEARISH_REGIME</t>
        </is>
      </c>
      <c r="L2" s="0" t="inlineStr">
        <is>
          <t>Scanned under BEARISH regime</t>
        </is>
      </c>
    </row>
    <row r="3">
      <c r="A3" s="0" t="inlineStr">
        <is>
          <t>2026-07-21</t>
        </is>
      </c>
      <c r="B3" s="0" t="inlineStr">
        <is>
          <t>SUNPHARMA</t>
        </is>
      </c>
      <c r="C3" s="0" t="inlineStr">
        <is>
          <t>Sun Pharmaceutical Industries Limited</t>
        </is>
      </c>
      <c r="D3" s="0" t="inlineStr">
        <is>
          <t>85/100</t>
        </is>
      </c>
      <c r="E3" s="13" t="n">
        <v>1950.900024414062</v>
      </c>
      <c r="F3" s="13" t="n">
        <v>1888.356894032553</v>
      </c>
      <c r="G3" s="13" t="n">
        <v>2075.986285177081</v>
      </c>
      <c r="H3" t="inlineStr">
        <is>
          <t>1:2.0</t>
        </is>
      </c>
      <c r="I3" s="0" t="n">
        <v>10</v>
      </c>
      <c r="J3" s="13" t="n">
        <v>19509.00024414062</v>
      </c>
      <c r="K3" s="0" t="inlineStr">
        <is>
          <t>SKIPPED_BEARISH_REGIME</t>
        </is>
      </c>
      <c r="L3" s="0" t="inlineStr">
        <is>
          <t>Scanned under BEARISH regime</t>
        </is>
      </c>
    </row>
    <row r="4">
      <c r="A4" s="0" t="inlineStr">
        <is>
          <t>2026-07-21</t>
        </is>
      </c>
      <c r="B4" s="0" t="inlineStr">
        <is>
          <t>HEROMOTOCO</t>
        </is>
      </c>
      <c r="C4" s="0" t="inlineStr">
        <is>
          <t>Hero MotoCorp Limited</t>
        </is>
      </c>
      <c r="D4" s="0" t="inlineStr">
        <is>
          <t>82/100</t>
        </is>
      </c>
      <c r="E4" s="13" t="n">
        <v>4986</v>
      </c>
      <c r="F4" s="13" t="n">
        <v>4814.10009765625</v>
      </c>
      <c r="G4" s="13" t="n">
        <v>5329.7998046875</v>
      </c>
      <c r="H4" t="inlineStr">
        <is>
          <t>1:2.0</t>
        </is>
      </c>
      <c r="I4" s="0" t="n">
        <v>4</v>
      </c>
      <c r="J4" s="13" t="n">
        <v>19944</v>
      </c>
      <c r="K4" s="0" t="inlineStr">
        <is>
          <t>SKIPPED_BEARISH_REGIME</t>
        </is>
      </c>
      <c r="L4" s="0" t="inlineStr">
        <is>
          <t>Scanned under BEARISH regime</t>
        </is>
      </c>
    </row>
    <row r="5">
      <c r="A5" s="0" t="inlineStr">
        <is>
          <t>2026-07-21</t>
        </is>
      </c>
      <c r="B5" s="0" t="inlineStr">
        <is>
          <t>JSWSTEEL</t>
        </is>
      </c>
      <c r="C5" s="0" t="inlineStr">
        <is>
          <t>JSW Steel Limited</t>
        </is>
      </c>
      <c r="D5" s="0" t="inlineStr">
        <is>
          <t>82/100</t>
        </is>
      </c>
      <c r="E5" s="13" t="n">
        <v>1265.199951171875</v>
      </c>
      <c r="F5" s="13" t="n">
        <v>1214.579254630868</v>
      </c>
      <c r="G5" s="13" t="n">
        <v>1366.44134425389</v>
      </c>
      <c r="H5" t="inlineStr">
        <is>
          <t>1:2.0</t>
        </is>
      </c>
      <c r="I5" s="0" t="n">
        <v>15</v>
      </c>
      <c r="J5" s="13" t="n">
        <v>18977.99926757812</v>
      </c>
      <c r="K5" s="0" t="inlineStr">
        <is>
          <t>SKIPPED_BEARISH_REGIME</t>
        </is>
      </c>
      <c r="L5" s="0" t="inlineStr">
        <is>
          <t>Scanned under BEARISH regime</t>
        </is>
      </c>
    </row>
    <row r="6">
      <c r="A6" s="0" t="inlineStr">
        <is>
          <t>2026-07-21</t>
        </is>
      </c>
      <c r="B6" s="0" t="inlineStr">
        <is>
          <t>TECHM</t>
        </is>
      </c>
      <c r="C6" s="0" t="inlineStr">
        <is>
          <t>Tech Mahindra Limited</t>
        </is>
      </c>
      <c r="D6" s="0" t="inlineStr">
        <is>
          <t>81/100</t>
        </is>
      </c>
      <c r="E6" s="13" t="n">
        <v>1601.599975585938</v>
      </c>
      <c r="F6" s="13" t="n">
        <v>1499.965614347999</v>
      </c>
      <c r="G6" s="13" t="n">
        <v>1804.868698061815</v>
      </c>
      <c r="H6" t="inlineStr">
        <is>
          <t>1:2.0</t>
        </is>
      </c>
      <c r="I6" s="0" t="n">
        <v>9</v>
      </c>
      <c r="J6" s="13" t="n">
        <v>14414.39978027344</v>
      </c>
      <c r="K6" s="0" t="inlineStr">
        <is>
          <t>SKIPPED_BEARISH_REGIME</t>
        </is>
      </c>
      <c r="L6" s="0" t="inlineStr">
        <is>
          <t>Scanned under BEARISH regime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2026-07-20T21:54:05Z</dcterms:created>
  <dcterms:modified xsi:type="dcterms:W3CDTF">2026-07-21T04:55:33Z</dcterms:modified>
</cp:coreProperties>
</file>