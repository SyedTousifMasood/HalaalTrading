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2026-10-23 15:49:14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713.5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447.8500061035156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63.45000076293945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164.1399993896484</v>
      </c>
      <c r="H7" s="88">
        <f>E7*G7</f>
        <v/>
      </c>
      <c r="I7" s="93">
        <f>H7-(E7*F7)</f>
        <v/>
      </c>
      <c r="J7" s="94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301.1499938964844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6.809999942779541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577.9500122070312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17167.65010738373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799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235.8500061035156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22.69444444444444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9.028985507246377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inlineStr">
        <is>
          <t>2026-10-21</t>
        </is>
      </c>
      <c r="B451" s="2" t="inlineStr">
        <is>
          <t>JAYBARMARU</t>
        </is>
      </c>
      <c r="C451" s="2" t="inlineStr">
        <is>
          <t>Jay Bharat Maruti Limited</t>
        </is>
      </c>
      <c r="D451" s="2" t="inlineStr">
        <is>
          <t>98/100</t>
        </is>
      </c>
      <c r="E451" s="7" t="n">
        <v>129.5800018310547</v>
      </c>
      <c r="F451" s="7" t="n">
        <v>115.3728572300502</v>
      </c>
      <c r="G451" s="7" t="n">
        <v>165.0978633335658</v>
      </c>
      <c r="H451" s="2" t="inlineStr">
        <is>
          <t>1:2.5</t>
        </is>
      </c>
      <c r="I451" s="2" t="n">
        <v>0</v>
      </c>
      <c r="J451" s="7" t="n">
        <v>0</v>
      </c>
      <c r="K451" s="2" t="inlineStr">
        <is>
          <t>SKIPPED_BEARISH_REGIME</t>
        </is>
      </c>
      <c r="L451" s="2" t="inlineStr">
        <is>
          <t>Swing Scanner (STATE 4: Cash Only)</t>
        </is>
      </c>
    </row>
    <row r="452" ht="15.75" customHeight="1" s="57">
      <c r="A452" s="2" t="inlineStr">
        <is>
          <t>2026-10-21</t>
        </is>
      </c>
      <c r="B452" s="2" t="inlineStr">
        <is>
          <t>MPHASIS</t>
        </is>
      </c>
      <c r="C452" s="2" t="inlineStr">
        <is>
          <t>Mphasis Limited</t>
        </is>
      </c>
      <c r="D452" s="2" t="inlineStr">
        <is>
          <t>97/100</t>
        </is>
      </c>
      <c r="E452" s="7" t="n">
        <v>2500</v>
      </c>
      <c r="F452" s="7" t="n">
        <v>2341.028564453125</v>
      </c>
      <c r="G452" s="7" t="n">
        <v>2897.428588867188</v>
      </c>
      <c r="H452" s="2" t="inlineStr">
        <is>
          <t>1:2.5</t>
        </is>
      </c>
      <c r="I452" s="2" t="n">
        <v>0</v>
      </c>
      <c r="J452" s="7" t="n">
        <v>0</v>
      </c>
      <c r="K452" s="2" t="inlineStr">
        <is>
          <t>SKIPPED_BEARISH_REGIME</t>
        </is>
      </c>
      <c r="L452" s="2" t="inlineStr">
        <is>
          <t>Swing Scanner (STATE 4: Cash Only)</t>
        </is>
      </c>
    </row>
    <row r="453" ht="15.75" customHeight="1" s="57">
      <c r="A453" s="2" t="inlineStr">
        <is>
          <t>2026-10-21</t>
        </is>
      </c>
      <c r="B453" s="2" t="inlineStr">
        <is>
          <t>PERSISTENT</t>
        </is>
      </c>
      <c r="C453" s="2" t="inlineStr">
        <is>
          <t>Persistent Systems Limited</t>
        </is>
      </c>
      <c r="D453" s="2" t="inlineStr">
        <is>
          <t>96/100</t>
        </is>
      </c>
      <c r="E453" s="7" t="n">
        <v>5690</v>
      </c>
      <c r="F453" s="7" t="n">
        <v>5281</v>
      </c>
      <c r="G453" s="7" t="n">
        <v>6712.5</v>
      </c>
      <c r="H453" s="2" t="inlineStr">
        <is>
          <t>1:2.5</t>
        </is>
      </c>
      <c r="I453" s="2" t="n">
        <v>0</v>
      </c>
      <c r="J453" s="7" t="n">
        <v>0</v>
      </c>
      <c r="K453" s="2" t="inlineStr">
        <is>
          <t>SKIPPED_BEARISH_REGIME</t>
        </is>
      </c>
      <c r="L453" s="2" t="inlineStr">
        <is>
          <t>Swing Scanner (STATE 4: Cash Only)</t>
        </is>
      </c>
    </row>
    <row r="454" ht="15.75" customHeight="1" s="57">
      <c r="A454" s="2" t="inlineStr">
        <is>
          <t>2026-10-21</t>
        </is>
      </c>
      <c r="B454" s="2" t="inlineStr">
        <is>
          <t>TCS</t>
        </is>
      </c>
      <c r="C454" s="2" t="inlineStr">
        <is>
          <t>Tata Consultancy Services</t>
        </is>
      </c>
      <c r="D454" s="2" t="inlineStr">
        <is>
          <t>95/100</t>
        </is>
      </c>
      <c r="E454" s="7" t="n">
        <v>2460.89990234375</v>
      </c>
      <c r="F454" s="7" t="n">
        <v>2304.799319617561</v>
      </c>
      <c r="G454" s="7" t="n">
        <v>2851.151359159222</v>
      </c>
      <c r="H454" s="2" t="inlineStr">
        <is>
          <t>1:2.5</t>
        </is>
      </c>
      <c r="I454" s="2" t="n">
        <v>0</v>
      </c>
      <c r="J454" s="7" t="n">
        <v>0</v>
      </c>
      <c r="K454" s="2" t="inlineStr">
        <is>
          <t>SKIPPED_BEARISH_REGIME</t>
        </is>
      </c>
      <c r="L454" s="2" t="inlineStr">
        <is>
          <t>Swing Scanner (STATE 4: Cash Only)</t>
        </is>
      </c>
    </row>
    <row r="455" ht="15.75" customHeight="1" s="57">
      <c r="A455" s="2" t="inlineStr">
        <is>
          <t>2026-10-21</t>
        </is>
      </c>
      <c r="B455" s="2" t="inlineStr">
        <is>
          <t>THELEELA</t>
        </is>
      </c>
      <c r="C455" s="2" t="inlineStr">
        <is>
          <t>Leela Palaces Hotels &amp; Resorts Limited</t>
        </is>
      </c>
      <c r="D455" s="2" t="inlineStr">
        <is>
          <t>95/100</t>
        </is>
      </c>
      <c r="E455" s="7" t="n">
        <v>622.75</v>
      </c>
      <c r="F455" s="7" t="n">
        <v>555.5571463448661</v>
      </c>
      <c r="G455" s="7" t="n">
        <v>790.7321341378348</v>
      </c>
      <c r="H455" s="2" t="inlineStr">
        <is>
          <t>1:2.5</t>
        </is>
      </c>
      <c r="I455" s="2" t="n">
        <v>0</v>
      </c>
      <c r="J455" s="7" t="n">
        <v>0</v>
      </c>
      <c r="K455" s="2" t="inlineStr">
        <is>
          <t>SKIPPED_BEARISH_REGIME</t>
        </is>
      </c>
      <c r="L455" s="2" t="inlineStr">
        <is>
          <t>Swing Scanner (STATE 4: Cash Only)</t>
        </is>
      </c>
    </row>
    <row r="456" ht="15.75" customHeight="1" s="57">
      <c r="A456" s="2" t="inlineStr">
        <is>
          <t>2026-10-21</t>
        </is>
      </c>
      <c r="B456" s="2" t="inlineStr">
        <is>
          <t>HCLTECH</t>
        </is>
      </c>
      <c r="C456" s="2" t="inlineStr">
        <is>
          <t>HCL Technologies Limited</t>
        </is>
      </c>
      <c r="D456" s="2" t="inlineStr">
        <is>
          <t>100/100</t>
        </is>
      </c>
      <c r="E456" s="7" t="n">
        <v>1424.2</v>
      </c>
      <c r="F456" s="7" t="n">
        <v>1392.95</v>
      </c>
      <c r="G456" s="7" t="n">
        <v>1502.35</v>
      </c>
      <c r="H456" s="2" t="inlineStr">
        <is>
          <t>1:2.5</t>
        </is>
      </c>
      <c r="I456" s="2" t="n">
        <v>0</v>
      </c>
      <c r="J456" s="7" t="n">
        <v>0</v>
      </c>
      <c r="K456" s="2" t="inlineStr">
        <is>
          <t>PENDING</t>
        </is>
      </c>
      <c r="L456" s="2" t="inlineStr">
        <is>
          <t>Intraday Scanner (STATE 4: Cash Only)</t>
        </is>
      </c>
    </row>
    <row r="457" ht="15.75" customHeight="1" s="57">
      <c r="A457" s="2" t="inlineStr">
        <is>
          <t>2026-10-21</t>
        </is>
      </c>
      <c r="B457" s="2" t="inlineStr">
        <is>
          <t>BERGEPAINT</t>
        </is>
      </c>
      <c r="C457" s="2" t="inlineStr">
        <is>
          <t>Berger Paints India Limited</t>
        </is>
      </c>
      <c r="D457" s="2" t="inlineStr">
        <is>
          <t>100/100</t>
        </is>
      </c>
      <c r="E457" s="7" t="n">
        <v>475.2</v>
      </c>
      <c r="F457" s="7" t="n">
        <v>469.9</v>
      </c>
      <c r="G457" s="7" t="n">
        <v>488.5</v>
      </c>
      <c r="H457" s="2" t="inlineStr">
        <is>
          <t>1:2.5</t>
        </is>
      </c>
      <c r="I457" s="2" t="n">
        <v>0</v>
      </c>
      <c r="J457" s="7" t="n">
        <v>0</v>
      </c>
      <c r="K457" s="2" t="inlineStr">
        <is>
          <t>PENDING</t>
        </is>
      </c>
      <c r="L457" s="2" t="inlineStr">
        <is>
          <t>Intraday Scanner (STATE 4: Cash Only)</t>
        </is>
      </c>
    </row>
    <row r="458" ht="15.75" customHeight="1" s="57">
      <c r="A458" s="2" t="inlineStr">
        <is>
          <t>2026-10-21</t>
        </is>
      </c>
      <c r="B458" s="2" t="inlineStr">
        <is>
          <t>LUPIN</t>
        </is>
      </c>
      <c r="C458" s="2" t="inlineStr">
        <is>
          <t>Lupin Limited</t>
        </is>
      </c>
      <c r="D458" s="2" t="inlineStr">
        <is>
          <t>100/100</t>
        </is>
      </c>
      <c r="E458" s="7" t="n">
        <v>1964</v>
      </c>
      <c r="F458" s="7" t="n">
        <v>1945.8</v>
      </c>
      <c r="G458" s="7" t="n">
        <v>2009.55</v>
      </c>
      <c r="H458" s="2" t="inlineStr">
        <is>
          <t>1:2.5</t>
        </is>
      </c>
      <c r="I458" s="2" t="n">
        <v>0</v>
      </c>
      <c r="J458" s="7" t="n">
        <v>0</v>
      </c>
      <c r="K458" s="2" t="inlineStr">
        <is>
          <t>PENDING</t>
        </is>
      </c>
      <c r="L458" s="2" t="inlineStr">
        <is>
          <t>Intraday Scanner (STATE 4: Cash Only)</t>
        </is>
      </c>
    </row>
    <row r="459" ht="15.75" customHeight="1" s="57">
      <c r="A459" s="2" t="inlineStr">
        <is>
          <t>2026-10-21</t>
        </is>
      </c>
      <c r="B459" s="2" t="inlineStr">
        <is>
          <t>MANKIND</t>
        </is>
      </c>
      <c r="C459" s="2" t="inlineStr">
        <is>
          <t>Mankind Pharma Limited</t>
        </is>
      </c>
      <c r="D459" s="2" t="inlineStr">
        <is>
          <t>100/100</t>
        </is>
      </c>
      <c r="E459" s="7" t="n">
        <v>2285.5</v>
      </c>
      <c r="F459" s="7" t="n">
        <v>2246.85</v>
      </c>
      <c r="G459" s="7" t="n">
        <v>2382.15</v>
      </c>
      <c r="H459" s="2" t="inlineStr">
        <is>
          <t>1:2.5</t>
        </is>
      </c>
      <c r="I459" s="2" t="n">
        <v>0</v>
      </c>
      <c r="J459" s="7" t="n">
        <v>0</v>
      </c>
      <c r="K459" s="2" t="inlineStr">
        <is>
          <t>PENDING</t>
        </is>
      </c>
      <c r="L459" s="2" t="inlineStr">
        <is>
          <t>Intraday Scanner (STATE 4: Cash Only)</t>
        </is>
      </c>
    </row>
    <row r="460" ht="15.75" customHeight="1" s="57">
      <c r="A460" s="2" t="inlineStr">
        <is>
          <t>2026-10-21</t>
        </is>
      </c>
      <c r="B460" s="2" t="inlineStr">
        <is>
          <t>COROMANDEL</t>
        </is>
      </c>
      <c r="C460" s="2" t="inlineStr">
        <is>
          <t>Coromandel International Limited</t>
        </is>
      </c>
      <c r="D460" s="2" t="inlineStr">
        <is>
          <t>100/100</t>
        </is>
      </c>
      <c r="E460" s="7" t="n">
        <v>1791.7</v>
      </c>
      <c r="F460" s="7" t="n">
        <v>1749.05</v>
      </c>
      <c r="G460" s="7" t="n">
        <v>1898.25</v>
      </c>
      <c r="H460" s="2" t="inlineStr">
        <is>
          <t>1:2.5</t>
        </is>
      </c>
      <c r="I460" s="2" t="n">
        <v>0</v>
      </c>
      <c r="J460" s="7" t="n">
        <v>0</v>
      </c>
      <c r="K460" s="2" t="inlineStr">
        <is>
          <t>PENDING</t>
        </is>
      </c>
      <c r="L460" s="2" t="inlineStr">
        <is>
          <t>Intraday Scanner (STATE 4: Cash Only)</t>
        </is>
      </c>
    </row>
    <row r="461" ht="15.75" customHeight="1" s="57">
      <c r="A461" s="2" t="inlineStr">
        <is>
          <t>2026-10-22</t>
        </is>
      </c>
      <c r="B461" s="2" t="inlineStr">
        <is>
          <t>PTCIL</t>
        </is>
      </c>
      <c r="C461" s="2" t="inlineStr">
        <is>
          <t>PTC Industries Limited</t>
        </is>
      </c>
      <c r="D461" s="2" t="inlineStr">
        <is>
          <t>97/100</t>
        </is>
      </c>
      <c r="E461" s="7" t="n">
        <v>25115</v>
      </c>
      <c r="F461" s="7" t="n">
        <v>23192.85714285714</v>
      </c>
      <c r="G461" s="7" t="n">
        <v>29920.35714285714</v>
      </c>
      <c r="H461" s="2" t="inlineStr">
        <is>
          <t>1:2.5</t>
        </is>
      </c>
      <c r="I461" s="2" t="n">
        <v>0</v>
      </c>
      <c r="J461" s="7" t="n">
        <v>0</v>
      </c>
      <c r="K461" s="2" t="inlineStr">
        <is>
          <t>SKIPPED_BEARISH_REGIME</t>
        </is>
      </c>
      <c r="L461" s="2" t="inlineStr">
        <is>
          <t>Swing Scanner (STATE 4: Cash Only)</t>
        </is>
      </c>
    </row>
    <row r="462" ht="15.75" customHeight="1" s="57">
      <c r="A462" s="2" t="inlineStr">
        <is>
          <t>2026-10-22</t>
        </is>
      </c>
      <c r="B462" s="2" t="inlineStr">
        <is>
          <t>TCS</t>
        </is>
      </c>
      <c r="C462" s="2" t="inlineStr">
        <is>
          <t>Tata Consultancy Services</t>
        </is>
      </c>
      <c r="D462" s="2" t="inlineStr">
        <is>
          <t>95/100</t>
        </is>
      </c>
      <c r="E462" s="7" t="n">
        <v>2529</v>
      </c>
      <c r="F462" s="7" t="n">
        <v>2370.045310470009</v>
      </c>
      <c r="G462" s="7" t="n">
        <v>2926.386723824979</v>
      </c>
      <c r="H462" s="2" t="inlineStr">
        <is>
          <t>1:2.5</t>
        </is>
      </c>
      <c r="I462" s="2" t="n">
        <v>0</v>
      </c>
      <c r="J462" s="7" t="n">
        <v>0</v>
      </c>
      <c r="K462" s="2" t="inlineStr">
        <is>
          <t>SKIPPED_BEARISH_REGIME</t>
        </is>
      </c>
      <c r="L462" s="2" t="inlineStr">
        <is>
          <t>Swing Scanner (STATE 4: Cash Only)</t>
        </is>
      </c>
    </row>
    <row r="463" ht="15.75" customHeight="1" s="57">
      <c r="A463" s="2" t="inlineStr">
        <is>
          <t>2026-10-22</t>
        </is>
      </c>
      <c r="B463" s="2" t="inlineStr">
        <is>
          <t>MPHASIS</t>
        </is>
      </c>
      <c r="C463" s="2" t="inlineStr">
        <is>
          <t>Mphasis Limited</t>
        </is>
      </c>
      <c r="D463" s="2" t="inlineStr">
        <is>
          <t>95/100</t>
        </is>
      </c>
      <c r="E463" s="7" t="n">
        <v>2575</v>
      </c>
      <c r="F463" s="7" t="n">
        <v>2415.385707310268</v>
      </c>
      <c r="G463" s="7" t="n">
        <v>2974.03573172433</v>
      </c>
      <c r="H463" s="2" t="inlineStr">
        <is>
          <t>1:2.5</t>
        </is>
      </c>
      <c r="I463" s="2" t="n">
        <v>0</v>
      </c>
      <c r="J463" s="7" t="n">
        <v>0</v>
      </c>
      <c r="K463" s="2" t="inlineStr">
        <is>
          <t>SKIPPED_BEARISH_REGIME</t>
        </is>
      </c>
      <c r="L463" s="2" t="inlineStr">
        <is>
          <t>Swing Scanner (STATE 4: Cash Only)</t>
        </is>
      </c>
    </row>
    <row r="464" ht="15.75" customHeight="1" s="57">
      <c r="A464" s="2" t="inlineStr">
        <is>
          <t>2026-10-22</t>
        </is>
      </c>
      <c r="B464" s="2" t="inlineStr">
        <is>
          <t>INFY</t>
        </is>
      </c>
      <c r="C464" s="2" t="inlineStr">
        <is>
          <t>Infosys Limited</t>
        </is>
      </c>
      <c r="D464" s="2" t="inlineStr">
        <is>
          <t>95/100</t>
        </is>
      </c>
      <c r="E464" s="7" t="n">
        <v>1168</v>
      </c>
      <c r="F464" s="7" t="n">
        <v>1098.578552246094</v>
      </c>
      <c r="G464" s="7" t="n">
        <v>1341.553619384766</v>
      </c>
      <c r="H464" s="2" t="inlineStr">
        <is>
          <t>1:2.5</t>
        </is>
      </c>
      <c r="I464" s="2" t="n">
        <v>0</v>
      </c>
      <c r="J464" s="7" t="n">
        <v>0</v>
      </c>
      <c r="K464" s="2" t="inlineStr">
        <is>
          <t>SKIPPED_BEARISH_REGIME</t>
        </is>
      </c>
      <c r="L464" s="2" t="inlineStr">
        <is>
          <t>Swing Scanner (STATE 4: Cash Only)</t>
        </is>
      </c>
    </row>
    <row r="465" ht="15.75" customHeight="1" s="57">
      <c r="A465" s="2" t="inlineStr">
        <is>
          <t>2026-10-22</t>
        </is>
      </c>
      <c r="B465" s="2" t="inlineStr">
        <is>
          <t>COFORGE</t>
        </is>
      </c>
      <c r="C465" s="2" t="inlineStr">
        <is>
          <t>Coforge Limited</t>
        </is>
      </c>
      <c r="D465" s="2" t="inlineStr">
        <is>
          <t>95/100</t>
        </is>
      </c>
      <c r="E465" s="7" t="n">
        <v>1951</v>
      </c>
      <c r="F465" s="7" t="n">
        <v>1824.971400669643</v>
      </c>
      <c r="G465" s="7" t="n">
        <v>2266.071498325893</v>
      </c>
      <c r="H465" s="2" t="inlineStr">
        <is>
          <t>1:2.5</t>
        </is>
      </c>
      <c r="I465" s="2" t="n">
        <v>0</v>
      </c>
      <c r="J465" s="7" t="n">
        <v>0</v>
      </c>
      <c r="K465" s="2" t="inlineStr">
        <is>
          <t>SKIPPED_BEARISH_REGIME</t>
        </is>
      </c>
      <c r="L465" s="2" t="inlineStr">
        <is>
          <t>Swing Scanner (STATE 4: Cash Only)</t>
        </is>
      </c>
    </row>
    <row r="466" ht="15.75" customHeight="1" s="57">
      <c r="A466" s="2" t="inlineStr">
        <is>
          <t>2026-10-22</t>
        </is>
      </c>
      <c r="B466" s="2" t="inlineStr">
        <is>
          <t>CIPLA</t>
        </is>
      </c>
      <c r="C466" s="2" t="inlineStr">
        <is>
          <t>Cipla Limited</t>
        </is>
      </c>
      <c r="D466" s="2" t="inlineStr">
        <is>
          <t>100/100</t>
        </is>
      </c>
      <c r="E466" s="7" t="n">
        <v>1330.9</v>
      </c>
      <c r="F466" s="7" t="n">
        <v>1318.5</v>
      </c>
      <c r="G466" s="7" t="n">
        <v>1361.95</v>
      </c>
      <c r="H466" s="2" t="inlineStr">
        <is>
          <t>1:2.5</t>
        </is>
      </c>
      <c r="I466" s="2" t="n">
        <v>0</v>
      </c>
      <c r="J466" s="7" t="n">
        <v>0</v>
      </c>
      <c r="K466" s="2" t="inlineStr">
        <is>
          <t>PENDING</t>
        </is>
      </c>
      <c r="L466" s="2" t="inlineStr">
        <is>
          <t>Intraday Scanner (STATE 4: Cash Only)</t>
        </is>
      </c>
    </row>
    <row r="467" ht="15.75" customHeight="1" s="57">
      <c r="A467" s="2" t="inlineStr">
        <is>
          <t>2026-10-22</t>
        </is>
      </c>
      <c r="B467" s="2" t="inlineStr">
        <is>
          <t>GRASIM</t>
        </is>
      </c>
      <c r="C467" s="2" t="inlineStr">
        <is>
          <t>Grasim Industries Limited</t>
        </is>
      </c>
      <c r="D467" s="2" t="inlineStr">
        <is>
          <t>100/100</t>
        </is>
      </c>
      <c r="E467" s="7" t="n">
        <v>2894.4</v>
      </c>
      <c r="F467" s="7" t="n">
        <v>2856.4</v>
      </c>
      <c r="G467" s="7" t="n">
        <v>2989.35</v>
      </c>
      <c r="H467" s="2" t="inlineStr">
        <is>
          <t>1:2.5</t>
        </is>
      </c>
      <c r="I467" s="2" t="n">
        <v>0</v>
      </c>
      <c r="J467" s="7" t="n">
        <v>0</v>
      </c>
      <c r="K467" s="2" t="inlineStr">
        <is>
          <t>PENDING</t>
        </is>
      </c>
      <c r="L467" s="2" t="inlineStr">
        <is>
          <t>Intraday Scanner (STATE 4: Cash Only)</t>
        </is>
      </c>
    </row>
    <row r="468" ht="15.75" customHeight="1" s="57">
      <c r="A468" s="2" t="inlineStr">
        <is>
          <t>2026-10-22</t>
        </is>
      </c>
      <c r="B468" s="2" t="inlineStr">
        <is>
          <t>DEVYANI</t>
        </is>
      </c>
      <c r="C468" s="2" t="inlineStr">
        <is>
          <t>Devyani International Limited</t>
        </is>
      </c>
      <c r="D468" s="2" t="inlineStr">
        <is>
          <t>100/100</t>
        </is>
      </c>
      <c r="E468" s="7" t="n">
        <v>119.35</v>
      </c>
      <c r="F468" s="7" t="n">
        <v>116.25</v>
      </c>
      <c r="G468" s="7" t="n">
        <v>127.15</v>
      </c>
      <c r="H468" s="2" t="inlineStr">
        <is>
          <t>1:2.5</t>
        </is>
      </c>
      <c r="I468" s="2" t="n">
        <v>0</v>
      </c>
      <c r="J468" s="7" t="n">
        <v>0</v>
      </c>
      <c r="K468" s="2" t="inlineStr">
        <is>
          <t>PENDING</t>
        </is>
      </c>
      <c r="L468" s="2" t="inlineStr">
        <is>
          <t>Intraday Scanner (STATE 4: Cash Only)</t>
        </is>
      </c>
    </row>
    <row r="469" ht="15.75" customHeight="1" s="57">
      <c r="A469" s="2" t="inlineStr">
        <is>
          <t>2026-10-22</t>
        </is>
      </c>
      <c r="B469" s="2" t="inlineStr">
        <is>
          <t>GRINDWELL</t>
        </is>
      </c>
      <c r="C469" s="2" t="inlineStr">
        <is>
          <t>Grindwell Norton Limited</t>
        </is>
      </c>
      <c r="D469" s="2" t="inlineStr">
        <is>
          <t>100/100</t>
        </is>
      </c>
      <c r="E469" s="7" t="n">
        <v>1877.5</v>
      </c>
      <c r="F469" s="7" t="n">
        <v>1829.85</v>
      </c>
      <c r="G469" s="7" t="n">
        <v>1996.6</v>
      </c>
      <c r="H469" s="2" t="inlineStr">
        <is>
          <t>1:2.5</t>
        </is>
      </c>
      <c r="I469" s="2" t="n">
        <v>0</v>
      </c>
      <c r="J469" s="7" t="n">
        <v>0</v>
      </c>
      <c r="K469" s="2" t="inlineStr">
        <is>
          <t>PENDING</t>
        </is>
      </c>
      <c r="L469" s="2" t="inlineStr">
        <is>
          <t>Intraday Scanner (STATE 4: Cash Only)</t>
        </is>
      </c>
    </row>
    <row r="470" ht="15.75" customHeight="1" s="57">
      <c r="A470" s="2" t="inlineStr">
        <is>
          <t>2026-10-22</t>
        </is>
      </c>
      <c r="B470" s="2" t="inlineStr">
        <is>
          <t>GRANULES</t>
        </is>
      </c>
      <c r="C470" s="2" t="inlineStr">
        <is>
          <t>Granules India Limited</t>
        </is>
      </c>
      <c r="D470" s="2" t="inlineStr">
        <is>
          <t>97/100</t>
        </is>
      </c>
      <c r="E470" s="7" t="n">
        <v>817</v>
      </c>
      <c r="F470" s="7" t="n">
        <v>804.7</v>
      </c>
      <c r="G470" s="7" t="n">
        <v>847.75</v>
      </c>
      <c r="H470" s="2" t="inlineStr">
        <is>
          <t>1:2.5</t>
        </is>
      </c>
      <c r="I470" s="2" t="n">
        <v>0</v>
      </c>
      <c r="J470" s="7" t="n">
        <v>0</v>
      </c>
      <c r="K470" s="2" t="inlineStr">
        <is>
          <t>PENDING</t>
        </is>
      </c>
      <c r="L470" s="2" t="inlineStr">
        <is>
          <t>Intraday Scanner (STATE 4: Cash Only)</t>
        </is>
      </c>
    </row>
    <row r="471" ht="15.75" customHeight="1" s="57">
      <c r="A471" s="2" t="inlineStr">
        <is>
          <t>2026-10-23</t>
        </is>
      </c>
      <c r="B471" s="2" t="inlineStr">
        <is>
          <t>INDHOTEL</t>
        </is>
      </c>
      <c r="C471" s="2" t="inlineStr">
        <is>
          <t>The Indian Hotels Company Limited</t>
        </is>
      </c>
      <c r="D471" s="2" t="inlineStr">
        <is>
          <t>98/100</t>
        </is>
      </c>
      <c r="E471" s="7" t="n">
        <v>782.2999877929688</v>
      </c>
      <c r="F471" s="7" t="n">
        <v>740.3999808175223</v>
      </c>
      <c r="G471" s="7" t="n">
        <v>887.0500052315848</v>
      </c>
      <c r="H471" s="2" t="inlineStr">
        <is>
          <t>1:2.5</t>
        </is>
      </c>
      <c r="I471" s="2" t="n">
        <v>0</v>
      </c>
      <c r="J471" s="7" t="n">
        <v>0</v>
      </c>
      <c r="K471" s="2" t="inlineStr">
        <is>
          <t>SKIPPED_BEARISH_REGIME</t>
        </is>
      </c>
      <c r="L471" s="2" t="inlineStr">
        <is>
          <t>Swing Scanner (STATE 4: Cash Only)</t>
        </is>
      </c>
    </row>
    <row r="472" ht="15.75" customHeight="1" s="57">
      <c r="A472" s="2" t="inlineStr">
        <is>
          <t>2026-10-23</t>
        </is>
      </c>
      <c r="B472" s="2" t="inlineStr">
        <is>
          <t>WIPRO</t>
        </is>
      </c>
      <c r="C472" s="2" t="inlineStr">
        <is>
          <t>Wipro Limited</t>
        </is>
      </c>
      <c r="D472" s="2" t="inlineStr">
        <is>
          <t>97/100</t>
        </is>
      </c>
      <c r="E472" s="7" t="n">
        <v>190.4100036621094</v>
      </c>
      <c r="F472" s="7" t="n">
        <v>179.9471435546875</v>
      </c>
      <c r="G472" s="7" t="n">
        <v>216.5671539306641</v>
      </c>
      <c r="H472" s="2" t="inlineStr">
        <is>
          <t>1:2.5</t>
        </is>
      </c>
      <c r="I472" s="2" t="n">
        <v>0</v>
      </c>
      <c r="J472" s="7" t="n">
        <v>0</v>
      </c>
      <c r="K472" s="2" t="inlineStr">
        <is>
          <t>SKIPPED_BEARISH_REGIME</t>
        </is>
      </c>
      <c r="L472" s="2" t="inlineStr">
        <is>
          <t>Swing Scanner (STATE 4: Cash Only)</t>
        </is>
      </c>
    </row>
    <row r="473" ht="15.75" customHeight="1" s="57">
      <c r="A473" s="2" t="inlineStr">
        <is>
          <t>2026-10-23</t>
        </is>
      </c>
      <c r="B473" s="2" t="inlineStr">
        <is>
          <t>PVRINOX</t>
        </is>
      </c>
      <c r="C473" s="2" t="inlineStr">
        <is>
          <t>PVR INOX Limited</t>
        </is>
      </c>
      <c r="D473" s="2" t="inlineStr">
        <is>
          <t>95/100</t>
        </is>
      </c>
      <c r="E473" s="7" t="n">
        <v>1419.900024414062</v>
      </c>
      <c r="F473" s="7" t="n">
        <v>1318.17147391183</v>
      </c>
      <c r="G473" s="7" t="n">
        <v>1674.221400669643</v>
      </c>
      <c r="H473" s="2" t="inlineStr">
        <is>
          <t>1:2.5</t>
        </is>
      </c>
      <c r="I473" s="2" t="n">
        <v>0</v>
      </c>
      <c r="J473" s="7" t="n">
        <v>0</v>
      </c>
      <c r="K473" s="2" t="inlineStr">
        <is>
          <t>SKIPPED_BEARISH_REGIME</t>
        </is>
      </c>
      <c r="L473" s="2" t="inlineStr">
        <is>
          <t>Swing Scanner (STATE 4: Cash Only)</t>
        </is>
      </c>
    </row>
    <row r="474" ht="15.75" customHeight="1" s="57">
      <c r="A474" s="2" t="inlineStr">
        <is>
          <t>2026-10-23</t>
        </is>
      </c>
      <c r="B474" s="2" t="inlineStr">
        <is>
          <t>TECHM</t>
        </is>
      </c>
      <c r="C474" s="2" t="inlineStr">
        <is>
          <t>Tech Mahindra Limited</t>
        </is>
      </c>
      <c r="D474" s="2" t="inlineStr">
        <is>
          <t>95/100</t>
        </is>
      </c>
      <c r="E474" s="7" t="n">
        <v>1814.099975585938</v>
      </c>
      <c r="F474" s="7" t="n">
        <v>1699.377073829646</v>
      </c>
      <c r="G474" s="7" t="n">
        <v>2100.907229976666</v>
      </c>
      <c r="H474" s="2" t="inlineStr">
        <is>
          <t>1:2.5</t>
        </is>
      </c>
      <c r="I474" s="2" t="n">
        <v>0</v>
      </c>
      <c r="J474" s="7" t="n">
        <v>0</v>
      </c>
      <c r="K474" s="2" t="inlineStr">
        <is>
          <t>SKIPPED_BEARISH_REGIME</t>
        </is>
      </c>
      <c r="L474" s="2" t="inlineStr">
        <is>
          <t>Swing Scanner (STATE 4: Cash Only)</t>
        </is>
      </c>
    </row>
    <row r="475" ht="15.75" customHeight="1" s="57">
      <c r="A475" s="2" t="inlineStr">
        <is>
          <t>2026-10-23</t>
        </is>
      </c>
      <c r="B475" s="2" t="inlineStr">
        <is>
          <t>PERSISTENT</t>
        </is>
      </c>
      <c r="C475" s="2" t="inlineStr">
        <is>
          <t>Persistent Systems Limited</t>
        </is>
      </c>
      <c r="D475" s="2" t="inlineStr">
        <is>
          <t>92/100</t>
        </is>
      </c>
      <c r="E475" s="7" t="n">
        <v>5740.5</v>
      </c>
      <c r="F475" s="7" t="n">
        <v>5341.571428571428</v>
      </c>
      <c r="G475" s="7" t="n">
        <v>6737.821428571428</v>
      </c>
      <c r="H475" s="2" t="inlineStr">
        <is>
          <t>1:2.5</t>
        </is>
      </c>
      <c r="I475" s="2" t="n">
        <v>0</v>
      </c>
      <c r="J475" s="7" t="n">
        <v>0</v>
      </c>
      <c r="K475" s="2" t="inlineStr">
        <is>
          <t>SKIPPED_BEARISH_REGIME</t>
        </is>
      </c>
      <c r="L475" s="2" t="inlineStr">
        <is>
          <t>Swing Scanner (STATE 4: Cash Only)</t>
        </is>
      </c>
    </row>
    <row r="476" ht="15.75" customHeight="1" s="57">
      <c r="A476" s="2" t="inlineStr">
        <is>
          <t>2026-10-23</t>
        </is>
      </c>
      <c r="B476" s="2" t="inlineStr">
        <is>
          <t>PIDILITIND</t>
        </is>
      </c>
      <c r="C476" s="2" t="inlineStr">
        <is>
          <t>Pidilite Industries Limited</t>
        </is>
      </c>
      <c r="D476" s="2" t="inlineStr">
        <is>
          <t>100/100</t>
        </is>
      </c>
      <c r="E476" s="7" t="n">
        <v>1487.7</v>
      </c>
      <c r="F476" s="7" t="n">
        <v>1469.2</v>
      </c>
      <c r="G476" s="7" t="n">
        <v>1533.9</v>
      </c>
      <c r="H476" s="2" t="inlineStr">
        <is>
          <t>1:2.5</t>
        </is>
      </c>
      <c r="I476" s="2" t="n">
        <v>0</v>
      </c>
      <c r="J476" s="7" t="n">
        <v>0</v>
      </c>
      <c r="K476" s="2" t="inlineStr">
        <is>
          <t>PENDING</t>
        </is>
      </c>
      <c r="L476" s="2" t="inlineStr">
        <is>
          <t>Intraday Scanner (STATE 4: Cash Only)</t>
        </is>
      </c>
    </row>
    <row r="477" ht="15.75" customHeight="1" s="57">
      <c r="A477" s="2" t="inlineStr">
        <is>
          <t>2026-10-23</t>
        </is>
      </c>
      <c r="B477" s="2" t="inlineStr">
        <is>
          <t>IPCALAB</t>
        </is>
      </c>
      <c r="C477" s="2" t="inlineStr">
        <is>
          <t>IPCA Laboratories Limited</t>
        </is>
      </c>
      <c r="D477" s="2" t="inlineStr">
        <is>
          <t>100/100</t>
        </is>
      </c>
      <c r="E477" s="7" t="n">
        <v>1953.3</v>
      </c>
      <c r="F477" s="7" t="n">
        <v>1901.45</v>
      </c>
      <c r="G477" s="7" t="n">
        <v>2083</v>
      </c>
      <c r="H477" s="2" t="inlineStr">
        <is>
          <t>1:2.5</t>
        </is>
      </c>
      <c r="I477" s="2" t="n">
        <v>0</v>
      </c>
      <c r="J477" s="7" t="n">
        <v>0</v>
      </c>
      <c r="K477" s="2" t="inlineStr">
        <is>
          <t>PENDING</t>
        </is>
      </c>
      <c r="L477" s="2" t="inlineStr">
        <is>
          <t>Intraday Scanner (STATE 4: Cash Only)</t>
        </is>
      </c>
    </row>
    <row r="478" ht="15.75" customHeight="1" s="57">
      <c r="A478" s="2" t="inlineStr">
        <is>
          <t>2026-10-23</t>
        </is>
      </c>
      <c r="B478" s="2" t="inlineStr">
        <is>
          <t>SHREECEM</t>
        </is>
      </c>
      <c r="C478" s="2" t="inlineStr">
        <is>
          <t>Shree Cement Limited</t>
        </is>
      </c>
      <c r="D478" s="2" t="inlineStr">
        <is>
          <t>99/100</t>
        </is>
      </c>
      <c r="E478" s="7" t="n">
        <v>22735</v>
      </c>
      <c r="F478" s="7" t="n">
        <v>22388.5</v>
      </c>
      <c r="G478" s="7" t="n">
        <v>23601.25</v>
      </c>
      <c r="H478" s="2" t="inlineStr">
        <is>
          <t>1:2.5</t>
        </is>
      </c>
      <c r="I478" s="2" t="n">
        <v>0</v>
      </c>
      <c r="J478" s="7" t="n">
        <v>0</v>
      </c>
      <c r="K478" s="2" t="inlineStr">
        <is>
          <t>PENDING</t>
        </is>
      </c>
      <c r="L478" s="2" t="inlineStr">
        <is>
          <t>Intraday Scanner (STATE 4: Cash Only)</t>
        </is>
      </c>
    </row>
    <row r="479" ht="15.75" customHeight="1" s="57">
      <c r="A479" s="2" t="inlineStr">
        <is>
          <t>2026-10-23</t>
        </is>
      </c>
      <c r="B479" s="2" t="inlineStr">
        <is>
          <t>ULTRACEMCO</t>
        </is>
      </c>
      <c r="C479" s="2" t="inlineStr">
        <is>
          <t>UltraTech Cement Limited</t>
        </is>
      </c>
      <c r="D479" s="2" t="inlineStr">
        <is>
          <t>96/100</t>
        </is>
      </c>
      <c r="E479" s="7" t="n">
        <v>11050</v>
      </c>
      <c r="F479" s="7" t="n">
        <v>10851.4</v>
      </c>
      <c r="G479" s="7" t="n">
        <v>11546.5</v>
      </c>
      <c r="H479" s="2" t="inlineStr">
        <is>
          <t>1:2.5</t>
        </is>
      </c>
      <c r="I479" s="2" t="n">
        <v>0</v>
      </c>
      <c r="J479" s="7" t="n">
        <v>0</v>
      </c>
      <c r="K479" s="2" t="inlineStr">
        <is>
          <t>PENDING</t>
        </is>
      </c>
      <c r="L479" s="2" t="inlineStr">
        <is>
          <t>Intraday Scanner (STATE 4: Cash Only)</t>
        </is>
      </c>
    </row>
    <row r="480" ht="15.75" customHeight="1" s="57">
      <c r="A480" s="2" t="inlineStr">
        <is>
          <t>2026-10-23</t>
        </is>
      </c>
      <c r="B480" s="2" t="inlineStr">
        <is>
          <t>LALPATHLAB</t>
        </is>
      </c>
      <c r="C480" s="2" t="inlineStr">
        <is>
          <t>Dr. Lal PathLab Limited</t>
        </is>
      </c>
      <c r="D480" s="2" t="inlineStr">
        <is>
          <t>95/100</t>
        </is>
      </c>
      <c r="E480" s="7" t="n">
        <v>1838.2</v>
      </c>
      <c r="F480" s="7" t="n">
        <v>1806.5</v>
      </c>
      <c r="G480" s="7" t="n">
        <v>1917.45</v>
      </c>
      <c r="H480" s="2" t="inlineStr">
        <is>
          <t>1:2.5</t>
        </is>
      </c>
      <c r="I480" s="2" t="n">
        <v>0</v>
      </c>
      <c r="J480" s="7" t="n">
        <v>0</v>
      </c>
      <c r="K480" s="2" t="inlineStr">
        <is>
          <t>PENDING</t>
        </is>
      </c>
      <c r="L480" s="2" t="inlineStr">
        <is>
          <t>Intraday Scanner (STATE 4: Cash Only)</t>
        </is>
      </c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2026-10-23T20:07:22Z</dcterms:modified>
</cp:coreProperties>
</file>