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9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5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  <xf numFmtId="3" fontId="18" fillId="10" borderId="0" pivotButton="0" quotePrefix="0" xfId="0"/>
    <xf numFmtId="0" fontId="18" fillId="0" borderId="0" pivotButton="0" quotePrefix="0" xfId="0"/>
    <xf numFmtId="0" fontId="6" fillId="12" borderId="0" pivotButton="0" quotePrefix="0" xfId="0"/>
    <xf numFmtId="164" fontId="3" fillId="12" borderId="0" pivotButton="0" quotePrefix="0" xfId="0"/>
    <xf numFmtId="0" fontId="3" fillId="12" borderId="0" pivotButton="0" quotePrefix="0" xfId="0"/>
    <xf numFmtId="0" fontId="6" fillId="13" borderId="0" pivotButton="0" quotePrefix="0" xfId="0"/>
    <xf numFmtId="164" fontId="3" fillId="13" borderId="0" pivotButton="0" quotePrefix="0" xfId="0"/>
    <xf numFmtId="0" fontId="3" fillId="13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5" t="n"/>
      <c r="B2" s="45" t="n"/>
      <c r="C2" s="45" t="n"/>
      <c r="D2" s="45" t="n"/>
      <c r="E2" s="45" t="n"/>
      <c r="F2" s="45" t="n"/>
      <c r="G2" s="45" t="n"/>
      <c r="H2" s="45" t="n"/>
      <c r="I2" s="45" t="n"/>
      <c r="J2" s="45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45" t="n"/>
      <c r="D3" s="45" t="n"/>
      <c r="E3" s="45" t="n"/>
      <c r="F3" s="45" t="n"/>
      <c r="G3" s="45" t="n"/>
      <c r="H3" s="45" t="n"/>
      <c r="I3" s="45" t="n"/>
      <c r="J3" s="45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45" t="n"/>
      <c r="D4" s="45" t="n"/>
      <c r="E4" s="45" t="n"/>
      <c r="F4" s="45" t="n"/>
      <c r="G4" s="45" t="n"/>
      <c r="H4" s="45" t="n"/>
      <c r="I4" s="45" t="n"/>
      <c r="J4" s="45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8" t="inlineStr">
        <is>
          <t>Total Net Capital Deposited</t>
        </is>
      </c>
      <c r="B5" s="39">
        <f>SUMIF(Capital!B:B, "DEPOSIT", Capital!C:C) - SUMIF(Capital!B:B, "WITHDRAWAL", Capital!C:C)</f>
        <v/>
      </c>
      <c r="C5" s="45" t="n"/>
      <c r="D5" s="45" t="n"/>
      <c r="E5" s="45" t="n"/>
      <c r="F5" s="45" t="n"/>
      <c r="G5" s="45" t="n"/>
      <c r="H5" s="45" t="n"/>
      <c r="I5" s="45" t="n"/>
      <c r="J5" s="45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8" t="inlineStr">
        <is>
          <t>Lifetime Realized PnL</t>
        </is>
      </c>
      <c r="B6" s="39">
        <f>SUM(Ledger!M:M)</f>
        <v/>
      </c>
      <c r="C6" s="45" t="n"/>
      <c r="D6" s="45" t="n"/>
      <c r="E6" s="45" t="n"/>
      <c r="F6" s="45" t="n"/>
      <c r="G6" s="45" t="n"/>
      <c r="H6" s="45" t="n"/>
      <c r="I6" s="45" t="n"/>
      <c r="J6" s="45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8" t="inlineStr">
        <is>
          <t>Current Total Portfolio Value</t>
        </is>
      </c>
      <c r="B7" s="39">
        <f>B5 + B6</f>
        <v/>
      </c>
      <c r="C7" s="45" t="n"/>
      <c r="D7" s="45" t="n"/>
      <c r="E7" s="45" t="n"/>
      <c r="F7" s="45" t="n"/>
      <c r="G7" s="45" t="n"/>
      <c r="H7" s="45" t="n"/>
      <c r="I7" s="45" t="n"/>
      <c r="J7" s="45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8" t="inlineStr">
        <is>
          <t>Capital Deployed in Open Trades</t>
        </is>
      </c>
      <c r="B8" s="39">
        <f>SUMPRODUCT((Ledger!N2:N500="OPEN")*(Ledger!E2:E500)*(Ledger!D2:D500))</f>
        <v/>
      </c>
      <c r="C8" s="45" t="n"/>
      <c r="D8" s="45" t="n"/>
      <c r="E8" s="45" t="n"/>
      <c r="F8" s="45" t="n"/>
      <c r="G8" s="45" t="n"/>
      <c r="H8" s="45" t="n"/>
      <c r="I8" s="45" t="n"/>
      <c r="J8" s="45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8" t="inlineStr">
        <is>
          <t>Capital Available for Trading</t>
        </is>
      </c>
      <c r="B9" s="39">
        <f>B7 - B8</f>
        <v/>
      </c>
      <c r="C9" s="45" t="n"/>
      <c r="D9" s="45" t="n"/>
      <c r="E9" s="45" t="n"/>
      <c r="F9" s="45" t="n"/>
      <c r="G9" s="45" t="n"/>
      <c r="H9" s="45" t="n"/>
      <c r="I9" s="45" t="n"/>
      <c r="J9" s="45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8" t="inlineStr">
        <is>
          <t>Total Completed Trades</t>
        </is>
      </c>
      <c r="B10" s="42" t="n"/>
      <c r="C10" s="45" t="n"/>
      <c r="D10" s="45" t="n"/>
      <c r="E10" s="45" t="n"/>
      <c r="F10" s="45" t="n"/>
      <c r="G10" s="45" t="n"/>
      <c r="H10" s="45" t="n"/>
      <c r="I10" s="45" t="n"/>
      <c r="J10" s="45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8" t="inlineStr">
        <is>
          <t>Total Wins</t>
        </is>
      </c>
      <c r="B11" s="42">
        <f>COUNTIF(Ledger!N:N, "WIN")</f>
        <v/>
      </c>
      <c r="C11" s="45" t="n"/>
      <c r="D11" s="45" t="n"/>
      <c r="E11" s="45" t="n"/>
      <c r="F11" s="45" t="n"/>
      <c r="G11" s="45" t="n"/>
      <c r="H11" s="45" t="n"/>
      <c r="I11" s="45" t="n"/>
      <c r="J11" s="45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1" t="inlineStr">
        <is>
          <t>Total Losses</t>
        </is>
      </c>
      <c r="B12" s="42">
        <f>COUNTIF(Ledger!N:N, "LOSS")</f>
        <v/>
      </c>
      <c r="C12" s="45" t="n"/>
      <c r="D12" s="45" t="n"/>
      <c r="E12" s="45" t="n"/>
      <c r="F12" s="45" t="n"/>
      <c r="G12" s="45" t="n"/>
      <c r="H12" s="45" t="n"/>
      <c r="I12" s="45" t="n"/>
      <c r="J12" s="45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1" t="inlineStr">
        <is>
          <t>Total Taxes Paid to Zerodha</t>
        </is>
      </c>
      <c r="B13" s="39">
        <f>SUMIF(Capital!D:D, "*Brokerage &amp; taxes*", Capital!C:C)</f>
        <v/>
      </c>
      <c r="C13" s="45" t="n"/>
      <c r="D13" s="45" t="n"/>
      <c r="E13" s="45" t="n"/>
      <c r="F13" s="45" t="n"/>
      <c r="G13" s="45" t="n"/>
      <c r="H13" s="45" t="n"/>
      <c r="I13" s="45" t="n"/>
      <c r="J13" s="45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3" t="inlineStr">
        <is>
          <t>Swing Trading Statistics</t>
        </is>
      </c>
      <c r="B14" s="44" t="inlineStr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1" t="inlineStr">
        <is>
          <t>Swing Win Rate</t>
        </is>
      </c>
      <c r="B15" s="40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1" t="inlineStr">
        <is>
          <t>Swing Realized PnL</t>
        </is>
      </c>
      <c r="B16" s="39">
        <f>SUMIFS(Ledger!M:M, Ledger!P:P, "SWING")</f>
        <v/>
      </c>
      <c r="C16" s="45" t="n"/>
      <c r="D16" s="45" t="n"/>
      <c r="E16" s="45" t="n"/>
      <c r="F16" s="45" t="n"/>
      <c r="G16" s="45" t="n"/>
      <c r="H16" s="45" t="n"/>
      <c r="I16" s="45" t="n"/>
      <c r="J16" s="45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1" t="inlineStr">
        <is>
          <t>Swing Completed Trades</t>
        </is>
      </c>
      <c r="B17" s="42">
        <f>COUNTIFS(Ledger!P:P, "SWING", Ledger!N:N, "WIN") + COUNTIFS(Ledger!P:P, "SWING", Ledger!N:N, "LOSS")</f>
        <v/>
      </c>
      <c r="C17" s="45" t="n"/>
      <c r="D17" s="45" t="n"/>
      <c r="E17" s="45" t="n"/>
      <c r="F17" s="45" t="n"/>
      <c r="G17" s="45" t="n"/>
      <c r="H17" s="45" t="n"/>
      <c r="I17" s="45" t="n"/>
      <c r="J17" s="45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1" t="inlineStr">
        <is>
          <t>Swing Active Positions</t>
        </is>
      </c>
      <c r="B18" s="42">
        <f>COUNTIFS(Ledger!P:P, "SWING", Ledger!N:N, "OPEN")</f>
        <v/>
      </c>
      <c r="C18" s="45" t="n"/>
      <c r="D18" s="45" t="n"/>
      <c r="E18" s="45" t="n"/>
      <c r="F18" s="45" t="n"/>
      <c r="G18" s="45" t="n"/>
      <c r="H18" s="45" t="n"/>
      <c r="I18" s="45" t="n"/>
      <c r="J18" s="45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3" t="inlineStr">
        <is>
          <t>Intraday Trading Statistics</t>
        </is>
      </c>
      <c r="B19" s="44" t="inlineStr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1" t="inlineStr">
        <is>
          <t>Intraday Win Rate</t>
        </is>
      </c>
      <c r="B20" s="4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0" s="45" t="n"/>
      <c r="D20" s="45" t="n"/>
      <c r="E20" s="45" t="n"/>
      <c r="F20" s="45" t="n"/>
      <c r="G20" s="45" t="n"/>
      <c r="H20" s="45" t="n"/>
      <c r="I20" s="45" t="n"/>
      <c r="J20" s="45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1" t="inlineStr">
        <is>
          <t>Intraday Realized PnL</t>
        </is>
      </c>
      <c r="B21" s="39">
        <f>SUMIFS(Ledger!M:M, Ledger!P:P, "INTRADAY")</f>
        <v/>
      </c>
      <c r="C21" s="45" t="n"/>
      <c r="D21" s="45" t="n"/>
      <c r="E21" s="45" t="n"/>
      <c r="F21" s="45" t="n"/>
      <c r="G21" s="45" t="n"/>
      <c r="H21" s="45" t="n"/>
      <c r="I21" s="45" t="n"/>
      <c r="J21" s="45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41" t="inlineStr">
        <is>
          <t>Intraday Completed Trades</t>
        </is>
      </c>
      <c r="B22" s="42">
        <f>COUNTIFS(Ledger!P:P, "INTRADAY", Ledger!N:N, "WIN") + COUNTIFS(Ledger!P:P, "INTRADAY", Ledger!N:N, "LOSS")</f>
        <v/>
      </c>
      <c r="C22" s="45" t="n"/>
      <c r="D22" s="45" t="n"/>
      <c r="E22" s="45" t="n"/>
      <c r="F22" s="45" t="n"/>
      <c r="G22" s="45" t="n"/>
      <c r="H22" s="45" t="n"/>
      <c r="I22" s="45" t="n"/>
      <c r="J22" s="45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41" t="inlineStr">
        <is>
          <t>Intraday Active Positions</t>
        </is>
      </c>
      <c r="B23" s="42">
        <f>COUNTIFS(Ledger!P:P, "INTRADAY", Ledger!N:N, "OPEN")</f>
        <v/>
      </c>
      <c r="C23" s="45" t="n"/>
      <c r="D23" s="45" t="n"/>
      <c r="E23" s="45" t="n"/>
      <c r="F23" s="45" t="n"/>
      <c r="G23" s="45" t="n"/>
      <c r="H23" s="45" t="n"/>
      <c r="I23" s="45" t="n"/>
      <c r="J23" s="45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45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45" t="n"/>
      <c r="B25" s="45" t="n"/>
      <c r="C25" s="45" t="n"/>
      <c r="D25" s="45" t="n"/>
      <c r="E25" s="45" t="n"/>
      <c r="F25" s="45" t="n"/>
      <c r="G25" s="45" t="n"/>
      <c r="H25" s="45" t="n"/>
      <c r="I25" s="45" t="n"/>
      <c r="J25" s="45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45" t="n"/>
      <c r="B26" s="45" t="n"/>
      <c r="C26" s="45" t="n"/>
      <c r="D26" s="45" t="n"/>
      <c r="E26" s="45" t="n"/>
      <c r="F26" s="45" t="n"/>
      <c r="G26" s="45" t="n"/>
      <c r="H26" s="45" t="n"/>
      <c r="I26" s="45" t="n"/>
      <c r="J26" s="45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45" t="n"/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5" t="n"/>
      <c r="J28" s="45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45" t="n"/>
      <c r="B31" s="45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45" t="n"/>
      <c r="B32" s="45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45" t="n"/>
      <c r="B33" s="45" t="n"/>
      <c r="C33" s="45" t="n"/>
      <c r="D33" s="45" t="n"/>
      <c r="E33" s="45" t="n"/>
      <c r="F33" s="45" t="n"/>
      <c r="G33" s="45" t="n"/>
      <c r="H33" s="45" t="n"/>
      <c r="I33" s="45" t="n"/>
      <c r="J33" s="45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45" t="n"/>
      <c r="B34" s="45" t="n"/>
      <c r="C34" s="45" t="n"/>
      <c r="D34" s="45" t="n"/>
      <c r="E34" s="45" t="n"/>
      <c r="F34" s="45" t="n"/>
      <c r="G34" s="45" t="n"/>
      <c r="H34" s="45" t="n"/>
      <c r="I34" s="45" t="n"/>
      <c r="J34" s="45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45" t="n"/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45" t="n"/>
      <c r="B36" s="45" t="n"/>
      <c r="C36" s="45" t="n"/>
      <c r="D36" s="45" t="n"/>
      <c r="E36" s="45" t="n"/>
      <c r="F36" s="45" t="n"/>
      <c r="G36" s="45" t="n"/>
      <c r="H36" s="45" t="n"/>
      <c r="I36" s="45" t="n"/>
      <c r="J36" s="45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45" t="n"/>
      <c r="B37" s="45" t="n"/>
      <c r="C37" s="45" t="n"/>
      <c r="D37" s="45" t="n"/>
      <c r="E37" s="45" t="n"/>
      <c r="F37" s="45" t="n"/>
      <c r="G37" s="45" t="n"/>
      <c r="H37" s="45" t="n"/>
      <c r="I37" s="45" t="n"/>
      <c r="J37" s="45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45" t="n"/>
      <c r="B38" s="45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5" t="n"/>
      <c r="J39" s="45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45" t="n"/>
      <c r="B40" s="45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45" t="n"/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45" t="n"/>
      <c r="B42" s="45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45" t="n"/>
      <c r="B43" s="45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45" t="n"/>
      <c r="B44" s="45" t="n"/>
      <c r="C44" s="45" t="n"/>
      <c r="D44" s="45" t="n"/>
      <c r="E44" s="45" t="n"/>
      <c r="F44" s="45" t="n"/>
      <c r="G44" s="45" t="n"/>
      <c r="H44" s="45" t="n"/>
      <c r="I44" s="45" t="n"/>
      <c r="J44" s="45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45" t="n"/>
      <c r="B45" s="45" t="n"/>
      <c r="C45" s="45" t="n"/>
      <c r="D45" s="45" t="n"/>
      <c r="E45" s="45" t="n"/>
      <c r="F45" s="45" t="n"/>
      <c r="G45" s="45" t="n"/>
      <c r="H45" s="45" t="n"/>
      <c r="I45" s="45" t="n"/>
      <c r="J45" s="45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45" t="n"/>
      <c r="B46" s="45" t="n"/>
      <c r="C46" s="45" t="n"/>
      <c r="D46" s="45" t="n"/>
      <c r="E46" s="45" t="n"/>
      <c r="F46" s="45" t="n"/>
      <c r="G46" s="45" t="n"/>
      <c r="H46" s="45" t="n"/>
      <c r="I46" s="45" t="n"/>
      <c r="J46" s="45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45" t="n"/>
      <c r="B47" s="45" t="n"/>
      <c r="C47" s="45" t="n"/>
      <c r="D47" s="45" t="n"/>
      <c r="E47" s="45" t="n"/>
      <c r="F47" s="45" t="n"/>
      <c r="G47" s="45" t="n"/>
      <c r="H47" s="45" t="n"/>
      <c r="I47" s="45" t="n"/>
      <c r="J47" s="45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45" t="n"/>
      <c r="B48" s="45" t="n"/>
      <c r="C48" s="45" t="n"/>
      <c r="D48" s="45" t="n"/>
      <c r="E48" s="45" t="n"/>
      <c r="F48" s="45" t="n"/>
      <c r="G48" s="45" t="n"/>
      <c r="H48" s="45" t="n"/>
      <c r="I48" s="45" t="n"/>
      <c r="J48" s="45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45" t="n"/>
      <c r="B49" s="45" t="n"/>
      <c r="C49" s="45" t="n"/>
      <c r="D49" s="45" t="n"/>
      <c r="E49" s="45" t="n"/>
      <c r="F49" s="45" t="n"/>
      <c r="G49" s="45" t="n"/>
      <c r="H49" s="45" t="n"/>
      <c r="I49" s="45" t="n"/>
      <c r="J49" s="45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45" t="n"/>
      <c r="B50" s="45" t="n"/>
      <c r="C50" s="45" t="n"/>
      <c r="D50" s="45" t="n"/>
      <c r="E50" s="45" t="n"/>
      <c r="F50" s="45" t="n"/>
      <c r="G50" s="45" t="n"/>
      <c r="H50" s="45" t="n"/>
      <c r="I50" s="45" t="n"/>
      <c r="J50" s="45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10:B10"/>
    <mergeCell ref="A15:B15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6" t="inlineStr">
        <is>
          <t>SUNPHARMA</t>
        </is>
      </c>
      <c r="B2" s="46" t="inlineStr">
        <is>
          <t>SUNPHARMA</t>
        </is>
      </c>
      <c r="C2" s="46" t="inlineStr">
        <is>
          <t>2026-07-21</t>
        </is>
      </c>
      <c r="D2" s="46" t="n">
        <v>1</v>
      </c>
      <c r="E2" s="47" t="n">
        <v>1951</v>
      </c>
      <c r="F2" s="47" t="n">
        <v>1963.199951171875</v>
      </c>
      <c r="G2" s="47">
        <f>E2-F2</f>
        <v/>
      </c>
      <c r="H2" s="47" t="n">
        <v>2091.543361767483</v>
      </c>
      <c r="I2" s="47" t="n">
        <v>1899.028245874071</v>
      </c>
      <c r="J2" s="46" t="inlineStr">
        <is>
          <t>1:2.7</t>
        </is>
      </c>
      <c r="K2" s="46" t="inlineStr">
        <is>
          <t>2026-07-21</t>
        </is>
      </c>
      <c r="L2" s="47" t="n">
        <v>1960</v>
      </c>
      <c r="M2" s="47">
        <f>IF(OR(N2="WIN", N2="LOSS"), (L2-E2)*D2, 0)</f>
        <v/>
      </c>
      <c r="N2" s="46" t="inlineStr">
        <is>
          <t>WIN</t>
        </is>
      </c>
      <c r="O2" s="46" t="inlineStr">
        <is>
          <t>Auto-synced from Zerodha account | Auto-synced sell from Zerodha account</t>
        </is>
      </c>
      <c r="P2" s="48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6" t="inlineStr">
        <is>
          <t>JSWSTEEL</t>
        </is>
      </c>
      <c r="B3" s="46" t="inlineStr">
        <is>
          <t>JSWSTEEL</t>
        </is>
      </c>
      <c r="C3" s="46" t="inlineStr">
        <is>
          <t>2026-07-21</t>
        </is>
      </c>
      <c r="D3" s="46" t="n">
        <v>1</v>
      </c>
      <c r="E3" s="47" t="n">
        <v>1266.4</v>
      </c>
      <c r="F3" s="47" t="n">
        <v>1268.099975585938</v>
      </c>
      <c r="G3" s="47">
        <f>E3-F3</f>
        <v/>
      </c>
      <c r="H3" s="47" t="n">
        <v>1369.684246737149</v>
      </c>
      <c r="I3" s="47" t="n">
        <v>1217.307840010332</v>
      </c>
      <c r="J3" s="46" t="inlineStr">
        <is>
          <t>1:2.1</t>
        </is>
      </c>
      <c r="K3" s="46" t="inlineStr">
        <is>
          <t>2026-07-21</t>
        </is>
      </c>
      <c r="L3" s="47" t="n">
        <v>1267.1</v>
      </c>
      <c r="M3" s="47">
        <f>IF(OR(N3="WIN", N3="LOSS"), (L3-E3)*D3, 0)</f>
        <v/>
      </c>
      <c r="N3" s="46" t="inlineStr">
        <is>
          <t>WIN</t>
        </is>
      </c>
      <c r="O3" s="46" t="inlineStr">
        <is>
          <t>Auto-synced from Zerodha account | Auto-synced sell from Zerodha account</t>
        </is>
      </c>
      <c r="P3" s="48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9" t="inlineStr">
        <is>
          <t>TECHM</t>
        </is>
      </c>
      <c r="B4" s="49" t="inlineStr">
        <is>
          <t>TECHM</t>
        </is>
      </c>
      <c r="C4" s="49" t="inlineStr">
        <is>
          <t>2026-07-21</t>
        </is>
      </c>
      <c r="D4" s="49" t="n">
        <v>1</v>
      </c>
      <c r="E4" s="50" t="n">
        <v>1589.1</v>
      </c>
      <c r="F4" s="50" t="n">
        <v>1582.699951171875</v>
      </c>
      <c r="G4" s="50">
        <f>E4-F4</f>
        <v/>
      </c>
      <c r="H4" s="50" t="n">
        <v>1785.968673647753</v>
      </c>
      <c r="I4" s="50" t="n">
        <v>1481.065589933936</v>
      </c>
      <c r="J4" s="49" t="inlineStr">
        <is>
          <t>1:1.8</t>
        </is>
      </c>
      <c r="K4" s="49" t="inlineStr">
        <is>
          <t>2026-07-21</t>
        </is>
      </c>
      <c r="L4" s="50" t="n">
        <v>1575</v>
      </c>
      <c r="M4" s="50">
        <f>IF(OR(N4="WIN", N4="LOSS"), (L4-E4)*D4, 0)</f>
        <v/>
      </c>
      <c r="N4" s="49" t="inlineStr">
        <is>
          <t>LOSS</t>
        </is>
      </c>
      <c r="O4" s="49" t="inlineStr">
        <is>
          <t>Auto-synced from Zerodha account | Auto-synced sell from Zerodha account</t>
        </is>
      </c>
      <c r="P4" s="51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n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1" t="inlineStr">
        <is>
          <t>NESTLEIND</t>
        </is>
      </c>
      <c r="B10" s="51" t="inlineStr">
        <is>
          <t>NESTLEIND</t>
        </is>
      </c>
      <c r="C10" s="51" t="inlineStr">
        <is>
          <t>2026-08-04</t>
        </is>
      </c>
      <c r="D10" s="51" t="n">
        <v>1</v>
      </c>
      <c r="E10" s="50" t="n">
        <v>1523</v>
      </c>
      <c r="F10" s="50" t="n">
        <v>1523</v>
      </c>
      <c r="G10" s="50" t="n">
        <v>0</v>
      </c>
      <c r="H10" s="50" t="n">
        <v>1549.8</v>
      </c>
      <c r="I10" s="50" t="n">
        <v>1520.1</v>
      </c>
      <c r="J10" s="51" t="inlineStr">
        <is>
          <t>1:2.0</t>
        </is>
      </c>
      <c r="K10" s="51" t="inlineStr">
        <is>
          <t>2026-08-04</t>
        </is>
      </c>
      <c r="L10" s="50" t="n">
        <v>1520.1</v>
      </c>
      <c r="M10" s="50">
        <f>IF(OR(N10="WIN", N10="LOSS"), (L10-E10)*D10, 0)</f>
        <v/>
      </c>
      <c r="N10" s="51" t="inlineStr">
        <is>
          <t>LOSS</t>
        </is>
      </c>
      <c r="O10" s="51" t="inlineStr">
        <is>
          <t>Intraday placement. GTT Trigger: 330204955 | Position closed via Stop-Loss GTT trigger. Actual Buy Filled at INR 1523.00</t>
        </is>
      </c>
      <c r="P10" s="51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1" t="inlineStr">
        <is>
          <t>PIDILITIND</t>
        </is>
      </c>
      <c r="B11" s="51" t="inlineStr">
        <is>
          <t>PIDILITIND</t>
        </is>
      </c>
      <c r="C11" s="51" t="inlineStr">
        <is>
          <t>2026-08-04</t>
        </is>
      </c>
      <c r="D11" s="51" t="n">
        <v>1</v>
      </c>
      <c r="E11" s="50" t="n">
        <v>1642.5</v>
      </c>
      <c r="F11" s="50" t="n">
        <v>1642.5</v>
      </c>
      <c r="G11" s="50" t="n">
        <v>0</v>
      </c>
      <c r="H11" s="50" t="n">
        <v>1658.5</v>
      </c>
      <c r="I11" s="50" t="n">
        <v>1634.5</v>
      </c>
      <c r="J11" s="51" t="inlineStr">
        <is>
          <t>1:2.0</t>
        </is>
      </c>
      <c r="K11" s="51" t="inlineStr">
        <is>
          <t>2026-08-04</t>
        </is>
      </c>
      <c r="L11" s="50" t="n">
        <v>1634.5</v>
      </c>
      <c r="M11" s="50">
        <f>IF(OR(N11="WIN", N11="LOSS"), (L11-E11)*D11, 0)</f>
        <v/>
      </c>
      <c r="N11" s="51" t="inlineStr">
        <is>
          <t>LOSS</t>
        </is>
      </c>
      <c r="O11" s="51" t="inlineStr">
        <is>
          <t>Intraday placement. GTT Trigger: 330204926 | Position closed via Stop-Loss GTT trigger.</t>
        </is>
      </c>
      <c r="P11" s="51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WITHDRAWAL</t>
        </is>
      </c>
      <c r="C14" s="9" t="n">
        <v>512.29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16:48:38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16:48:55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16:49:17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16:54:12</t>
        </is>
      </c>
      <c r="B28" s="3" t="inlineStr">
        <is>
          <t>INFO</t>
        </is>
      </c>
      <c r="C28" s="3" t="inlineStr">
        <is>
          <t>Capital Transaction: WITHDRAWAL of INR 512.29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2026-08-04T11:52:01Z</dcterms:modified>
</cp:coreProperties>
</file>