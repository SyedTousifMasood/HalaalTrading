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  <font>
      <name val="Segoe UI"/>
      <b val="1"/>
      <color rgb="001B365D"/>
      <sz val="11"/>
    </font>
  </fonts>
  <fills count="11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D3DDF1"/>
        <bgColor rgb="00D3DDF1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10" borderId="1" pivotButton="0" quotePrefix="0" xfId="0"/>
    <xf numFmtId="3" fontId="16" fillId="0" borderId="0" pivotButton="0" quotePrefix="0" xfId="0"/>
    <xf numFmtId="0" fontId="18" fillId="10" borderId="0" pivotButton="0" quotePrefix="0" xfId="0"/>
    <xf numFmtId="0" fontId="14" fillId="8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1" t="inlineStr">
        <is>
          <t>Global Portfolio Metrics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Total Net Capital Deposited</t>
        </is>
      </c>
      <c r="B5" s="35">
        <f>SUMIF(Capital!B:B, "DEPOSIT", Capital!C:C) - SUMIF(Capital!B:B, "WITHDRAWAL", Capital!C:C)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Lifetime Realized PnL</t>
        </is>
      </c>
      <c r="B6" s="35">
        <f>SUM(Ledger!M:M)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Current Total Portfolio Value</t>
        </is>
      </c>
      <c r="B7" s="35">
        <f>B5 + B6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Deployed in Open Trades</t>
        </is>
      </c>
      <c r="B8" s="35">
        <f>SUMPRODUCT((Ledger!N2:N500="OPEN")*(Ledger!E2:E500)*(Ledger!D2:D500))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Capital Available for Trading</t>
        </is>
      </c>
      <c r="B9" s="35">
        <f>B7 - B8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1" t="inlineStr">
        <is>
          <t>Swing Trading Statistics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Swing Win Rate</t>
        </is>
      </c>
      <c r="B11" s="36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Swing Realized PnL</t>
        </is>
      </c>
      <c r="B12" s="35">
        <f>SUMIFS(Ledger!M:M, Ledger!P:P, "SWING")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Swing Completed Trades</t>
        </is>
      </c>
      <c r="B13" s="42">
        <f>COUNTIFS(Ledger!P:P, "SWING", Ledger!N:N, "WIN") + COUNTIFS(Ledger!P:P, "SWING", 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8" t="inlineStr">
        <is>
          <t>Swing Active Positions</t>
        </is>
      </c>
      <c r="B14" s="42">
        <f>COUNTIFS(Ledger!P:P, "SWING", Ledger!N:N, "OPEN")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3" t="inlineStr">
        <is>
          <t>Intraday Trading Statistics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8" t="inlineStr">
        <is>
          <t>Intraday Win Rate</t>
        </is>
      </c>
      <c r="B16" s="36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8" t="inlineStr">
        <is>
          <t>Intraday Realized PnL</t>
        </is>
      </c>
      <c r="B17" s="35">
        <f>SUMIFS(Ledger!M:M, Ledger!P:P, "INTRADAY")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8" t="inlineStr">
        <is>
          <t>Intraday Completed Trades</t>
        </is>
      </c>
      <c r="B18" s="42">
        <f>COUNTIFS(Ledger!P:P, "INTRADAY", Ledger!N:N, "WIN") + COUNTIFS(Ledger!P:P, "INTRADAY", Ledger!N:N, "LOSS")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8" t="inlineStr">
        <is>
          <t>Intraday Active Positions</t>
        </is>
      </c>
      <c r="B19" s="42">
        <f>COUNTIFS(Ledger!P:P, "INTRADAY", Ledger!N:N, "OPEN")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  <col width="18" customWidth="1" style="28" min="16" max="16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44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LOSS</t>
        </is>
      </c>
      <c r="O4" s="7" t="inlineStr">
        <is>
          <t>Auto-synced from Zerodha account | Auto-synced sell from Zerodha account</t>
        </is>
      </c>
      <c r="P4" s="3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9" t="n">
        <v>127.8</v>
      </c>
      <c r="F9" s="19" t="n">
        <v>125.01</v>
      </c>
      <c r="G9" s="19" t="n">
        <v>2.79</v>
      </c>
      <c r="H9" s="19" t="n">
        <v>145.56</v>
      </c>
      <c r="I9" s="19" t="n">
        <v>114.74</v>
      </c>
      <c r="J9" s="3" t="inlineStr">
        <is>
          <t>1:2.0</t>
        </is>
      </c>
      <c r="K9" s="3" t="inlineStr">
        <is>
          <t>2026-08-03</t>
        </is>
      </c>
      <c r="L9" s="19" t="n">
        <v>120</v>
      </c>
      <c r="M9" s="19">
        <f>IF(OR(N9="WIN", N9="LOSS"), (L9-E9)*D9, 0)</f>
        <v/>
      </c>
      <c r="N9" s="3" t="inlineStr">
        <is>
          <t>LOSS</t>
        </is>
      </c>
      <c r="O9" s="3" t="inlineStr">
        <is>
          <t>Placed manually as AMO via agent as per user request. GTT Trigger: 330048258 | Position closed automatically via GTT trigger (Exit: INR 120.00)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1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1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2026-08-03T11:31:25Z</dcterms:modified>
</cp:coreProperties>
</file>