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Ledger" sheetId="2" r:id="rId5"/>
    <sheet state="visible" name="Logs" sheetId="3" r:id="rId6"/>
    <sheet state="visible" name="Capital" sheetId="4" r:id="rId7"/>
    <sheet state="visible" name="Recommendations" sheetId="5" r:id="rId8"/>
  </sheets>
  <definedNames/>
  <calcPr/>
  <extLst>
    <ext uri="GoogleSheetsCustomDataVersion2">
      <go:sheetsCustomData xmlns:go="http://customooxmlschemas.google.com/" r:id="rId9" roundtripDataChecksum="qIebD7gMUAX97Zh42BkRY1Lbr7UwfnGi3IvdU/zH5lQ="/>
    </ext>
  </extLst>
</workbook>
</file>

<file path=xl/sharedStrings.xml><?xml version="1.0" encoding="utf-8"?>
<sst xmlns="http://schemas.openxmlformats.org/spreadsheetml/2006/main" count="100" uniqueCount="68">
  <si>
    <t>HSTS v1.0 Trading Dashboard</t>
  </si>
  <si>
    <t>Metric</t>
  </si>
  <si>
    <t>Value</t>
  </si>
  <si>
    <t>Total Invested Capital</t>
  </si>
  <si>
    <t>Lifetime PnL</t>
  </si>
  <si>
    <t>Current Account Balance</t>
  </si>
  <si>
    <t>Win Rate</t>
  </si>
  <si>
    <t>Total Completed Trades</t>
  </si>
  <si>
    <t>Active Open Positions</t>
  </si>
  <si>
    <t>Win Trades</t>
  </si>
  <si>
    <t>Loss Trades</t>
  </si>
  <si>
    <t>Symbol</t>
  </si>
  <si>
    <t>Name</t>
  </si>
  <si>
    <t>Entry Date</t>
  </si>
  <si>
    <t>Qty</t>
  </si>
  <si>
    <t>Buy Price</t>
  </si>
  <si>
    <t>Suggested Entry</t>
  </si>
  <si>
    <t>Slippage/Deviation</t>
  </si>
  <si>
    <t>Target Price</t>
  </si>
  <si>
    <t>Stop Loss</t>
  </si>
  <si>
    <t>Risk-to-Reward Ratio</t>
  </si>
  <si>
    <t>Exit Date</t>
  </si>
  <si>
    <t>Exit Price</t>
  </si>
  <si>
    <t>Realized PnL</t>
  </si>
  <si>
    <t>Status</t>
  </si>
  <si>
    <t>Notes</t>
  </si>
  <si>
    <t>SUNPHARMA</t>
  </si>
  <si>
    <t>Sun Pharmaceutical Industries Limited</t>
  </si>
  <si>
    <t>1:2</t>
  </si>
  <si>
    <t>JSWSTEEL</t>
  </si>
  <si>
    <t>JSW Steel Limited</t>
  </si>
  <si>
    <t>Timestamp</t>
  </si>
  <si>
    <t>Level</t>
  </si>
  <si>
    <t>Message</t>
  </si>
  <si>
    <t>2026-07-21 03:24:19</t>
  </si>
  <si>
    <t>INFO</t>
  </si>
  <si>
    <t>Recorded buy order: 10 shares of TCS at 2269.0</t>
  </si>
  <si>
    <t>2026-07-21 03:24:31</t>
  </si>
  <si>
    <t>Closed trade: TCS exited at 2540.0 (WIN)</t>
  </si>
  <si>
    <t>2026-07-21 03:31:58</t>
  </si>
  <si>
    <t>Capital Transaction: DEPOSIT of INR 100000.00 logged.</t>
  </si>
  <si>
    <t>2026-07-21 03:32:14</t>
  </si>
  <si>
    <t>Capital Transaction: WITHDRAWAL of INR 5000.00 logged.</t>
  </si>
  <si>
    <t>Date</t>
  </si>
  <si>
    <t>Type</t>
  </si>
  <si>
    <t>Amount</t>
  </si>
  <si>
    <t>2026-07-21</t>
  </si>
  <si>
    <t>DEPOSIT</t>
  </si>
  <si>
    <t>Initial funding</t>
  </si>
  <si>
    <t>Composite Score</t>
  </si>
  <si>
    <t>Target Entry Price</t>
  </si>
  <si>
    <t>Initial Stop-Loss</t>
  </si>
  <si>
    <t>Profit Target</t>
  </si>
  <si>
    <t>Recommended Qty</t>
  </si>
  <si>
    <t>Recommended Allocation</t>
  </si>
  <si>
    <t>Execution Status</t>
  </si>
  <si>
    <t>ULTRACEMCO</t>
  </si>
  <si>
    <t>UltraTech Cement Limited</t>
  </si>
  <si>
    <t>94/100</t>
  </si>
  <si>
    <t>1:2.0</t>
  </si>
  <si>
    <t>SKIPPED_BEARISH_REGIME</t>
  </si>
  <si>
    <t>Scanned under BEARISH regime</t>
  </si>
  <si>
    <t>81/100</t>
  </si>
  <si>
    <t>HEROMOTOCO</t>
  </si>
  <si>
    <t>Hero MotoCorp Limited</t>
  </si>
  <si>
    <t>82/100</t>
  </si>
  <si>
    <t>TECHM</t>
  </si>
  <si>
    <t>Tech Mahindra Limited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</si>
</sst>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INR #,##0.00"/>
    <numFmt numFmtId="165" formatCode="0.0%"/>
    <numFmt numFmtId="166" formatCode="d-mmm-yyyy"/>
  </numFmts>
  <fonts count="10">
    <font>
      <sz val="11.0"/>
      <color theme="1"/>
      <name val="Calibri"/>
      <scheme val="minor"/>
    </font>
    <font>
      <b/>
      <sz val="16.0"/>
      <color rgb="FF1B365D"/>
      <name val="Quattrocento Sans"/>
    </font>
    <font>
      <sz val="11.0"/>
      <color theme="1"/>
      <name val="Calibri"/>
    </font>
    <font>
      <b/>
      <sz val="11.0"/>
      <color rgb="FFFFFFFF"/>
      <name val="Quattrocento Sans"/>
    </font>
    <font>
      <b/>
      <sz val="11.0"/>
      <color theme="1"/>
      <name val="Quattrocento Sans"/>
    </font>
    <font>
      <sz val="11.0"/>
      <color theme="1"/>
      <name val="Quattrocento Sans"/>
    </font>
    <font>
      <b/>
      <sz val="11.0"/>
      <color rgb="FF101010"/>
      <name val="Ui-sans-serif"/>
    </font>
    <font>
      <color theme="1"/>
      <name val="Calibri"/>
      <scheme val="minor"/>
    </font>
    <font>
      <color theme="1"/>
      <name val="Calibri"/>
    </font>
    <font>
      <sz val="11.0"/>
      <color rgb="FF10101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EEEEEE"/>
        <bgColor rgb="FFEEEEEE"/>
      </patternFill>
    </fill>
    <fill>
      <patternFill patternType="solid">
        <fgColor rgb="FF4A5568"/>
        <bgColor rgb="FF4A5568"/>
      </patternFill>
    </fill>
    <fill>
      <patternFill patternType="solid">
        <fgColor rgb="FF2B6CB0"/>
        <bgColor rgb="FF2B6CB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vertical="center"/>
    </xf>
    <xf borderId="1" fillId="3" fontId="4" numFmtId="0" xfId="0" applyBorder="1" applyFill="1" applyFont="1"/>
    <xf borderId="0" fillId="0" fontId="5" numFmtId="164" xfId="0" applyFont="1" applyNumberFormat="1"/>
    <xf borderId="0" fillId="0" fontId="5" numFmtId="165" xfId="0" applyFont="1" applyNumberFormat="1"/>
    <xf borderId="0" fillId="0" fontId="5" numFmtId="0" xfId="0" applyFont="1"/>
    <xf borderId="0" fillId="2" fontId="3" numFmtId="0" xfId="0" applyAlignment="1" applyFont="1">
      <alignment horizontal="center" vertical="center"/>
    </xf>
    <xf borderId="0" fillId="4" fontId="6" numFmtId="0" xfId="0" applyAlignment="1" applyFill="1" applyFont="1">
      <alignment horizontal="left" readingOrder="0"/>
    </xf>
    <xf borderId="0" fillId="0" fontId="7" numFmtId="0" xfId="0" applyFont="1"/>
    <xf borderId="0" fillId="0" fontId="8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0" fillId="4" fontId="9" numFmtId="164" xfId="0" applyAlignment="1" applyFont="1" applyNumberFormat="1">
      <alignment horizontal="left" readingOrder="0"/>
    </xf>
    <xf borderId="0" fillId="0" fontId="7" numFmtId="0" xfId="0" applyAlignment="1" applyFont="1">
      <alignment readingOrder="0"/>
    </xf>
    <xf borderId="0" fillId="0" fontId="8" numFmtId="0" xfId="0" applyFont="1"/>
    <xf borderId="0" fillId="0" fontId="2" numFmtId="0" xfId="0" applyAlignment="1" applyFont="1">
      <alignment readingOrder="0"/>
    </xf>
    <xf borderId="1" fillId="5" fontId="3" numFmtId="0" xfId="0" applyAlignment="1" applyBorder="1" applyFill="1" applyFont="1">
      <alignment horizontal="center" vertical="center"/>
    </xf>
    <xf borderId="0" fillId="6" fontId="3" numFmtId="0" xfId="0" applyAlignment="1" applyFill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2" width="20.0"/>
    <col customWidth="1" min="3" max="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4.0" customHeight="1">
      <c r="A3" s="3" t="s">
        <v>1</v>
      </c>
      <c r="B3" s="3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" t="s">
        <v>3</v>
      </c>
      <c r="B4" s="5">
        <f>SUMIF(Capital!B:B, "DEPOSIT", Capital!C:C) - SUMIF(Capital!B:B, "WITHDRAWAL", Capital!C:C)</f>
        <v>10000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" t="s">
        <v>4</v>
      </c>
      <c r="B5" s="5">
        <f>SUM(Ledger!M:M)</f>
        <v>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4" t="s">
        <v>5</v>
      </c>
      <c r="B6" s="5">
        <f>B4 + B5</f>
        <v>10000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4" t="s">
        <v>6</v>
      </c>
      <c r="B7" s="6">
        <f>IF((COUNTIF(Ledger!N:N, "WIN")+COUNTIF(Ledger!N:N, "LOSS"))&gt;0, COUNTIF(Ledger!N:N, "WIN")/(COUNTIF(Ledger!N:N, "WIN")+COUNTIF(Ledger!N:N, "LOSS")), 0)</f>
        <v>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4" t="s">
        <v>7</v>
      </c>
      <c r="B8" s="7">
        <f>COUNTIF(Ledger!N:N, "WIN") + COUNTIF(Ledger!N:N, "LOSS")</f>
        <v>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4" t="s">
        <v>8</v>
      </c>
      <c r="B9" s="7">
        <f>COUNTIF(Ledger!N:N, "OPEN")</f>
        <v>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4" t="s">
        <v>9</v>
      </c>
      <c r="B10" s="7">
        <f>COUNTIF(Ledger!N:N, "WIN")</f>
        <v>0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4" t="s">
        <v>10</v>
      </c>
      <c r="B11" s="7">
        <f>COUNTIF(Ledger!N:N, "LOSS")</f>
        <v>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25.0"/>
    <col customWidth="1" min="3" max="9" width="16.0"/>
    <col customWidth="1" min="10" max="10" width="22.0"/>
    <col customWidth="1" min="11" max="13" width="16.0"/>
    <col customWidth="1" min="14" max="14" width="30.0"/>
    <col customWidth="1" min="15" max="15" width="8.71"/>
  </cols>
  <sheetData>
    <row r="1" ht="27.75" customHeight="1">
      <c r="A1" s="3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8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9" t="s">
        <v>26</v>
      </c>
      <c r="B2" s="10" t="s">
        <v>27</v>
      </c>
      <c r="C2" s="11">
        <v>46224.0</v>
      </c>
      <c r="D2" s="12">
        <v>1.0</v>
      </c>
      <c r="E2" s="13">
        <v>1951.0</v>
      </c>
      <c r="F2" s="13">
        <v>1947.6</v>
      </c>
      <c r="G2" s="14"/>
      <c r="H2" s="15">
        <v>2071.9</v>
      </c>
      <c r="I2" s="13">
        <v>1885.4</v>
      </c>
      <c r="J2" s="16" t="s">
        <v>28</v>
      </c>
      <c r="K2" s="17"/>
      <c r="L2" s="14"/>
      <c r="M2" s="14"/>
      <c r="N2" s="17"/>
      <c r="O2" s="17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8" t="s">
        <v>29</v>
      </c>
      <c r="B3" s="10" t="s">
        <v>30</v>
      </c>
      <c r="C3" s="11">
        <v>46224.0</v>
      </c>
      <c r="D3" s="18">
        <v>1.0</v>
      </c>
      <c r="E3" s="14">
        <v>1265.199951171875</v>
      </c>
      <c r="F3" s="13">
        <v>1266.4</v>
      </c>
      <c r="G3" s="2"/>
      <c r="H3" s="2"/>
      <c r="I3" s="14">
        <v>1214.579254630868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80.0"/>
    <col customWidth="1" min="4" max="6" width="8.71"/>
  </cols>
  <sheetData>
    <row r="1">
      <c r="A1" s="19" t="s">
        <v>31</v>
      </c>
      <c r="B1" s="19" t="s">
        <v>32</v>
      </c>
      <c r="C1" s="19" t="s">
        <v>33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7" t="s">
        <v>34</v>
      </c>
      <c r="B2" s="17" t="s">
        <v>35</v>
      </c>
      <c r="C2" s="17" t="s">
        <v>36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7" t="s">
        <v>37</v>
      </c>
      <c r="B3" s="17" t="s">
        <v>35</v>
      </c>
      <c r="C3" s="17" t="s">
        <v>38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7" t="s">
        <v>39</v>
      </c>
      <c r="B4" s="17" t="s">
        <v>35</v>
      </c>
      <c r="C4" s="17" t="s">
        <v>40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7" t="s">
        <v>41</v>
      </c>
      <c r="B5" s="17" t="s">
        <v>35</v>
      </c>
      <c r="C5" s="17" t="s">
        <v>42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6.0"/>
    <col customWidth="1" min="3" max="3" width="18.0"/>
    <col customWidth="1" min="4" max="4" width="40.0"/>
    <col customWidth="1" min="5" max="6" width="8.71"/>
  </cols>
  <sheetData>
    <row r="1">
      <c r="A1" s="3" t="s">
        <v>43</v>
      </c>
      <c r="B1" s="3" t="s">
        <v>44</v>
      </c>
      <c r="C1" s="3" t="s">
        <v>45</v>
      </c>
      <c r="D1" s="3" t="s">
        <v>25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7" t="s">
        <v>46</v>
      </c>
      <c r="B2" s="17" t="s">
        <v>47</v>
      </c>
      <c r="C2" s="14">
        <v>10000.0</v>
      </c>
      <c r="D2" s="17" t="s">
        <v>48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14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5.0"/>
    <col customWidth="1" min="4" max="7" width="18.0"/>
    <col customWidth="1" min="8" max="9" width="22.0"/>
    <col customWidth="1" min="10" max="10" width="24.0"/>
    <col customWidth="1" min="11" max="11" width="30.0"/>
    <col customWidth="1" min="12" max="26" width="8.71"/>
  </cols>
  <sheetData>
    <row r="1" ht="27.75" customHeight="1">
      <c r="A1" s="20" t="s">
        <v>43</v>
      </c>
      <c r="B1" s="20" t="s">
        <v>11</v>
      </c>
      <c r="C1" s="20" t="s">
        <v>12</v>
      </c>
      <c r="D1" s="20" t="s">
        <v>49</v>
      </c>
      <c r="E1" s="20" t="s">
        <v>50</v>
      </c>
      <c r="F1" s="20" t="s">
        <v>51</v>
      </c>
      <c r="G1" s="20" t="s">
        <v>52</v>
      </c>
      <c r="H1" s="20" t="s">
        <v>20</v>
      </c>
      <c r="I1" s="20" t="s">
        <v>53</v>
      </c>
      <c r="J1" s="20" t="s">
        <v>54</v>
      </c>
      <c r="K1" s="20" t="s">
        <v>55</v>
      </c>
      <c r="L1" s="20" t="s">
        <v>25</v>
      </c>
    </row>
    <row r="2">
      <c r="A2" s="10" t="s">
        <v>46</v>
      </c>
      <c r="B2" s="10" t="s">
        <v>56</v>
      </c>
      <c r="C2" s="10" t="s">
        <v>57</v>
      </c>
      <c r="D2" s="10" t="s">
        <v>58</v>
      </c>
      <c r="E2" s="14">
        <v>12100.0</v>
      </c>
      <c r="F2" s="14">
        <v>11664.42857142857</v>
      </c>
      <c r="G2" s="14">
        <v>12971.14285714286</v>
      </c>
      <c r="H2" s="10" t="s">
        <v>59</v>
      </c>
      <c r="I2" s="10">
        <v>1.0</v>
      </c>
      <c r="J2" s="14">
        <v>12100.0</v>
      </c>
      <c r="K2" s="10" t="s">
        <v>60</v>
      </c>
      <c r="L2" s="10" t="s">
        <v>61</v>
      </c>
    </row>
    <row r="3">
      <c r="A3" s="10" t="s">
        <v>46</v>
      </c>
      <c r="B3" s="10" t="s">
        <v>26</v>
      </c>
      <c r="C3" s="10" t="s">
        <v>27</v>
      </c>
      <c r="D3" s="16" t="s">
        <v>62</v>
      </c>
      <c r="E3" s="13">
        <v>1947.6000024414</v>
      </c>
      <c r="F3" s="13">
        <v>1885.41689403255</v>
      </c>
      <c r="G3" s="13">
        <v>2071.98628517708</v>
      </c>
      <c r="H3" s="10" t="s">
        <v>59</v>
      </c>
      <c r="I3" s="10">
        <v>10.0</v>
      </c>
      <c r="J3" s="14">
        <v>19509.00024414062</v>
      </c>
      <c r="K3" s="10" t="s">
        <v>60</v>
      </c>
      <c r="L3" s="10" t="s">
        <v>61</v>
      </c>
    </row>
    <row r="4">
      <c r="A4" s="10" t="s">
        <v>46</v>
      </c>
      <c r="B4" s="10" t="s">
        <v>63</v>
      </c>
      <c r="C4" s="10" t="s">
        <v>64</v>
      </c>
      <c r="D4" s="10" t="s">
        <v>65</v>
      </c>
      <c r="E4" s="14">
        <v>4986.0</v>
      </c>
      <c r="F4" s="14">
        <v>4814.10009765625</v>
      </c>
      <c r="G4" s="14">
        <v>5329.7998046875</v>
      </c>
      <c r="H4" s="10" t="s">
        <v>59</v>
      </c>
      <c r="I4" s="10">
        <v>4.0</v>
      </c>
      <c r="J4" s="14">
        <v>19944.0</v>
      </c>
      <c r="K4" s="10" t="s">
        <v>60</v>
      </c>
      <c r="L4" s="10" t="s">
        <v>61</v>
      </c>
    </row>
    <row r="5">
      <c r="A5" s="10" t="s">
        <v>46</v>
      </c>
      <c r="B5" s="10" t="s">
        <v>29</v>
      </c>
      <c r="C5" s="10" t="s">
        <v>30</v>
      </c>
      <c r="D5" s="10" t="s">
        <v>65</v>
      </c>
      <c r="E5" s="14">
        <v>1265.199951171875</v>
      </c>
      <c r="F5" s="14">
        <v>1214.579254630868</v>
      </c>
      <c r="G5" s="14">
        <v>1366.44134425389</v>
      </c>
      <c r="H5" s="10" t="s">
        <v>59</v>
      </c>
      <c r="I5" s="10">
        <v>15.0</v>
      </c>
      <c r="J5" s="14">
        <v>18977.99926757812</v>
      </c>
      <c r="K5" s="10" t="s">
        <v>60</v>
      </c>
      <c r="L5" s="10" t="s">
        <v>61</v>
      </c>
    </row>
    <row r="6">
      <c r="A6" s="10" t="s">
        <v>46</v>
      </c>
      <c r="B6" s="10" t="s">
        <v>66</v>
      </c>
      <c r="C6" s="10" t="s">
        <v>67</v>
      </c>
      <c r="D6" s="10" t="s">
        <v>62</v>
      </c>
      <c r="E6" s="14">
        <v>1601.599975585938</v>
      </c>
      <c r="F6" s="14">
        <v>1499.965614347999</v>
      </c>
      <c r="G6" s="14">
        <v>1804.868698061815</v>
      </c>
      <c r="H6" s="10" t="s">
        <v>59</v>
      </c>
      <c r="I6" s="10">
        <v>9.0</v>
      </c>
      <c r="J6" s="14">
        <v>14414.39978027344</v>
      </c>
      <c r="K6" s="10" t="s">
        <v>60</v>
      </c>
      <c r="L6" s="10" t="s">
        <v>61</v>
      </c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2026-07-20T21:54:05Z</dcterms:created>
  <dc:creator>openpyxl</dc:creator>
</cp:coreProperties>
</file>