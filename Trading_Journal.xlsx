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9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</fonts>
  <fills count="12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8" t="inlineStr">
        <is>
          <t>Total Net Capital Deposited</t>
        </is>
      </c>
      <c r="B5" s="39">
        <f>SUMIF(Capital!B:B, "DEPOSIT", Capital!C:C) - SUMIF(Capital!B:B, "WITHDRAWAL", Capital!C:C)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8" t="inlineStr">
        <is>
          <t>Lifetime Realized PnL</t>
        </is>
      </c>
      <c r="B6" s="39">
        <f>SUM(Ledger!M:M)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8" t="inlineStr">
        <is>
          <t>Current Total Portfolio Value</t>
        </is>
      </c>
      <c r="B7" s="39">
        <f>B5 + B6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8" t="inlineStr">
        <is>
          <t>Capital Deployed in Open Trades</t>
        </is>
      </c>
      <c r="B8" s="39">
        <f>SUMPRODUCT((Ledger!N2:N500="OPEN")*(Ledger!E2:E500)*(Ledger!D2:D500))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8" t="inlineStr">
        <is>
          <t>Capital Available for Trading</t>
        </is>
      </c>
      <c r="B9" s="39">
        <f>B7 - B8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7" t="inlineStr">
        <is>
          <t>Swing Trading Statistics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8" t="inlineStr">
        <is>
          <t>Swing Win Rate</t>
        </is>
      </c>
      <c r="B11" s="4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1" t="inlineStr">
        <is>
          <t>Swing Realized PnL</t>
        </is>
      </c>
      <c r="B12" s="39">
        <f>SUMIFS(Ledger!M:M, Ledger!P:P, "SWING")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1" t="inlineStr">
        <is>
          <t>Swing Completed Trades</t>
        </is>
      </c>
      <c r="B13" s="42">
        <f>COUNTIFS(Ledger!P:P, "SWING", Ledger!N:N, "WIN") + COUNTIFS(Ledger!P:P, "SWING", 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1" t="inlineStr">
        <is>
          <t>Swing Active Positions</t>
        </is>
      </c>
      <c r="B14" s="42">
        <f>COUNTIFS(Ledger!P:P, "SWING", Ledger!N:N, "OPEN")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3" t="inlineStr">
        <is>
          <t>Intraday Trading Statistics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1" t="inlineStr">
        <is>
          <t>Intraday Win Rate</t>
        </is>
      </c>
      <c r="B16" s="4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1" t="inlineStr">
        <is>
          <t>Intraday Realized PnL</t>
        </is>
      </c>
      <c r="B17" s="39">
        <f>SUMIFS(Ledger!M:M, Ledger!P:P, "INTRADAY")</f>
        <v/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1" t="inlineStr">
        <is>
          <t>Intraday Completed Trades</t>
        </is>
      </c>
      <c r="B18" s="42">
        <f>COUNTIFS(Ledger!P:P, "INTRADAY", Ledger!N:N, "WIN") + COUNTIFS(Ledger!P:P, "INTRADAY", Ledger!N:N, "LOSS")</f>
        <v/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1" t="inlineStr">
        <is>
          <t>Intraday Active Positions</t>
        </is>
      </c>
      <c r="B19" s="42">
        <f>COUNTIFS(Ledger!P:P, "INTRADAY", Ledger!N:N, "OPEN")</f>
        <v/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10:B10"/>
    <mergeCell ref="A15:B15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SUNPHARMA</t>
        </is>
      </c>
      <c r="B2" s="8" t="inlineStr">
        <is>
          <t>SUNPHARMA</t>
        </is>
      </c>
      <c r="C2" s="8" t="inlineStr">
        <is>
          <t>2026-07-21</t>
        </is>
      </c>
      <c r="D2" s="8" t="n">
        <v>1</v>
      </c>
      <c r="E2" s="9" t="n">
        <v>1951</v>
      </c>
      <c r="F2" s="9" t="n">
        <v>1963.199951171875</v>
      </c>
      <c r="G2" s="9">
        <f>E2-F2</f>
        <v/>
      </c>
      <c r="H2" s="9" t="n">
        <v>2091.543361767483</v>
      </c>
      <c r="I2" s="9" t="n">
        <v>1899.028245874071</v>
      </c>
      <c r="J2" s="8" t="inlineStr">
        <is>
          <t>1:2.7</t>
        </is>
      </c>
      <c r="K2" s="8" t="inlineStr">
        <is>
          <t>2026-07-21</t>
        </is>
      </c>
      <c r="L2" s="9" t="n">
        <v>1960</v>
      </c>
      <c r="M2" s="9">
        <f>IF(OR(N2="WIN", N2="LOSS"), (L2-E2)*D2, 0)</f>
        <v/>
      </c>
      <c r="N2" s="8" t="inlineStr">
        <is>
          <t>WIN</t>
        </is>
      </c>
      <c r="O2" s="8" t="inlineStr">
        <is>
          <t>Auto-synced from Zerodha account | Auto-synced sell from Zerodha account</t>
        </is>
      </c>
      <c r="P2" s="3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JSWSTEEL</t>
        </is>
      </c>
      <c r="B3" s="8" t="inlineStr">
        <is>
          <t>JSWSTEEL</t>
        </is>
      </c>
      <c r="C3" s="8" t="inlineStr">
        <is>
          <t>2026-07-21</t>
        </is>
      </c>
      <c r="D3" s="8" t="n">
        <v>1</v>
      </c>
      <c r="E3" s="9" t="n">
        <v>1266.4</v>
      </c>
      <c r="F3" s="9" t="n">
        <v>1268.099975585938</v>
      </c>
      <c r="G3" s="9">
        <f>E3-F3</f>
        <v/>
      </c>
      <c r="H3" s="9" t="n">
        <v>1369.684246737149</v>
      </c>
      <c r="I3" s="9" t="n">
        <v>1217.307840010332</v>
      </c>
      <c r="J3" s="8" t="inlineStr">
        <is>
          <t>1:2.1</t>
        </is>
      </c>
      <c r="K3" s="8" t="inlineStr">
        <is>
          <t>2026-07-21</t>
        </is>
      </c>
      <c r="L3" s="9" t="n">
        <v>1267.1</v>
      </c>
      <c r="M3" s="9">
        <f>IF(OR(N3="WIN", N3="LOSS"), (L3-E3)*D3, 0)</f>
        <v/>
      </c>
      <c r="N3" s="8" t="inlineStr">
        <is>
          <t>WIN</t>
        </is>
      </c>
      <c r="O3" s="8" t="inlineStr">
        <is>
          <t>Auto-synced from Zerodha account | Auto-synced sell from Zerodha account</t>
        </is>
      </c>
      <c r="P3" s="3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TECHM</t>
        </is>
      </c>
      <c r="B4" s="8" t="inlineStr">
        <is>
          <t>TECHM</t>
        </is>
      </c>
      <c r="C4" s="8" t="inlineStr">
        <is>
          <t>2026-07-21</t>
        </is>
      </c>
      <c r="D4" s="8" t="n">
        <v>1</v>
      </c>
      <c r="E4" s="9" t="n">
        <v>1589.1</v>
      </c>
      <c r="F4" s="9" t="n">
        <v>1582.699951171875</v>
      </c>
      <c r="G4" s="9">
        <f>E4-F4</f>
        <v/>
      </c>
      <c r="H4" s="9" t="n">
        <v>1785.968673647753</v>
      </c>
      <c r="I4" s="9" t="n">
        <v>1481.065589933936</v>
      </c>
      <c r="J4" s="8" t="inlineStr">
        <is>
          <t>1:1.8</t>
        </is>
      </c>
      <c r="K4" s="8" t="inlineStr">
        <is>
          <t>2026-07-21</t>
        </is>
      </c>
      <c r="L4" s="9" t="n">
        <v>1575</v>
      </c>
      <c r="M4" s="9">
        <f>IF(OR(N4="WIN", N4="LOSS"), (L4-E4)*D4, 0)</f>
        <v/>
      </c>
      <c r="N4" s="8" t="inlineStr">
        <is>
          <t>LOSS</t>
        </is>
      </c>
      <c r="O4" s="8" t="inlineStr">
        <is>
          <t>Auto-synced from Zerodha account | Auto-synced sell from Zerodha account</t>
        </is>
      </c>
      <c r="P4" s="3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SONACOMS</t>
        </is>
      </c>
      <c r="B5" s="8" t="inlineStr">
        <is>
          <t>SONACOMS</t>
        </is>
      </c>
      <c r="C5" s="8" t="inlineStr">
        <is>
          <t>2026-07-22</t>
        </is>
      </c>
      <c r="D5" s="8" t="n">
        <v>2</v>
      </c>
      <c r="E5" s="9" t="n">
        <v>734.7</v>
      </c>
      <c r="F5" s="9" t="n">
        <v>730.4500122070312</v>
      </c>
      <c r="G5" s="9">
        <f>E5-F5</f>
        <v/>
      </c>
      <c r="H5" s="9" t="n">
        <v>800.5786220005581</v>
      </c>
      <c r="I5" s="9" t="n">
        <v>695.3857073102679</v>
      </c>
      <c r="J5" s="8" t="inlineStr">
        <is>
          <t>1:1.7</t>
        </is>
      </c>
      <c r="K5" s="3" t="n"/>
      <c r="L5" s="3" t="n"/>
      <c r="M5" s="9">
        <f>IF(OR(N5="WIN", N5="LOSS"), (L5-E5)*D5, 0)</f>
        <v/>
      </c>
      <c r="N5" s="8" t="inlineStr">
        <is>
          <t>OPEN</t>
        </is>
      </c>
      <c r="O5" s="8" t="inlineStr">
        <is>
          <t>Auto-synced from Zerodha account | [2026-07-28] State 4 (Cash Only): Hold position, maintain pre-set stop-loss, do not average down.</t>
        </is>
      </c>
      <c r="P5" s="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NESTLEIND</t>
        </is>
      </c>
      <c r="B10" s="3" t="inlineStr">
        <is>
          <t>NESTLEIND</t>
        </is>
      </c>
      <c r="C10" s="3" t="inlineStr">
        <is>
          <t>2026-08-04</t>
        </is>
      </c>
      <c r="D10" s="3" t="n">
        <v>1</v>
      </c>
      <c r="E10" s="9" t="n">
        <v>1530</v>
      </c>
      <c r="F10" s="9" t="n">
        <v>1530</v>
      </c>
      <c r="G10" s="9" t="n">
        <v>0</v>
      </c>
      <c r="H10" s="9" t="n">
        <v>1549.77</v>
      </c>
      <c r="I10" s="9" t="n">
        <v>1520.11</v>
      </c>
      <c r="J10" s="3" t="inlineStr">
        <is>
          <t>1:2.0</t>
        </is>
      </c>
      <c r="K10" s="3" t="inlineStr"/>
      <c r="L10" s="3" t="inlineStr"/>
      <c r="M10" s="9">
        <f>IF(OR(N10="WIN", N10="LOSS"), (L10-E10)*D10, 0)</f>
        <v/>
      </c>
      <c r="N10" s="3" t="inlineStr">
        <is>
          <t>OPEN</t>
        </is>
      </c>
      <c r="O10" s="3" t="inlineStr">
        <is>
          <t>Intraday AMO placement. GTT Trigger: UNKNOWN</t>
        </is>
      </c>
      <c r="P10" s="3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PIDILITIND</t>
        </is>
      </c>
      <c r="B11" s="3" t="inlineStr">
        <is>
          <t>PIDILITIND</t>
        </is>
      </c>
      <c r="C11" s="3" t="inlineStr">
        <is>
          <t>2026-08-04</t>
        </is>
      </c>
      <c r="D11" s="3" t="n">
        <v>1</v>
      </c>
      <c r="E11" s="9" t="n">
        <v>1642.5</v>
      </c>
      <c r="F11" s="9" t="n">
        <v>1642.5</v>
      </c>
      <c r="G11" s="9" t="n">
        <v>0</v>
      </c>
      <c r="H11" s="9" t="n">
        <v>1658.5</v>
      </c>
      <c r="I11" s="9" t="n">
        <v>1634.5</v>
      </c>
      <c r="J11" s="3" t="inlineStr">
        <is>
          <t>1:2.0</t>
        </is>
      </c>
      <c r="K11" s="3" t="inlineStr"/>
      <c r="L11" s="3" t="inlineStr"/>
      <c r="M11" s="9">
        <f>IF(OR(N11="WIN", N11="LOSS"), (L11-E11)*D11, 0)</f>
        <v/>
      </c>
      <c r="N11" s="3" t="inlineStr">
        <is>
          <t>OPEN</t>
        </is>
      </c>
      <c r="O11" s="3" t="inlineStr">
        <is>
          <t>Intraday placement. GTT Trigger: 330204926</t>
        </is>
      </c>
      <c r="P11" s="3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2026-08-04T00:22:16Z</dcterms:modified>
</cp:coreProperties>
</file>