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edger" sheetId="2" state="visible" r:id="rId2"/>
    <sheet name="Recommendations" sheetId="3" state="visible" r:id="rId3"/>
    <sheet name="Capital" sheetId="4" state="visible" r:id="rId4"/>
    <sheet name="Lo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5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2B6CB0"/>
        <bgColor rgb="002B6CB0"/>
      </patternFill>
    </fill>
    <fill>
      <patternFill patternType="solid">
        <fgColor rgb="004A5568"/>
        <bgColor rgb="004A556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HSTS v1.0 Trading Dashboard</t>
        </is>
      </c>
    </row>
    <row r="3" ht="24" customHeight="1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Invested Capital</t>
        </is>
      </c>
      <c r="B4" s="4">
        <f>SUMIF(Capital!B:B, "DEPOSIT", Capital!C:C) - SUMIF(Capital!B:B, "WITHDRAWAL", Capital!C:C)</f>
        <v/>
      </c>
    </row>
    <row r="5">
      <c r="A5" s="3" t="inlineStr">
        <is>
          <t>Lifetime PnL</t>
        </is>
      </c>
      <c r="B5" s="4">
        <f>SUM(Ledger!M:M)</f>
        <v/>
      </c>
    </row>
    <row r="6">
      <c r="A6" s="3" t="inlineStr">
        <is>
          <t>Current Account Balance</t>
        </is>
      </c>
      <c r="B6" s="4">
        <f>B4 + B5</f>
        <v/>
      </c>
    </row>
    <row r="7">
      <c r="A7" s="3" t="inlineStr">
        <is>
          <t>Win Rate</t>
        </is>
      </c>
      <c r="B7" s="5">
        <f>IF((COUNTIF(Ledger!N:N, "WIN")+COUNTIF(Ledger!N:N, "LOSS"))&gt;0, COUNTIF(Ledger!N:N, "WIN")/(COUNTIF(Ledger!N:N, "WIN")+COUNTIF(Ledger!N:N, "LOSS")), 0)</f>
        <v/>
      </c>
    </row>
    <row r="8">
      <c r="A8" s="3" t="inlineStr">
        <is>
          <t>Total Completed Trades</t>
        </is>
      </c>
      <c r="B8" s="6">
        <f>COUNTIF(Ledger!N:N, "WIN") + COUNTIF(Ledger!N:N, "LOSS")</f>
        <v/>
      </c>
    </row>
    <row r="9">
      <c r="A9" s="3" t="inlineStr">
        <is>
          <t>Active Open Positions</t>
        </is>
      </c>
      <c r="B9" s="6">
        <f>COUNTIF(Ledger!N:N, "OPEN")</f>
        <v/>
      </c>
    </row>
    <row r="10">
      <c r="A10" s="3" t="inlineStr">
        <is>
          <t>Win Trades</t>
        </is>
      </c>
      <c r="B10" s="6">
        <f>COUNTIF(Ledger!N:N, "WIN")</f>
        <v/>
      </c>
    </row>
    <row r="11">
      <c r="A11" s="3" t="inlineStr">
        <is>
          <t>Loss Trades</t>
        </is>
      </c>
      <c r="B11" s="6">
        <f>COUNTIF(Ledger!N:N, "LOSS")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2" customWidth="1" min="10" max="10"/>
    <col width="16" customWidth="1" min="11" max="11"/>
    <col width="16" customWidth="1" min="12" max="12"/>
    <col width="16" customWidth="1" min="13" max="13"/>
    <col width="16" customWidth="1" min="14" max="14"/>
    <col width="30" customWidth="1" min="15" max="15"/>
  </cols>
  <sheetData>
    <row r="1" ht="28" customHeight="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t="inlineStr">
        <is>
          <t>SUNPHARMA</t>
        </is>
      </c>
      <c r="B2" t="inlineStr">
        <is>
          <t>SUNPHARMA</t>
        </is>
      </c>
      <c r="C2" t="inlineStr">
        <is>
          <t>2026-07-21</t>
        </is>
      </c>
      <c r="D2" t="n">
        <v>1</v>
      </c>
      <c r="E2" s="9" t="n">
        <v>1951</v>
      </c>
      <c r="F2" s="9" t="n">
        <v>1963.199951171875</v>
      </c>
      <c r="G2" s="9" t="n">
        <v>-12.199951171875</v>
      </c>
      <c r="H2" s="9" t="n">
        <v>2091.543361767483</v>
      </c>
      <c r="I2" s="9" t="n">
        <v>1899.028245874071</v>
      </c>
      <c r="J2" t="inlineStr">
        <is>
          <t>1:2.7</t>
        </is>
      </c>
      <c r="M2" s="9">
        <f>IF(N2="OPEN", 0, (L2-E2)*D2)</f>
        <v/>
      </c>
      <c r="N2" t="inlineStr">
        <is>
          <t>OPEN</t>
        </is>
      </c>
      <c r="O2" t="inlineStr">
        <is>
          <t>Auto-synced from Zerodha account</t>
        </is>
      </c>
    </row>
    <row r="3">
      <c r="A3" t="inlineStr">
        <is>
          <t>JSWSTEEL</t>
        </is>
      </c>
      <c r="B3" t="inlineStr">
        <is>
          <t>JSWSTEEL</t>
        </is>
      </c>
      <c r="C3" t="inlineStr">
        <is>
          <t>2026-07-21</t>
        </is>
      </c>
      <c r="D3" t="n">
        <v>1</v>
      </c>
      <c r="E3" s="9" t="n">
        <v>1266.4</v>
      </c>
      <c r="F3" s="9" t="n">
        <v>1268.099975585938</v>
      </c>
      <c r="G3" s="9" t="n">
        <v>-1.699975585937409</v>
      </c>
      <c r="H3" s="9" t="n">
        <v>1369.684246737149</v>
      </c>
      <c r="I3" s="9" t="n">
        <v>1217.307840010332</v>
      </c>
      <c r="J3" t="inlineStr">
        <is>
          <t>1:2.1</t>
        </is>
      </c>
      <c r="M3" s="9">
        <f>IF(N3="OPEN", 0, (L3-E3)*D3)</f>
        <v/>
      </c>
      <c r="N3" t="inlineStr">
        <is>
          <t>OPEN</t>
        </is>
      </c>
      <c r="O3" t="inlineStr">
        <is>
          <t>Auto-synced from Zerodha account</t>
        </is>
      </c>
    </row>
    <row r="4">
      <c r="A4" t="inlineStr">
        <is>
          <t>TECHM</t>
        </is>
      </c>
      <c r="B4" t="inlineStr">
        <is>
          <t>TECHM</t>
        </is>
      </c>
      <c r="C4" t="inlineStr">
        <is>
          <t>2026-07-21</t>
        </is>
      </c>
      <c r="D4" t="n">
        <v>1</v>
      </c>
      <c r="E4" s="9" t="n">
        <v>1589.1</v>
      </c>
      <c r="F4" s="9" t="n">
        <v>1582.699951171875</v>
      </c>
      <c r="G4" s="9" t="n">
        <v>6.400048828124909</v>
      </c>
      <c r="H4" s="9" t="n">
        <v>1785.968673647753</v>
      </c>
      <c r="I4" s="9" t="n">
        <v>1481.065589933936</v>
      </c>
      <c r="J4" t="inlineStr">
        <is>
          <t>1:1.8</t>
        </is>
      </c>
      <c r="M4" s="9">
        <f>IF(N4="OPEN", 0, (L4-E4)*D4)</f>
        <v/>
      </c>
      <c r="N4" t="inlineStr">
        <is>
          <t>OPEN</t>
        </is>
      </c>
      <c r="O4" t="inlineStr">
        <is>
          <t>Auto-synced from Zerodha account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5" customWidth="1" min="3" max="3"/>
    <col width="18" customWidth="1" min="4" max="4"/>
    <col width="18" customWidth="1" min="5" max="5"/>
    <col width="18" customWidth="1" min="6" max="6"/>
    <col width="18" customWidth="1" min="7" max="7"/>
    <col width="22" customWidth="1" min="8" max="8"/>
    <col width="18" customWidth="1" min="9" max="9"/>
    <col width="22" customWidth="1" min="10" max="10"/>
    <col width="24" customWidth="1" min="11" max="11"/>
    <col width="30" customWidth="1" min="12" max="12"/>
  </cols>
  <sheetData>
    <row r="1" ht="28" customHeight="1">
      <c r="A1" s="7" t="inlineStr">
        <is>
          <t>Date</t>
        </is>
      </c>
      <c r="B1" s="7" t="inlineStr">
        <is>
          <t>Symbol</t>
        </is>
      </c>
      <c r="C1" s="7" t="inlineStr">
        <is>
          <t>Name</t>
        </is>
      </c>
      <c r="D1" s="7" t="inlineStr">
        <is>
          <t>Composite Score</t>
        </is>
      </c>
      <c r="E1" s="7" t="inlineStr">
        <is>
          <t>Target Entry Price</t>
        </is>
      </c>
      <c r="F1" s="7" t="inlineStr">
        <is>
          <t>Initial Stop-Loss</t>
        </is>
      </c>
      <c r="G1" s="7" t="inlineStr">
        <is>
          <t>Profit Target</t>
        </is>
      </c>
      <c r="H1" s="7" t="inlineStr">
        <is>
          <t>Risk-to-Reward Ratio</t>
        </is>
      </c>
      <c r="I1" s="7" t="inlineStr">
        <is>
          <t>Recommended Qty</t>
        </is>
      </c>
      <c r="J1" s="7" t="inlineStr">
        <is>
          <t>Recommended Allocation</t>
        </is>
      </c>
      <c r="K1" s="7" t="inlineStr">
        <is>
          <t>Execution Status</t>
        </is>
      </c>
      <c r="L1" s="7" t="inlineStr">
        <is>
          <t>Notes</t>
        </is>
      </c>
    </row>
    <row r="2">
      <c r="A2" t="inlineStr">
        <is>
          <t>2026-07-21</t>
        </is>
      </c>
      <c r="B2" t="inlineStr">
        <is>
          <t>ULTRACEMCO</t>
        </is>
      </c>
      <c r="C2" t="inlineStr">
        <is>
          <t>UltraTech Cement Limited</t>
        </is>
      </c>
      <c r="D2" t="inlineStr">
        <is>
          <t>90/100</t>
        </is>
      </c>
      <c r="E2" s="9" t="n">
        <v>12020</v>
      </c>
      <c r="F2" s="9" t="n">
        <v>11584.42857142857</v>
      </c>
      <c r="G2" s="9" t="n">
        <v>12891.14285714286</v>
      </c>
      <c r="H2" t="inlineStr">
        <is>
          <t>1:2.0</t>
        </is>
      </c>
      <c r="I2" t="n">
        <v>1</v>
      </c>
      <c r="J2" s="9" t="n">
        <v>12020</v>
      </c>
      <c r="K2" t="inlineStr">
        <is>
          <t>SKIPPED_BEARISH_REGIME</t>
        </is>
      </c>
      <c r="L2" t="inlineStr">
        <is>
          <t>Scanned under BEARISH regime</t>
        </is>
      </c>
    </row>
    <row r="3">
      <c r="A3" t="inlineStr">
        <is>
          <t>2026-07-21</t>
        </is>
      </c>
      <c r="B3" t="inlineStr">
        <is>
          <t>HEROMOTOCO</t>
        </is>
      </c>
      <c r="C3" t="inlineStr">
        <is>
          <t>Hero MotoCorp Limited</t>
        </is>
      </c>
      <c r="D3" t="inlineStr">
        <is>
          <t>86/100</t>
        </is>
      </c>
      <c r="E3" s="9" t="n">
        <v>5006.5</v>
      </c>
      <c r="F3" s="9" t="n">
        <v>4833.785784040178</v>
      </c>
      <c r="G3" s="9" t="n">
        <v>5351.928431919643</v>
      </c>
      <c r="H3" t="inlineStr">
        <is>
          <t>1:2.0</t>
        </is>
      </c>
      <c r="I3" t="n">
        <v>3</v>
      </c>
      <c r="J3" s="9" t="n">
        <v>15019.5</v>
      </c>
      <c r="K3" t="inlineStr">
        <is>
          <t>SKIPPED_BEARISH_REGIME</t>
        </is>
      </c>
      <c r="L3" t="inlineStr">
        <is>
          <t>Scanned under BEARISH regime</t>
        </is>
      </c>
    </row>
    <row r="4">
      <c r="A4" t="inlineStr">
        <is>
          <t>2026-07-21</t>
        </is>
      </c>
      <c r="B4" t="inlineStr">
        <is>
          <t>NESTLEIND</t>
        </is>
      </c>
      <c r="C4" t="inlineStr">
        <is>
          <t>Nestle India Limited</t>
        </is>
      </c>
      <c r="D4" t="inlineStr">
        <is>
          <t>85/100</t>
        </is>
      </c>
      <c r="E4" s="9" t="n">
        <v>1453.099975585938</v>
      </c>
      <c r="F4" s="9" t="n">
        <v>1395.730625557615</v>
      </c>
      <c r="G4" s="9" t="n">
        <v>1567.838675642582</v>
      </c>
      <c r="H4" t="inlineStr">
        <is>
          <t>1:2.0</t>
        </is>
      </c>
      <c r="I4" t="n">
        <v>13</v>
      </c>
      <c r="J4" s="9" t="n">
        <v>18890.29968261719</v>
      </c>
      <c r="K4" t="inlineStr">
        <is>
          <t>SKIPPED_BEARISH_REGIME</t>
        </is>
      </c>
      <c r="L4" t="inlineStr">
        <is>
          <t>Scanned under BEARISH regime</t>
        </is>
      </c>
    </row>
    <row r="5">
      <c r="A5" t="inlineStr">
        <is>
          <t>2026-07-21</t>
        </is>
      </c>
      <c r="B5" t="inlineStr">
        <is>
          <t>JSWSTEEL</t>
        </is>
      </c>
      <c r="C5" t="inlineStr">
        <is>
          <t>JSW Steel Limited</t>
        </is>
      </c>
      <c r="D5" t="inlineStr">
        <is>
          <t>82/100</t>
        </is>
      </c>
      <c r="E5" s="9" t="n">
        <v>1268.099975585938</v>
      </c>
      <c r="F5" s="9" t="n">
        <v>1217.307840010332</v>
      </c>
      <c r="G5" s="9" t="n">
        <v>1369.684246737149</v>
      </c>
      <c r="H5" t="inlineStr">
        <is>
          <t>1:2.0</t>
        </is>
      </c>
      <c r="I5" t="n">
        <v>15</v>
      </c>
      <c r="J5" s="9" t="n">
        <v>19021.49963378906</v>
      </c>
      <c r="K5" t="inlineStr">
        <is>
          <t>SKIPPED_BEARISH_REGIME</t>
        </is>
      </c>
      <c r="L5" t="inlineStr">
        <is>
          <t>Scanned under BEARISH regime</t>
        </is>
      </c>
    </row>
    <row r="6">
      <c r="A6" t="inlineStr">
        <is>
          <t>2026-07-21</t>
        </is>
      </c>
      <c r="B6" t="inlineStr">
        <is>
          <t>SUNPHARMA</t>
        </is>
      </c>
      <c r="C6" t="inlineStr">
        <is>
          <t>Sun Pharmaceutical Industries Limited</t>
        </is>
      </c>
      <c r="D6" t="inlineStr">
        <is>
          <t>81/100</t>
        </is>
      </c>
      <c r="E6" s="9" t="n">
        <v>1963.699951171875</v>
      </c>
      <c r="F6" s="9" t="n">
        <v>1899.528245874071</v>
      </c>
      <c r="G6" s="9" t="n">
        <v>2092.043361767483</v>
      </c>
      <c r="H6" t="inlineStr">
        <is>
          <t>1:2.0</t>
        </is>
      </c>
      <c r="I6" t="n">
        <v>10</v>
      </c>
      <c r="J6" s="9" t="n">
        <v>19636.99951171875</v>
      </c>
      <c r="K6" t="inlineStr">
        <is>
          <t>SKIPPED_BEARISH_REGIME</t>
        </is>
      </c>
      <c r="L6" t="inlineStr">
        <is>
          <t>Scanned under BEARISH regime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0" customWidth="1" min="4" max="4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80" customWidth="1" min="3" max="3"/>
  </cols>
  <sheetData>
    <row r="1">
      <c r="A1" s="8" t="inlineStr">
        <is>
          <t>Timestamp</t>
        </is>
      </c>
      <c r="B1" s="8" t="inlineStr">
        <is>
          <t>Level</t>
        </is>
      </c>
      <c r="C1" s="8" t="inlineStr">
        <is>
          <t>Message</t>
        </is>
      </c>
    </row>
    <row r="2">
      <c r="A2" t="inlineStr">
        <is>
          <t>2026-07-21 12:48:41</t>
        </is>
      </c>
      <c r="B2" t="inlineStr">
        <is>
          <t>INFO</t>
        </is>
      </c>
      <c r="C2" t="inlineStr">
        <is>
          <t>Recorded buy order: 1 shares of SUNPHARMA at 1951</t>
        </is>
      </c>
    </row>
    <row r="3">
      <c r="A3" t="inlineStr">
        <is>
          <t>2026-07-21 12:48:42</t>
        </is>
      </c>
      <c r="B3" t="inlineStr">
        <is>
          <t>INFO</t>
        </is>
      </c>
      <c r="C3" t="inlineStr">
        <is>
          <t>Recorded buy order: 1 shares of JSWSTEEL at 1266.4</t>
        </is>
      </c>
    </row>
    <row r="4">
      <c r="A4" t="inlineStr">
        <is>
          <t>2026-07-21 12:48:42</t>
        </is>
      </c>
      <c r="B4" t="inlineStr">
        <is>
          <t>INFO</t>
        </is>
      </c>
      <c r="C4" t="inlineStr">
        <is>
          <t>Recorded buy order: 1 shares of TECHM at 1589.1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2026-07-21T07:19:09Z</dcterms:modified>
</cp:coreProperties>
</file>