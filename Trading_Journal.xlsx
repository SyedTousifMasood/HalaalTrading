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C00000"/>
      <sz val="11"/>
    </font>
    <font>
      <name val="Segoe UI"/>
      <b val="1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5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3" fillId="5" borderId="0" pivotButton="0" quotePrefix="0" xfId="0"/>
    <xf numFmtId="164" fontId="3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5" borderId="0" pivotButton="0" quotePrefix="0" xfId="0"/>
    <xf numFmtId="165" fontId="17" fillId="5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4" fontId="27" fillId="14" borderId="0" applyAlignment="1" pivotButton="0" quotePrefix="0" xfId="0">
      <alignment horizontal="right"/>
    </xf>
    <xf numFmtId="165" fontId="27" fillId="14" borderId="0" applyAlignment="1" pivotButton="0" quotePrefix="0" xfId="0">
      <alignment horizontal="right"/>
    </xf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783756519"/>
        <axId val="135937644"/>
      </lineChart>
      <catAx>
        <axId val="17837565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937644"/>
        <lblOffset val="100"/>
      </catAx>
      <valAx>
        <axId val="13593764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83756519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9474697"/>
        <axId val="794166482"/>
      </lineChart>
      <catAx>
        <axId val="73947469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4166482"/>
        <lblOffset val="100"/>
      </catAx>
      <valAx>
        <axId val="7941664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9474697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06294971"/>
        <axId val="388723962"/>
      </lineChart>
      <catAx>
        <axId val="19062949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8723962"/>
        <lblOffset val="100"/>
      </catAx>
      <valAx>
        <axId val="38872396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629497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3574585"/>
        <axId val="1618306906"/>
      </lineChart>
      <catAx>
        <axId val="11635745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8306906"/>
        <lblOffset val="100"/>
      </catAx>
      <valAx>
        <axId val="161830690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357458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45254730"/>
        <axId val="1261961694"/>
      </lineChart>
      <catAx>
        <axId val="18452547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61961694"/>
        <lblOffset val="100"/>
      </catAx>
      <valAx>
        <axId val="12619616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525473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597168453"/>
        <axId val="1576260204"/>
      </lineChart>
      <catAx>
        <axId val="159716845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6260204"/>
        <lblOffset val="100"/>
      </catAx>
      <valAx>
        <axId val="157626020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716845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2680535"/>
        <axId val="1463353"/>
      </lineChart>
      <catAx>
        <axId val="14268053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63353"/>
        <lblOffset val="100"/>
      </catAx>
      <valAx>
        <axId val="146335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2680535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14221173"/>
        <axId val="1014356328"/>
      </lineChart>
      <catAx>
        <axId val="91422117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14356328"/>
        <lblOffset val="100"/>
      </catAx>
      <valAx>
        <axId val="101435632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4221173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518164630"/>
        <axId val="476393587"/>
      </lineChart>
      <catAx>
        <axId val="5181646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76393587"/>
        <lblOffset val="100"/>
      </catAx>
      <valAx>
        <axId val="47639358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816463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83323591"/>
        <axId val="1581200286"/>
      </lineChart>
      <catAx>
        <axId val="683323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1200286"/>
        <lblOffset val="100"/>
      </catAx>
      <valAx>
        <axId val="15812002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3323591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380402747"/>
        <axId val="1717540022"/>
      </lineChart>
      <catAx>
        <axId val="38040274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7540022"/>
        <lblOffset val="100"/>
      </catAx>
      <valAx>
        <axId val="17175400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0402747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5949098"/>
        <axId val="677815509"/>
      </lineChart>
      <catAx>
        <axId val="459490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77815509"/>
        <lblOffset val="100"/>
      </catAx>
      <valAx>
        <axId val="6778155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5949098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5656933"/>
        <axId val="1801933454"/>
      </lineChart>
      <catAx>
        <axId val="2565693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1933454"/>
        <lblOffset val="100"/>
      </catAx>
      <valAx>
        <axId val="18019334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5656933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95497244"/>
        <axId val="399854999"/>
      </lineChart>
      <catAx>
        <axId val="895497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9854999"/>
        <lblOffset val="100"/>
      </catAx>
      <valAx>
        <axId val="3998549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5497244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10356198"/>
        <axId val="1986930209"/>
      </lineChart>
      <catAx>
        <axId val="6103561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86930209"/>
        <lblOffset val="100"/>
      </catAx>
      <valAx>
        <axId val="19869302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0356198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803991615"/>
        <axId val="747099666"/>
      </lineChart>
      <catAx>
        <axId val="18039916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47099666"/>
        <lblOffset val="100"/>
      </catAx>
      <valAx>
        <axId val="74709966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3991615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899544916"/>
        <axId val="1432141938"/>
      </lineChart>
      <catAx>
        <axId val="89954491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32141938"/>
        <lblOffset val="100"/>
      </catAx>
      <valAx>
        <axId val="143214193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9544916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767874587"/>
        <axId val="268220273"/>
      </lineChart>
      <catAx>
        <axId val="176787458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68220273"/>
        <lblOffset val="100"/>
      </catAx>
      <valAx>
        <axId val="26822027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7874587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38909039"/>
        <axId val="213611360"/>
      </lineChart>
      <catAx>
        <axId val="12389090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611360"/>
        <lblOffset val="100"/>
      </catAx>
      <valAx>
        <axId val="2136113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3890903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13665655"/>
        <axId val="635738237"/>
      </lineChart>
      <catAx>
        <axId val="12136656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35738237"/>
        <lblOffset val="100"/>
      </catAx>
      <valAx>
        <axId val="63573823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3665655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920242840"/>
        <axId val="1049582294"/>
      </lineChart>
      <catAx>
        <axId val="192024284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9582294"/>
        <lblOffset val="100"/>
      </catAx>
      <valAx>
        <axId val="10495822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0242840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7632411"/>
        <axId val="2111569786"/>
      </lineChart>
      <catAx>
        <axId val="776324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11569786"/>
        <lblOffset val="100"/>
      </catAx>
      <valAx>
        <axId val="21115697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7632411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241409881"/>
        <axId val="1806822682"/>
      </lineChart>
      <catAx>
        <axId val="24140988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6822682"/>
        <lblOffset val="100"/>
      </catAx>
      <valAx>
        <axId val="18068226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41409881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26905555"/>
        <axId val="1764400157"/>
      </lineChart>
      <catAx>
        <axId val="13269055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4400157"/>
        <lblOffset val="100"/>
      </catAx>
      <valAx>
        <axId val="17644001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6905555"/>
      </valAx>
    </plotArea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311006507"/>
        <axId val="521266259"/>
      </lineChart>
      <catAx>
        <axId val="31100650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21266259"/>
        <lblOffset val="100"/>
      </catAx>
      <valAx>
        <axId val="52126625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1006507"/>
      </valAx>
    </plotArea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18335210"/>
        <axId val="919617654"/>
      </lineChart>
      <catAx>
        <axId val="7183352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9617654"/>
        <lblOffset val="100"/>
      </catAx>
      <valAx>
        <axId val="9196176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18335210"/>
      </valAx>
    </plotArea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57254757"/>
        <axId val="2007392458"/>
      </lineChart>
      <catAx>
        <axId val="13572547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07392458"/>
        <lblOffset val="100"/>
      </catAx>
      <valAx>
        <axId val="200739245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7254757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Relationship Type="http://schemas.openxmlformats.org/officeDocument/2006/relationships/chart" Target="/xl/charts/chart58.xml" Id="rId58"/><Relationship Type="http://schemas.openxmlformats.org/officeDocument/2006/relationships/chart" Target="/xl/charts/chart59.xml" Id="rId59"/></Relationships>
</file>

<file path=xl/drawings/drawing1.xml><?xml version="1.0" encoding="utf-8"?>
<wsDr xmlns="http://schemas.openxmlformats.org/drawingml/2006/spreadsheetDrawing">
  <oneCellAnchor>
    <from>
      <col>4</col>
      <colOff>581025</colOff>
      <row>15</row>
      <rowOff>47625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11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11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11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11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11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11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11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11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11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11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11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11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11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11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11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11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11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11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11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11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11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11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11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11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2026-08-18 08:42:34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840</v>
      </c>
      <c r="H4" s="89">
        <f>E4*G4</f>
        <v/>
      </c>
      <c r="I4" s="94">
        <f>H4-(E4*F4)</f>
        <v/>
      </c>
      <c r="J4" s="95">
        <f>IF(F4&gt;0, I4/(E4*F4), 0)</f>
        <v/>
      </c>
      <c r="K4" s="92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5" t="n"/>
      <c r="D5" s="87" t="inlineStr">
        <is>
          <t>MRPL</t>
        </is>
      </c>
      <c r="E5" s="88" t="n">
        <v>10</v>
      </c>
      <c r="F5" s="89" t="n">
        <v>174.7</v>
      </c>
      <c r="G5" s="89" t="n">
        <v>177.1499938964844</v>
      </c>
      <c r="H5" s="89">
        <f>E5*G5</f>
        <v/>
      </c>
      <c r="I5" s="94">
        <f>H5-(E5*F5)</f>
        <v/>
      </c>
      <c r="J5" s="95">
        <f>IF(F5&gt;0, I5/(E5*F5), 0)</f>
        <v/>
      </c>
      <c r="K5" s="92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93">
        <f>SUM(Ledger!M:M)</f>
        <v/>
      </c>
      <c r="C6" s="85" t="n"/>
      <c r="D6" s="87" t="inlineStr">
        <is>
          <t>LENSKART</t>
        </is>
      </c>
      <c r="E6" s="88" t="n">
        <v>4</v>
      </c>
      <c r="F6" s="89" t="n">
        <v>605</v>
      </c>
      <c r="G6" s="89" t="n">
        <v>607.5999755859375</v>
      </c>
      <c r="H6" s="89">
        <f>E6*G6</f>
        <v/>
      </c>
      <c r="I6" s="94">
        <f>H6-(E6*F6)</f>
        <v/>
      </c>
      <c r="J6" s="95">
        <f>IF(F6&gt;0, I6/(E6*F6), 0)</f>
        <v/>
      </c>
      <c r="K6" s="92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96">
        <f>B6/B5</f>
        <v/>
      </c>
      <c r="C7" s="85" t="n"/>
      <c r="D7" s="87" t="inlineStr">
        <is>
          <t>OIL</t>
        </is>
      </c>
      <c r="E7" s="88" t="n">
        <v>4</v>
      </c>
      <c r="F7" s="89" t="n">
        <v>473</v>
      </c>
      <c r="G7" s="89" t="n">
        <v>474.6499938964844</v>
      </c>
      <c r="H7" s="89">
        <f>E7*G7</f>
        <v/>
      </c>
      <c r="I7" s="94">
        <f>H7-(E7*F7)</f>
        <v/>
      </c>
      <c r="J7" s="95">
        <f>IF(F7&gt;0, I7/(E7*F7), 0)</f>
        <v/>
      </c>
      <c r="K7" s="92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5" t="n"/>
      <c r="D8" s="87" t="inlineStr">
        <is>
          <t>JAIBALAJI</t>
        </is>
      </c>
      <c r="E8" s="88" t="n">
        <v>8</v>
      </c>
      <c r="F8" s="89" t="n">
        <v>68.87</v>
      </c>
      <c r="G8" s="89" t="n">
        <v>69.95999908447266</v>
      </c>
      <c r="H8" s="89">
        <f>E8*G8</f>
        <v/>
      </c>
      <c r="I8" s="94">
        <f>H8-(E8*F8)</f>
        <v/>
      </c>
      <c r="J8" s="95">
        <f>IF(F8&gt;0, I8/(E8*F8), 0)</f>
        <v/>
      </c>
      <c r="K8" s="92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5" t="n"/>
      <c r="D9" s="87" t="inlineStr">
        <is>
          <t>IOLCP</t>
        </is>
      </c>
      <c r="E9" s="88" t="n">
        <v>10</v>
      </c>
      <c r="F9" s="89" t="n">
        <v>166.02</v>
      </c>
      <c r="G9" s="89" t="n">
        <v>161.2799987792969</v>
      </c>
      <c r="H9" s="89">
        <f>E9*G9</f>
        <v/>
      </c>
      <c r="I9" s="90">
        <f>H9-(E9*F9)</f>
        <v/>
      </c>
      <c r="J9" s="91">
        <f>IF(F9&gt;0, I9/(E9*F9), 0)</f>
        <v/>
      </c>
      <c r="K9" s="92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BHARATSE</t>
        </is>
      </c>
      <c r="E10" s="88" t="n">
        <v>6</v>
      </c>
      <c r="F10" s="89" t="n">
        <v>245.25</v>
      </c>
      <c r="G10" s="89" t="n">
        <v>238.4400024414062</v>
      </c>
      <c r="H10" s="89">
        <f>E10*G10</f>
        <v/>
      </c>
      <c r="I10" s="90">
        <f>H10-(E10*F10)</f>
        <v/>
      </c>
      <c r="J10" s="91">
        <f>IF(F10&gt;0, I10/(E10*F10), 0)</f>
        <v/>
      </c>
      <c r="K10" s="92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SUMPRODUCT((Ledger!N2:N500="OPEN")*(Ledger!E2:E500)*(Ledger!D2:D500))</f>
        <v/>
      </c>
      <c r="C11" s="85" t="n"/>
      <c r="D11" s="87" t="inlineStr">
        <is>
          <t>HAPPSTMNDS</t>
        </is>
      </c>
      <c r="E11" s="88" t="n">
        <v>3</v>
      </c>
      <c r="F11" s="89" t="n">
        <v>426.8</v>
      </c>
      <c r="G11" s="89" t="n">
        <v>426.7999877929688</v>
      </c>
      <c r="H11" s="89">
        <f>E11*G11</f>
        <v/>
      </c>
      <c r="I11" s="90">
        <f>H11-(E11*F11)</f>
        <v/>
      </c>
      <c r="J11" s="91">
        <f>IF(F11&gt;0, I11/(E11*F11), 0)</f>
        <v/>
      </c>
      <c r="K11" s="92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93" t="n">
        <v>17066.6697101593</v>
      </c>
      <c r="C12" s="85" t="n"/>
      <c r="D12" s="87" t="inlineStr">
        <is>
          <t>ZEEMEDIA</t>
        </is>
      </c>
      <c r="E12" s="88" t="n">
        <v>150</v>
      </c>
      <c r="F12" s="89" t="n">
        <v>9.699999999999999</v>
      </c>
      <c r="G12" s="89" t="n">
        <v>9.699999809265137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 t="n">
        <v>2534.6</v>
      </c>
      <c r="C13" s="85" t="n"/>
      <c r="D13" s="87" t="inlineStr">
        <is>
          <t>APEX</t>
        </is>
      </c>
      <c r="E13" s="88" t="n">
        <v>3</v>
      </c>
      <c r="F13" s="89" t="n">
        <v>422.55</v>
      </c>
      <c r="G13" s="89" t="n">
        <v>422.5499877929688</v>
      </c>
      <c r="H13" s="89">
        <f>E13*G13</f>
        <v/>
      </c>
      <c r="I13" s="90">
        <f>H13-(E13*F13)</f>
        <v/>
      </c>
      <c r="J13" s="91">
        <f>IF(F13&gt;0, I13/(E13*F13), 0)</f>
        <v/>
      </c>
      <c r="K13" s="92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5" t="n"/>
      <c r="D14" s="97" t="inlineStr">
        <is>
          <t>Total Portfolio</t>
        </is>
      </c>
      <c r="E14" s="98" t="inlineStr"/>
      <c r="F14" s="99" t="inlineStr"/>
      <c r="G14" s="99" t="inlineStr"/>
      <c r="H14" s="100">
        <f>SUM(H4:H13)</f>
        <v/>
      </c>
      <c r="I14" s="100">
        <f>SUM(I4:I13)</f>
        <v/>
      </c>
      <c r="J14" s="101">
        <f>IF((H14-I14)&gt;0, I14/(H14-I14), 0)</f>
        <v/>
      </c>
      <c r="K14" s="101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5" t="n"/>
      <c r="D15" s="102" t="n"/>
      <c r="E15" s="85" t="n"/>
      <c r="F15" s="85" t="n"/>
      <c r="G15" s="85" t="n"/>
      <c r="H15" s="104" t="n"/>
      <c r="I15" s="104" t="n"/>
      <c r="J15" s="105" t="n"/>
      <c r="K15" s="46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4.875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2.461538461538462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6.571428571428571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0.06368252232110337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-0.03594414797372594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1414.8928125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6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5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 t="n">
        <v>-12.199951171875</v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 t="n">
        <v>-1.699975585937864</v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 t="n">
        <v>6.400048828124909</v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 t="n">
        <v>4.249987792968795</v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1" t="inlineStr">
        <is>
          <t>JSWSTEEL</t>
        </is>
      </c>
      <c r="B6" s="81" t="inlineStr">
        <is>
          <t>JSW Steel Limited</t>
        </is>
      </c>
      <c r="C6" s="82" t="inlineStr">
        <is>
          <t>2026-07-22</t>
        </is>
      </c>
      <c r="D6" s="83" t="n">
        <v>1</v>
      </c>
      <c r="E6" s="84" t="n">
        <v>1265.1</v>
      </c>
      <c r="F6" s="84" t="n">
        <v>1265.1</v>
      </c>
      <c r="G6" s="84" t="n">
        <v>0</v>
      </c>
      <c r="H6" s="84" t="n">
        <v>1368.16</v>
      </c>
      <c r="I6" s="84" t="n">
        <v>1217.31</v>
      </c>
      <c r="J6" s="82" t="inlineStr">
        <is>
          <t>1:2.1</t>
        </is>
      </c>
      <c r="K6" s="83" t="inlineStr">
        <is>
          <t>2026-08-13</t>
        </is>
      </c>
      <c r="L6" s="84" t="n">
        <v>1269.1</v>
      </c>
      <c r="M6" s="84">
        <f>IF(OR(N6="WIN", N6="LOSS"), (L6-E6)*D6, 0)</f>
        <v/>
      </c>
      <c r="N6" s="82" t="inlineStr">
        <is>
          <t>WIN</t>
        </is>
      </c>
      <c r="O6" s="81" t="inlineStr">
        <is>
          <t>Auto-synced from Zerodha account | [2026-07-28] State 4 (Cash Only): Hold position, maintain pre-set stop-loss, do not average down. | Auto-synced sell from Zerodha account</t>
        </is>
      </c>
      <c r="P6" s="77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7" t="inlineStr">
        <is>
          <t>TECHM</t>
        </is>
      </c>
      <c r="B7" s="77" t="inlineStr">
        <is>
          <t>TECHM</t>
        </is>
      </c>
      <c r="C7" s="77" t="inlineStr">
        <is>
          <t>2026-07-27</t>
        </is>
      </c>
      <c r="D7" s="77" t="n">
        <v>1</v>
      </c>
      <c r="E7" s="76" t="n">
        <v>1579</v>
      </c>
      <c r="F7" s="76" t="n">
        <v>1593.900024414062</v>
      </c>
      <c r="G7" s="76" t="n">
        <v>-14.90002441406205</v>
      </c>
      <c r="H7" s="76" t="n">
        <v>1773.642944335938</v>
      </c>
      <c r="I7" s="76" t="n">
        <v>1504.028564453125</v>
      </c>
      <c r="J7" s="77" t="inlineStr">
        <is>
          <t>1:2.6</t>
        </is>
      </c>
      <c r="K7" s="77" t="inlineStr">
        <is>
          <t>2026-08-13</t>
        </is>
      </c>
      <c r="L7" s="76" t="n">
        <v>1634.7</v>
      </c>
      <c r="M7" s="76">
        <f>IF(OR(N7="WIN", N7="LOSS"), (L7-E7)*D7, 0)</f>
        <v/>
      </c>
      <c r="N7" s="77" t="inlineStr">
        <is>
          <t>WIN</t>
        </is>
      </c>
      <c r="O7" s="77" t="inlineStr">
        <is>
          <t>Auto-synced from Zerodha account | [2026-07-28] State 4 (Cash Only): Hold position, maintain pre-set stop-loss, do not average down. | Auto-synced sell from Zerodha account</t>
        </is>
      </c>
      <c r="P7" s="77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 t="n">
        <v>-2.220000000000027</v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 t="n">
        <v>2.789999999999992</v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80" t="inlineStr">
        <is>
          <t>IFGLEXPOR</t>
        </is>
      </c>
      <c r="B15" s="80" t="inlineStr">
        <is>
          <t>IFGLEXPOR</t>
        </is>
      </c>
      <c r="C15" s="80" t="inlineStr">
        <is>
          <t>2026-08-06</t>
        </is>
      </c>
      <c r="D15" s="80" t="n">
        <v>4</v>
      </c>
      <c r="E15" s="79" t="n">
        <v>219.6</v>
      </c>
      <c r="F15" s="79" t="n">
        <v>219.6</v>
      </c>
      <c r="G15" s="79" t="n">
        <v>0</v>
      </c>
      <c r="H15" s="79" t="n">
        <v>266.25</v>
      </c>
      <c r="I15" s="79" t="n">
        <v>219.6</v>
      </c>
      <c r="J15" s="80" t="inlineStr">
        <is>
          <t>1:2.0</t>
        </is>
      </c>
      <c r="K15" s="80" t="inlineStr">
        <is>
          <t>2026-08-18</t>
        </is>
      </c>
      <c r="L15" s="80" t="n">
        <v>218.97</v>
      </c>
      <c r="M15" s="79">
        <f>IF(OR(N16="WIN", N16="LOSS"), (L16-E16)*D16, 0)</f>
        <v/>
      </c>
      <c r="N15" s="80" t="inlineStr">
        <is>
          <t>LOSS</t>
        </is>
      </c>
      <c r="O15" s="80" t="inlineStr">
        <is>
          <t>Swing AMO placement. GTT Trigger: 330580516</t>
        </is>
      </c>
      <c r="P15" s="80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80" t="inlineStr">
        <is>
          <t>AEROENTER</t>
        </is>
      </c>
      <c r="B17" s="80" t="inlineStr">
        <is>
          <t>AEROENTER</t>
        </is>
      </c>
      <c r="C17" s="80" t="inlineStr">
        <is>
          <t>2026-08-06</t>
        </is>
      </c>
      <c r="D17" s="80" t="n">
        <v>8</v>
      </c>
      <c r="E17" s="79" t="n">
        <v>132.01</v>
      </c>
      <c r="F17" s="79" t="n">
        <v>132.01</v>
      </c>
      <c r="G17" s="79" t="n">
        <v>0</v>
      </c>
      <c r="H17" s="79" t="n">
        <v>159.05</v>
      </c>
      <c r="I17" s="79" t="n">
        <v>118.7</v>
      </c>
      <c r="J17" s="80" t="inlineStr">
        <is>
          <t>1:2.0</t>
        </is>
      </c>
      <c r="K17" s="80" t="inlineStr">
        <is>
          <t>2026-08-18</t>
        </is>
      </c>
      <c r="L17" s="80" t="n">
        <v>125.73</v>
      </c>
      <c r="M17" s="79">
        <f>IF(OR(N18="WIN", N18="LOSS"), (L18-E18)*D18, 0)</f>
        <v/>
      </c>
      <c r="N17" s="80" t="inlineStr">
        <is>
          <t>LOSS</t>
        </is>
      </c>
      <c r="O17" s="80" t="inlineStr">
        <is>
          <t>Swing AMO placement. GTT Trigger: 330580552</t>
        </is>
      </c>
      <c r="P17" s="80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10" t="n">
        <v>806.25</v>
      </c>
      <c r="F22" s="10" t="n">
        <v>802</v>
      </c>
      <c r="G22" s="10" t="n">
        <v>4.25</v>
      </c>
      <c r="H22" s="10" t="n">
        <v>896.2857142857143</v>
      </c>
      <c r="I22" s="10" t="n">
        <v>754.8571428571429</v>
      </c>
      <c r="J22" s="4" t="inlineStr">
        <is>
          <t>1:1.8</t>
        </is>
      </c>
      <c r="K22" s="4" t="n"/>
      <c r="L22" s="4" t="n"/>
      <c r="M22" s="10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MRPL</t>
        </is>
      </c>
      <c r="B23" s="4" t="inlineStr">
        <is>
          <t>MRPL</t>
        </is>
      </c>
      <c r="C23" s="4" t="inlineStr">
        <is>
          <t>2026-08-13</t>
        </is>
      </c>
      <c r="D23" s="4" t="n">
        <v>10</v>
      </c>
      <c r="E23" s="10" t="n">
        <v>174.7</v>
      </c>
      <c r="F23" s="10" t="n">
        <v>181.14</v>
      </c>
      <c r="G23" s="10" t="n">
        <v>-6.439999999999998</v>
      </c>
      <c r="H23" s="10" t="n">
        <v>213.09</v>
      </c>
      <c r="I23" s="10" t="n">
        <v>165.17</v>
      </c>
      <c r="J23" s="4" t="inlineStr">
        <is>
          <t>1:2.0</t>
        </is>
      </c>
      <c r="K23" s="4" t="n"/>
      <c r="L23" s="4" t="n"/>
      <c r="M23" s="10">
        <f>IF(OR(N23="WIN", N23="LOSS"), (L23-E23)*D23, 0)</f>
        <v/>
      </c>
      <c r="N23" s="4" t="inlineStr">
        <is>
          <t>OPEN</t>
        </is>
      </c>
      <c r="O23" s="4" t="inlineStr">
        <is>
          <t>Auto-added SWING via AI recommendation. SL: 165.17, TP: 213.09 (Orders pending 5:30 AM due to Zerodha AMO maintenance).</t>
        </is>
      </c>
      <c r="P23" s="4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LENSKART</t>
        </is>
      </c>
      <c r="B24" s="4" t="inlineStr">
        <is>
          <t>LENSKART</t>
        </is>
      </c>
      <c r="C24" s="4" t="inlineStr">
        <is>
          <t>2026-08-13</t>
        </is>
      </c>
      <c r="D24" s="4" t="n">
        <v>4</v>
      </c>
      <c r="E24" s="10" t="n">
        <v>605</v>
      </c>
      <c r="F24" s="10" t="n">
        <v>589.2</v>
      </c>
      <c r="G24" s="10" t="n">
        <v>15.79999999999995</v>
      </c>
      <c r="H24" s="10" t="n">
        <v>646.8099999999999</v>
      </c>
      <c r="I24" s="10" t="n">
        <v>560.39</v>
      </c>
      <c r="J24" s="4" t="inlineStr">
        <is>
          <t>1:2.0</t>
        </is>
      </c>
      <c r="K24" s="4" t="n"/>
      <c r="L24" s="4" t="n"/>
      <c r="M24" s="10">
        <f>IF(OR(N24="WIN", N24="LOSS"), (L24-E24)*D24, 0)</f>
        <v/>
      </c>
      <c r="N24" s="4" t="inlineStr">
        <is>
          <t>OPEN</t>
        </is>
      </c>
      <c r="O24" s="4" t="inlineStr">
        <is>
          <t>Auto-added SWING via AI recommendation. SL: 560.39, TP: 646.81 (Orders pending 5:30 AM due to Zerodha AMO maintenance).</t>
        </is>
      </c>
      <c r="P24" s="4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10" t="n">
        <v>473</v>
      </c>
      <c r="F25" s="10" t="n">
        <v>470.35</v>
      </c>
      <c r="G25" s="10" t="n">
        <v>2.649999999999977</v>
      </c>
      <c r="H25" s="10" t="n">
        <v>525.25</v>
      </c>
      <c r="I25" s="10" t="n">
        <v>442.9</v>
      </c>
      <c r="J25" s="4" t="inlineStr">
        <is>
          <t>1:2.0</t>
        </is>
      </c>
      <c r="K25" s="4" t="n"/>
      <c r="L25" s="4" t="n"/>
      <c r="M25" s="10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77" t="inlineStr">
        <is>
          <t>AARTIIND</t>
        </is>
      </c>
      <c r="B26" s="77" t="inlineStr">
        <is>
          <t>AARTIIND</t>
        </is>
      </c>
      <c r="C26" s="77" t="inlineStr">
        <is>
          <t>2026-08-13</t>
        </is>
      </c>
      <c r="D26" s="77" t="n">
        <v>4</v>
      </c>
      <c r="E26" s="76" t="n">
        <v>536</v>
      </c>
      <c r="F26" s="76" t="n">
        <v>532.3</v>
      </c>
      <c r="G26" s="76" t="n">
        <v>3.700000000000045</v>
      </c>
      <c r="H26" s="76" t="n">
        <v>562.65</v>
      </c>
      <c r="I26" s="76" t="n">
        <v>517.1</v>
      </c>
      <c r="J26" s="77" t="inlineStr">
        <is>
          <t>1:2.0</t>
        </is>
      </c>
      <c r="K26" s="77" t="inlineStr">
        <is>
          <t>2026-08-14</t>
        </is>
      </c>
      <c r="L26" s="76" t="n">
        <v>539.25</v>
      </c>
      <c r="M26" s="76">
        <f>IF(OR(N26="WIN", N26="LOSS"), (L26-E26)*D26, 0)</f>
        <v/>
      </c>
      <c r="N26" s="77" t="inlineStr">
        <is>
          <t>WIN</t>
        </is>
      </c>
      <c r="O26" s="77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7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80" t="inlineStr">
        <is>
          <t>SCHNEIDER</t>
        </is>
      </c>
      <c r="B27" s="80" t="inlineStr">
        <is>
          <t>SCHNEIDER</t>
        </is>
      </c>
      <c r="C27" s="80" t="inlineStr">
        <is>
          <t>2026-08-13</t>
        </is>
      </c>
      <c r="D27" s="80" t="n">
        <v>2</v>
      </c>
      <c r="E27" s="79" t="n">
        <v>1425</v>
      </c>
      <c r="F27" s="79" t="n">
        <v>1435</v>
      </c>
      <c r="G27" s="79" t="n">
        <v>-10</v>
      </c>
      <c r="H27" s="79" t="n">
        <v>1502.9</v>
      </c>
      <c r="I27" s="79" t="n">
        <v>1401.05</v>
      </c>
      <c r="J27" s="80" t="inlineStr">
        <is>
          <t>1:2.0</t>
        </is>
      </c>
      <c r="K27" s="80" t="inlineStr">
        <is>
          <t>2026-08-14</t>
        </is>
      </c>
      <c r="L27" s="79" t="n">
        <v>1401</v>
      </c>
      <c r="M27" s="79">
        <f>IF(OR(N27="WIN", N27="LOSS"), (L27-E27)*D27, 0)</f>
        <v/>
      </c>
      <c r="N27" s="80" t="inlineStr">
        <is>
          <t>LOSS</t>
        </is>
      </c>
      <c r="O27" s="80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0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10" t="n">
        <v>68.87</v>
      </c>
      <c r="F28" s="10" t="n">
        <v>68.87</v>
      </c>
      <c r="G28" s="10" t="n">
        <v>0</v>
      </c>
      <c r="H28" s="10" t="n">
        <v>81.37</v>
      </c>
      <c r="I28" s="10" t="n">
        <v>62.62</v>
      </c>
      <c r="J28" s="4" t="inlineStr">
        <is>
          <t>1:2.0</t>
        </is>
      </c>
      <c r="K28" s="4" t="n"/>
      <c r="L28" s="4" t="n"/>
      <c r="M28" s="10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10" t="n">
        <v>166.02</v>
      </c>
      <c r="F29" s="10" t="n">
        <v>166.02</v>
      </c>
      <c r="G29" s="10" t="n">
        <v>0</v>
      </c>
      <c r="H29" s="10" t="n">
        <v>197.93</v>
      </c>
      <c r="I29" s="10" t="n">
        <v>150.06</v>
      </c>
      <c r="J29" s="4" t="inlineStr">
        <is>
          <t>1:2.0</t>
        </is>
      </c>
      <c r="K29" s="4" t="n"/>
      <c r="L29" s="4" t="n"/>
      <c r="M29" s="10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10" t="n">
        <v>245.25</v>
      </c>
      <c r="F30" s="10" t="n">
        <v>245.25</v>
      </c>
      <c r="G30" s="10" t="n">
        <v>0</v>
      </c>
      <c r="H30" s="10" t="n">
        <v>297.64</v>
      </c>
      <c r="I30" s="10" t="n">
        <v>219.06</v>
      </c>
      <c r="J30" s="4" t="inlineStr">
        <is>
          <t>1:2.0</t>
        </is>
      </c>
      <c r="K30" s="4" t="n"/>
      <c r="L30" s="4" t="n"/>
      <c r="M30" s="10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IF(OR(N46="WIN", N46="LOSS"), (L46-E46)*D46,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IF(OR(N47="WIN", N47="LOSS"), (L47-E47)*D47,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IF(OR(N48="WIN", N48="LOSS"), (L48-E48)*D48,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IF(OR(N49="WIN", N49="LOSS"), (L49-E49)*D49,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IF(OR(N50="WIN", N50="LOSS"), (L50-E50)*D50,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  <row r="1001" ht="15.75" customHeight="1" s="61">
      <c r="A1001" s="60" t="inlineStr">
        <is>
          <t>2026-08-16</t>
        </is>
      </c>
      <c r="B1001" s="60" t="inlineStr">
        <is>
          <t>HAPPSTMNDS</t>
        </is>
      </c>
      <c r="C1001" s="60" t="n">
        <v>3</v>
      </c>
      <c r="D1001" s="60" t="n">
        <v>420.2</v>
      </c>
      <c r="F1001" s="60" t="n">
        <v>388.7</v>
      </c>
      <c r="G1001" s="60" t="n">
        <v>483.15</v>
      </c>
      <c r="M1001" s="60" t="inlineStr">
        <is>
          <t>HSTS Regime 2 manual override</t>
        </is>
      </c>
      <c r="N1001" s="4" t="n"/>
      <c r="O1001" s="4" t="n"/>
      <c r="P1001" s="4" t="n"/>
    </row>
    <row r="1002" ht="15.75" customHeight="1" s="61">
      <c r="A1002" s="60" t="inlineStr">
        <is>
          <t>2026-08-16</t>
        </is>
      </c>
      <c r="B1002" s="60" t="inlineStr">
        <is>
          <t>ZEEMEDIA</t>
        </is>
      </c>
      <c r="C1002" s="60" t="n">
        <v>150</v>
      </c>
      <c r="D1002" s="60" t="n">
        <v>9.630000000000001</v>
      </c>
      <c r="F1002" s="60" t="n">
        <v>8.619999999999999</v>
      </c>
      <c r="G1002" s="60" t="n">
        <v>11.65</v>
      </c>
      <c r="M1002" s="60" t="inlineStr">
        <is>
          <t>HSTS Regime 2 manual override</t>
        </is>
      </c>
      <c r="N1002" s="4" t="n"/>
      <c r="O1002" s="4" t="n"/>
      <c r="P1002" s="4" t="n"/>
    </row>
    <row r="1003" ht="15.75" customHeight="1" s="61">
      <c r="A1003" s="60" t="inlineStr">
        <is>
          <t>2026-08-16</t>
        </is>
      </c>
      <c r="B1003" s="60" t="inlineStr">
        <is>
          <t>APEX</t>
        </is>
      </c>
      <c r="C1003" s="60" t="n">
        <v>3</v>
      </c>
      <c r="D1003" s="60" t="n">
        <v>426.35</v>
      </c>
      <c r="F1003" s="60" t="n">
        <v>396.35</v>
      </c>
      <c r="G1003" s="60" t="n">
        <v>486.4</v>
      </c>
      <c r="M1003" s="60" t="inlineStr">
        <is>
          <t>HSTS Regime 2 manual override</t>
        </is>
      </c>
      <c r="N1003" s="4" t="n"/>
      <c r="O1003" s="4" t="n"/>
      <c r="P1003" s="4" t="n"/>
    </row>
    <row r="1004">
      <c r="A1004" s="0" t="inlineStr">
        <is>
          <t>HAPPSTMNDS</t>
        </is>
      </c>
      <c r="B1004" s="0" t="inlineStr">
        <is>
          <t>Happiest Minds</t>
        </is>
      </c>
      <c r="C1004" s="0" t="inlineStr">
        <is>
          <t>2026-08-18</t>
        </is>
      </c>
      <c r="D1004" s="0" t="n">
        <v>3</v>
      </c>
      <c r="E1004" s="0" t="n">
        <v>426.8</v>
      </c>
      <c r="F1004" s="0" t="n">
        <v>426.8</v>
      </c>
      <c r="G1004" s="0" t="inlineStr">
        <is>
          <t>HSTS</t>
        </is>
      </c>
      <c r="H1004" s="0" t="n">
        <v>500</v>
      </c>
      <c r="I1004" s="0" t="n">
        <v>400</v>
      </c>
      <c r="N1004" s="0" t="inlineStr">
        <is>
          <t>OPEN</t>
        </is>
      </c>
      <c r="P1004" s="0" t="inlineStr">
        <is>
          <t>SWING</t>
        </is>
      </c>
    </row>
    <row r="1005">
      <c r="A1005" s="0" t="inlineStr">
        <is>
          <t>ZEEMEDIA</t>
        </is>
      </c>
      <c r="B1005" s="0" t="inlineStr">
        <is>
          <t>Zee Media</t>
        </is>
      </c>
      <c r="C1005" s="0" t="inlineStr">
        <is>
          <t>2026-08-18</t>
        </is>
      </c>
      <c r="D1005" s="0" t="n">
        <v>150</v>
      </c>
      <c r="E1005" s="0" t="n">
        <v>9.699999999999999</v>
      </c>
      <c r="F1005" s="0" t="n">
        <v>9.699999999999999</v>
      </c>
      <c r="G1005" s="0" t="inlineStr">
        <is>
          <t>HSTS</t>
        </is>
      </c>
      <c r="H1005" s="0" t="n">
        <v>15</v>
      </c>
      <c r="I1005" s="0" t="n">
        <v>8</v>
      </c>
      <c r="N1005" s="0" t="inlineStr">
        <is>
          <t>OPEN</t>
        </is>
      </c>
      <c r="P1005" s="0" t="inlineStr">
        <is>
          <t>SWING</t>
        </is>
      </c>
    </row>
    <row r="1006">
      <c r="A1006" s="0" t="inlineStr">
        <is>
          <t>APEX</t>
        </is>
      </c>
      <c r="B1006" s="0" t="inlineStr">
        <is>
          <t>Apex Frozen</t>
        </is>
      </c>
      <c r="C1006" s="0" t="inlineStr">
        <is>
          <t>2026-08-18</t>
        </is>
      </c>
      <c r="D1006" s="0" t="n">
        <v>3</v>
      </c>
      <c r="E1006" s="0" t="n">
        <v>422.55</v>
      </c>
      <c r="F1006" s="0" t="n">
        <v>422.55</v>
      </c>
      <c r="G1006" s="0" t="inlineStr">
        <is>
          <t>HSTS</t>
        </is>
      </c>
      <c r="H1006" s="0" t="n">
        <v>500</v>
      </c>
      <c r="I1006" s="0" t="n">
        <v>400</v>
      </c>
      <c r="N1006" s="0" t="inlineStr">
        <is>
          <t>OPEN</t>
        </is>
      </c>
      <c r="P1006" s="0" t="inlineStr">
        <is>
          <t>SWING</t>
        </is>
      </c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4" t="inlineStr">
        <is>
          <t>1:2.0</t>
        </is>
      </c>
      <c r="I12" s="4" t="n">
        <v>0</v>
      </c>
      <c r="J12" s="10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4" t="inlineStr">
        <is>
          <t>1:2.0</t>
        </is>
      </c>
      <c r="I13" s="4" t="n">
        <v>1</v>
      </c>
      <c r="J13" s="10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4" t="inlineStr">
        <is>
          <t>1:2.0</t>
        </is>
      </c>
      <c r="I14" s="4" t="n">
        <v>1</v>
      </c>
      <c r="J14" s="10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4" t="inlineStr">
        <is>
          <t>1:2.0</t>
        </is>
      </c>
      <c r="I15" s="4" t="n">
        <v>1</v>
      </c>
      <c r="J15" s="10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10" t="n">
        <v>472.8999938964844</v>
      </c>
      <c r="F16" s="10" t="n">
        <v>445.4499947684152</v>
      </c>
      <c r="G16" s="10" t="n">
        <v>527.7999921526227</v>
      </c>
      <c r="H16" s="4" t="inlineStr">
        <is>
          <t>1:2.0</t>
        </is>
      </c>
      <c r="I16" s="4" t="n">
        <v>0</v>
      </c>
      <c r="J16" s="10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10" t="n">
        <v>1408</v>
      </c>
      <c r="F17" s="10" t="n">
        <v>1341.771414620536</v>
      </c>
      <c r="G17" s="10" t="n">
        <v>1540.457170758929</v>
      </c>
      <c r="H17" s="4" t="inlineStr">
        <is>
          <t>1:2.0</t>
        </is>
      </c>
      <c r="I17" s="4" t="n">
        <v>0</v>
      </c>
      <c r="J17" s="10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10" t="n">
        <v>764.0499877929688</v>
      </c>
      <c r="F18" s="10" t="n">
        <v>717.2571149553571</v>
      </c>
      <c r="G18" s="10" t="n">
        <v>857.6357334681919</v>
      </c>
      <c r="H18" s="4" t="inlineStr">
        <is>
          <t>1:2.0</t>
        </is>
      </c>
      <c r="I18" s="4" t="n">
        <v>0</v>
      </c>
      <c r="J18" s="10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10" t="n">
        <v>1461.400024414062</v>
      </c>
      <c r="F19" s="10" t="n">
        <v>1350.727503014851</v>
      </c>
      <c r="G19" s="10" t="n">
        <v>1682.745067212486</v>
      </c>
      <c r="H19" s="4" t="inlineStr">
        <is>
          <t>1:2.0</t>
        </is>
      </c>
      <c r="I19" s="4" t="n">
        <v>0</v>
      </c>
      <c r="J19" s="10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10" t="n">
        <v>1353.099975585938</v>
      </c>
      <c r="F20" s="10" t="n">
        <v>1214.848859742893</v>
      </c>
      <c r="G20" s="10" t="n">
        <v>1629.602207272027</v>
      </c>
      <c r="H20" s="4" t="inlineStr">
        <is>
          <t>1:2.0</t>
        </is>
      </c>
      <c r="I20" s="4" t="n">
        <v>0</v>
      </c>
      <c r="J20" s="10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10" t="n">
        <v>1885.7</v>
      </c>
      <c r="F21" s="10" t="n">
        <v>1818.6</v>
      </c>
      <c r="G21" s="10" t="n">
        <v>2019.85</v>
      </c>
      <c r="H21" s="4" t="inlineStr">
        <is>
          <t>1:2.0</t>
        </is>
      </c>
      <c r="I21" s="4" t="n">
        <v>0</v>
      </c>
      <c r="J21" s="10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10" t="n">
        <v>141.06</v>
      </c>
      <c r="F22" s="10" t="n">
        <v>134.5</v>
      </c>
      <c r="G22" s="10" t="n">
        <v>154.2</v>
      </c>
      <c r="H22" s="4" t="inlineStr">
        <is>
          <t>1:2.0</t>
        </is>
      </c>
      <c r="I22" s="4" t="n">
        <v>0</v>
      </c>
      <c r="J22" s="10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10" t="n">
        <v>1731.9</v>
      </c>
      <c r="F23" s="10" t="n">
        <v>1699.65</v>
      </c>
      <c r="G23" s="10" t="n">
        <v>1796.4</v>
      </c>
      <c r="H23" s="4" t="inlineStr">
        <is>
          <t>1:2.0</t>
        </is>
      </c>
      <c r="I23" s="4" t="n">
        <v>0</v>
      </c>
      <c r="J23" s="10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10" t="n">
        <v>738.7</v>
      </c>
      <c r="F24" s="10" t="n">
        <v>726.55</v>
      </c>
      <c r="G24" s="10" t="n">
        <v>763</v>
      </c>
      <c r="H24" s="4" t="inlineStr">
        <is>
          <t>1:2.0</t>
        </is>
      </c>
      <c r="I24" s="4" t="n">
        <v>0</v>
      </c>
      <c r="J24" s="10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10" t="n">
        <v>3572.6</v>
      </c>
      <c r="F25" s="10" t="n">
        <v>3521.3</v>
      </c>
      <c r="G25" s="10" t="n">
        <v>3675.2</v>
      </c>
      <c r="H25" s="4" t="inlineStr">
        <is>
          <t>1:2.0</t>
        </is>
      </c>
      <c r="I25" s="4" t="n">
        <v>0</v>
      </c>
      <c r="J25" s="10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10" t="n">
        <v>803.5499877929688</v>
      </c>
      <c r="F26" s="10" t="n">
        <v>754.6499895368304</v>
      </c>
      <c r="G26" s="10" t="n">
        <v>901.3499843052456</v>
      </c>
      <c r="H26" s="4" t="inlineStr">
        <is>
          <t>1:2.0</t>
        </is>
      </c>
      <c r="I26" s="4" t="n">
        <v>0</v>
      </c>
      <c r="J26" s="10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10" t="n">
        <v>432.6000061035156</v>
      </c>
      <c r="F27" s="10" t="n">
        <v>408.8357151576451</v>
      </c>
      <c r="G27" s="10" t="n">
        <v>480.1285879952567</v>
      </c>
      <c r="H27" s="4" t="inlineStr">
        <is>
          <t>1:2.0</t>
        </is>
      </c>
      <c r="I27" s="4" t="n">
        <v>0</v>
      </c>
      <c r="J27" s="10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10" t="n">
        <v>1424.900024414062</v>
      </c>
      <c r="F28" s="10" t="n">
        <v>1320.614310128348</v>
      </c>
      <c r="G28" s="10" t="n">
        <v>1633.471452985491</v>
      </c>
      <c r="H28" s="4" t="inlineStr">
        <is>
          <t>1:2.0</t>
        </is>
      </c>
      <c r="I28" s="4" t="n">
        <v>0</v>
      </c>
      <c r="J28" s="10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10" t="n">
        <v>5623.5</v>
      </c>
      <c r="F29" s="10" t="n">
        <v>5378.120418563584</v>
      </c>
      <c r="G29" s="10" t="n">
        <v>6114.259162872831</v>
      </c>
      <c r="H29" s="4" t="inlineStr">
        <is>
          <t>1:2.0</t>
        </is>
      </c>
      <c r="I29" s="4" t="n">
        <v>0</v>
      </c>
      <c r="J29" s="10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10" t="n">
        <v>1923.699951171875</v>
      </c>
      <c r="F30" s="10" t="n">
        <v>1723.614240373884</v>
      </c>
      <c r="G30" s="10" t="n">
        <v>2323.871372767857</v>
      </c>
      <c r="H30" s="4" t="inlineStr">
        <is>
          <t>1:2.0</t>
        </is>
      </c>
      <c r="I30" s="4" t="n">
        <v>0</v>
      </c>
      <c r="J30" s="10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10" t="n">
        <v>405.85</v>
      </c>
      <c r="F31" s="10" t="n">
        <v>399.4</v>
      </c>
      <c r="G31" s="10" t="n">
        <v>418.75</v>
      </c>
      <c r="H31" s="4" t="inlineStr">
        <is>
          <t>1:2.0</t>
        </is>
      </c>
      <c r="I31" s="4" t="n">
        <v>0</v>
      </c>
      <c r="J31" s="10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10" t="n">
        <v>881</v>
      </c>
      <c r="F32" s="10" t="n">
        <v>873.4</v>
      </c>
      <c r="G32" s="10" t="n">
        <v>896.25</v>
      </c>
      <c r="H32" s="4" t="inlineStr">
        <is>
          <t>1:2.0</t>
        </is>
      </c>
      <c r="I32" s="4" t="n">
        <v>0</v>
      </c>
      <c r="J32" s="10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10" t="n">
        <v>153.07</v>
      </c>
      <c r="F33" s="10" t="n">
        <v>151.85</v>
      </c>
      <c r="G33" s="10" t="n">
        <v>155.45</v>
      </c>
      <c r="H33" s="4" t="inlineStr">
        <is>
          <t>1:2.0</t>
        </is>
      </c>
      <c r="I33" s="4" t="n">
        <v>0</v>
      </c>
      <c r="J33" s="10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10" t="n">
        <v>1205</v>
      </c>
      <c r="F34" s="10" t="n">
        <v>1189.6</v>
      </c>
      <c r="G34" s="10" t="n">
        <v>1235.85</v>
      </c>
      <c r="H34" s="4" t="inlineStr">
        <is>
          <t>1:2.0</t>
        </is>
      </c>
      <c r="I34" s="4" t="n">
        <v>0</v>
      </c>
      <c r="J34" s="10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10" t="n">
        <v>1746.1</v>
      </c>
      <c r="F35" s="10" t="n">
        <v>1722.5</v>
      </c>
      <c r="G35" s="10" t="n">
        <v>1793.25</v>
      </c>
      <c r="H35" s="4" t="inlineStr">
        <is>
          <t>1:2.0</t>
        </is>
      </c>
      <c r="I35" s="4" t="n">
        <v>0</v>
      </c>
      <c r="J35" s="10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Amount</t>
        </is>
      </c>
      <c r="D1" s="7" t="inlineStr">
        <is>
          <t>Notes</t>
        </is>
      </c>
      <c r="E1" s="4" t="n"/>
      <c r="F1" s="4" t="n"/>
    </row>
    <row r="2">
      <c r="A2" s="7" t="inlineStr">
        <is>
          <t>21-7-2026</t>
        </is>
      </c>
      <c r="B2" s="7" t="inlineStr">
        <is>
          <t>DEPOSIT</t>
        </is>
      </c>
      <c r="C2" s="10" t="n">
        <v>10000</v>
      </c>
      <c r="D2" s="4" t="n"/>
      <c r="E2" s="4" t="n"/>
      <c r="F2" s="4" t="n"/>
    </row>
    <row r="3">
      <c r="A3" s="7" t="inlineStr">
        <is>
          <t>2026-07-22</t>
        </is>
      </c>
      <c r="B3" s="7" t="inlineStr">
        <is>
          <t>WITHDRAWAL</t>
        </is>
      </c>
      <c r="C3" s="10" t="n">
        <v>1.76</v>
      </c>
      <c r="D3" s="7" t="inlineStr">
        <is>
          <t>Brokerage &amp; taxes on SONACOMS BUY (2 qty @ 734.70)</t>
        </is>
      </c>
      <c r="E3" s="4" t="n"/>
      <c r="F3" s="4" t="n"/>
    </row>
    <row r="4">
      <c r="A4" s="7" t="inlineStr">
        <is>
          <t>2026-07-22</t>
        </is>
      </c>
      <c r="B4" s="7" t="inlineStr">
        <is>
          <t>WITHDRAWAL</t>
        </is>
      </c>
      <c r="C4" s="10" t="n">
        <v>1.52</v>
      </c>
      <c r="D4" s="7" t="inlineStr">
        <is>
          <t>Brokerage &amp; taxes on JSWSTEEL BUY (1 qty @ 1265.10)</t>
        </is>
      </c>
      <c r="E4" s="4" t="n"/>
      <c r="F4" s="4" t="n"/>
    </row>
    <row r="5">
      <c r="A5" s="7" t="inlineStr">
        <is>
          <t>2026-07-24</t>
        </is>
      </c>
      <c r="B5" s="7" t="inlineStr">
        <is>
          <t>WITHDRAWAL</t>
        </is>
      </c>
      <c r="C5" s="10" t="n">
        <v>181.62</v>
      </c>
      <c r="D5" s="7" t="inlineStr">
        <is>
          <t>Adjustment: Brokerage &amp; taxes on past completed trades (SUNPHARMA, JSWSTEEL, TECHM)</t>
        </is>
      </c>
      <c r="E5" s="4" t="n"/>
      <c r="F5" s="4" t="n"/>
    </row>
    <row r="6">
      <c r="A6" s="7" t="inlineStr">
        <is>
          <t>2026-07-27</t>
        </is>
      </c>
      <c r="B6" s="7" t="inlineStr">
        <is>
          <t>WITHDRAWAL</t>
        </is>
      </c>
      <c r="C6" s="10" t="n">
        <v>1.89</v>
      </c>
      <c r="D6" s="7" t="inlineStr">
        <is>
          <t>Brokerage &amp; taxes on TECHM BUY (1 qty @ 1579.00)</t>
        </is>
      </c>
      <c r="E6" s="4" t="n"/>
      <c r="F6" s="4" t="n"/>
    </row>
    <row r="7">
      <c r="A7" s="7" t="inlineStr">
        <is>
          <t>2026-07-31</t>
        </is>
      </c>
      <c r="B7" s="7" t="inlineStr">
        <is>
          <t>WITHDRAWAL</t>
        </is>
      </c>
      <c r="C7" s="10" t="n">
        <v>1.76</v>
      </c>
      <c r="D7" s="7" t="inlineStr">
        <is>
          <t>Brokerage &amp; taxes on BERGEPAINT BUY</t>
        </is>
      </c>
      <c r="E7" s="4" t="n"/>
      <c r="F7" s="4" t="n"/>
    </row>
    <row r="8">
      <c r="A8" s="7" t="inlineStr">
        <is>
          <t>2026-08-03</t>
        </is>
      </c>
      <c r="B8" s="7" t="inlineStr">
        <is>
          <t>WITHDRAWAL</t>
        </is>
      </c>
      <c r="C8" s="10" t="n">
        <v>0.61</v>
      </c>
      <c r="D8" s="7" t="inlineStr">
        <is>
          <t>Brokerage &amp; taxes on ADVANCE BUY (4 qty @ 127.80)</t>
        </is>
      </c>
      <c r="E8" s="4" t="n"/>
      <c r="F8" s="4" t="n"/>
    </row>
    <row r="9">
      <c r="A9" s="7" t="inlineStr">
        <is>
          <t>2026-08-03</t>
        </is>
      </c>
      <c r="B9" s="7" t="inlineStr">
        <is>
          <t>WITHDRAWAL</t>
        </is>
      </c>
      <c r="C9" s="10" t="n">
        <v>0.12</v>
      </c>
      <c r="D9" s="7" t="inlineStr">
        <is>
          <t>Brokerage &amp; taxes on ADVANCE BUY (1 qty @ 100.00)</t>
        </is>
      </c>
      <c r="E9" s="4" t="n"/>
      <c r="F9" s="4" t="n"/>
    </row>
    <row r="10">
      <c r="A10" s="7" t="inlineStr">
        <is>
          <t>2026-08-04</t>
        </is>
      </c>
      <c r="B10" s="7" t="inlineStr">
        <is>
          <t>WITHDRAWAL</t>
        </is>
      </c>
      <c r="C10" s="10" t="n">
        <v>1.84</v>
      </c>
      <c r="D10" s="7" t="inlineStr">
        <is>
          <t>Brokerage &amp; taxes on NESTLEIND BUY (1 qty @ 1530.00)</t>
        </is>
      </c>
      <c r="E10" s="4" t="n"/>
      <c r="F10" s="4" t="n"/>
    </row>
    <row r="11">
      <c r="A11" s="7" t="inlineStr">
        <is>
          <t>2026-08-04</t>
        </is>
      </c>
      <c r="B11" s="7" t="inlineStr">
        <is>
          <t>WITHDRAWAL</t>
        </is>
      </c>
      <c r="C11" s="10" t="n">
        <v>1.97</v>
      </c>
      <c r="D11" s="7" t="inlineStr">
        <is>
          <t>Brokerage &amp; taxes on PIDILITIND BUY (1 qty @ 1642.50)</t>
        </is>
      </c>
      <c r="E11" s="4" t="n"/>
      <c r="F11" s="4" t="n"/>
    </row>
    <row r="12">
      <c r="A12" s="7" t="inlineStr">
        <is>
          <t>2026-08-04</t>
        </is>
      </c>
      <c r="B12" s="7" t="inlineStr">
        <is>
          <t>WITHDRAWAL</t>
        </is>
      </c>
      <c r="C12" s="10" t="n">
        <v>1.83</v>
      </c>
      <c r="D12" s="7" t="inlineStr">
        <is>
          <t>Brokerage &amp; taxes on NESTLEIND SELL (1 qty @ 1520.10)</t>
        </is>
      </c>
      <c r="E12" s="4" t="n"/>
      <c r="F12" s="4" t="n"/>
    </row>
    <row r="13">
      <c r="A13" s="7" t="inlineStr">
        <is>
          <t>2026-08-04</t>
        </is>
      </c>
      <c r="B13" s="7" t="inlineStr">
        <is>
          <t>WITHDRAWAL</t>
        </is>
      </c>
      <c r="C13" s="10" t="n">
        <v>1.96</v>
      </c>
      <c r="D13" s="7" t="inlineStr">
        <is>
          <t>Brokerage &amp; taxes on PIDILITIND SELL (1 qty @ 1634.50)</t>
        </is>
      </c>
      <c r="E13" s="4" t="n"/>
      <c r="F13" s="4" t="n"/>
    </row>
    <row r="14">
      <c r="A14" s="7" t="inlineStr">
        <is>
          <t>2026-08-05</t>
        </is>
      </c>
      <c r="B14" s="7" t="inlineStr">
        <is>
          <t>WITHDRAWAL</t>
        </is>
      </c>
      <c r="C14" s="10" t="n">
        <v>0.84</v>
      </c>
      <c r="D14" s="7" t="inlineStr">
        <is>
          <t>Brokerage &amp; taxes on VISAKAIND BUY (8 qty @ 86.99)</t>
        </is>
      </c>
      <c r="E14" s="4" t="n"/>
      <c r="F14" s="4" t="n"/>
    </row>
    <row r="15">
      <c r="A15" s="7" t="inlineStr">
        <is>
          <t>2026-08-05</t>
        </is>
      </c>
      <c r="B15" s="7" t="inlineStr">
        <is>
          <t>WITHDRAWAL</t>
        </is>
      </c>
      <c r="C15" s="10" t="n">
        <v>0.8</v>
      </c>
      <c r="D15" s="7" t="inlineStr">
        <is>
          <t>Brokerage &amp; taxes on EXCELSOFT BUY (8 qty @ 82.99)</t>
        </is>
      </c>
      <c r="E15" s="4" t="n"/>
      <c r="F15" s="4" t="n"/>
    </row>
    <row r="16">
      <c r="A16" s="7" t="inlineStr">
        <is>
          <t>2026-08-05</t>
        </is>
      </c>
      <c r="B16" s="7" t="inlineStr">
        <is>
          <t>WITHDRAWAL</t>
        </is>
      </c>
      <c r="C16" s="10" t="n">
        <v>0.79</v>
      </c>
      <c r="D16" s="7" t="inlineStr">
        <is>
          <t>Brokerage &amp; taxes on EXCELSOFT BUY (8 qty @ 82.50)</t>
        </is>
      </c>
      <c r="E16" s="4" t="n"/>
      <c r="F16" s="4" t="n"/>
    </row>
    <row r="17">
      <c r="A17" s="7" t="inlineStr">
        <is>
          <t>2026-08-05</t>
        </is>
      </c>
      <c r="B17" s="7" t="inlineStr">
        <is>
          <t>WITHDRAWAL</t>
        </is>
      </c>
      <c r="C17" s="10" t="n">
        <v>17.59</v>
      </c>
      <c r="D17" s="7" t="inlineStr">
        <is>
          <t>Brokerage &amp; taxes on SONACOMS SELL (2 qty @ 798.25)</t>
        </is>
      </c>
      <c r="E17" s="4" t="n"/>
      <c r="F17" s="4" t="n"/>
    </row>
    <row r="18">
      <c r="A18" s="7" t="inlineStr">
        <is>
          <t>2026-08-05</t>
        </is>
      </c>
      <c r="B18" s="7" t="inlineStr">
        <is>
          <t>WITHDRAWAL</t>
        </is>
      </c>
      <c r="C18" s="10" t="n">
        <v>1.23</v>
      </c>
      <c r="D18" s="7" t="inlineStr">
        <is>
          <t>Brokerage &amp; taxes on SONATSOFTW BUY (3 qty @ 341.20)</t>
        </is>
      </c>
      <c r="E18" s="4" t="n"/>
      <c r="F18" s="4" t="n"/>
    </row>
    <row r="19">
      <c r="A19" s="7" t="inlineStr">
        <is>
          <t>2026-08-05</t>
        </is>
      </c>
      <c r="B19" s="7" t="inlineStr">
        <is>
          <t>WITHDRAWAL</t>
        </is>
      </c>
      <c r="C19" s="10" t="n">
        <v>1.23</v>
      </c>
      <c r="D19" s="7" t="inlineStr">
        <is>
          <t>Brokerage &amp; taxes on SONATSOFTW BUY (3 qty @ 341.15)</t>
        </is>
      </c>
      <c r="E19" s="4" t="n"/>
      <c r="F19" s="4" t="n"/>
    </row>
    <row r="20">
      <c r="A20" s="7" t="inlineStr">
        <is>
          <t>2026-08-05</t>
        </is>
      </c>
      <c r="B20" s="7" t="inlineStr">
        <is>
          <t>WITHDRAWAL</t>
        </is>
      </c>
      <c r="C20" s="10" t="n">
        <v>1.05</v>
      </c>
      <c r="D20" s="7" t="inlineStr">
        <is>
          <t>Brokerage &amp; taxes on IFGLEXPOR BUY (4 qty @ 219.60)</t>
        </is>
      </c>
      <c r="E20" s="4" t="n"/>
      <c r="F20" s="4" t="n"/>
    </row>
    <row r="21" ht="15.75" customHeight="1" s="61">
      <c r="A21" s="7" t="inlineStr">
        <is>
          <t>2026-08-05</t>
        </is>
      </c>
      <c r="B21" s="7" t="inlineStr">
        <is>
          <t>WITHDRAWAL</t>
        </is>
      </c>
      <c r="C21" s="10" t="n">
        <v>0.97</v>
      </c>
      <c r="D21" s="7" t="inlineStr">
        <is>
          <t>Brokerage &amp; taxes on SAPPHIRE BUY (4 qty @ 202.50)</t>
        </is>
      </c>
      <c r="E21" s="4" t="n"/>
      <c r="F21" s="4" t="n"/>
    </row>
    <row r="22" ht="15.75" customHeight="1" s="61">
      <c r="A22" s="7" t="inlineStr">
        <is>
          <t>2026-08-05</t>
        </is>
      </c>
      <c r="B22" s="7" t="inlineStr">
        <is>
          <t>WITHDRAWAL</t>
        </is>
      </c>
      <c r="C22" s="10" t="n">
        <v>1.27</v>
      </c>
      <c r="D22" s="7" t="inlineStr">
        <is>
          <t>Brokerage &amp; taxes on AEROENTER BUY (8 qty @ 132.15)</t>
        </is>
      </c>
      <c r="E22" s="4" t="n"/>
      <c r="F22" s="4" t="n"/>
    </row>
    <row r="23" ht="15.75" customHeight="1" s="61">
      <c r="A23" s="7" t="inlineStr">
        <is>
          <t>2026-08-05</t>
        </is>
      </c>
      <c r="B23" s="7" t="inlineStr">
        <is>
          <t>WITHDRAWAL</t>
        </is>
      </c>
      <c r="C23" s="10" t="n">
        <v>0.6899999999999999</v>
      </c>
      <c r="D23" s="7" t="inlineStr">
        <is>
          <t>Brokerage &amp; taxes on TATASTEEL BUY (3 qty @ 193.00)</t>
        </is>
      </c>
      <c r="E23" s="4" t="n"/>
      <c r="F23" s="4" t="n"/>
    </row>
    <row r="24" ht="15.75" customHeight="1" s="61">
      <c r="A24" s="7" t="inlineStr">
        <is>
          <t>2026-08-06</t>
        </is>
      </c>
      <c r="B24" s="7" t="inlineStr">
        <is>
          <t>WITHDRAWAL</t>
        </is>
      </c>
      <c r="C24" s="10" t="n">
        <v>1.27</v>
      </c>
      <c r="D24" s="7" t="inlineStr">
        <is>
          <t>Brokerage &amp; taxes on AEROENTER BUY (8 qty @ 132.01)</t>
        </is>
      </c>
      <c r="E24" s="4" t="n"/>
      <c r="F24" s="4" t="n"/>
    </row>
    <row r="25" ht="15.75" customHeight="1" s="61">
      <c r="A25" s="7" t="inlineStr">
        <is>
          <t>2026-08-06</t>
        </is>
      </c>
      <c r="B25" s="7" t="inlineStr">
        <is>
          <t>WITHDRAWAL</t>
        </is>
      </c>
      <c r="C25" s="10" t="n">
        <v>0.23</v>
      </c>
      <c r="D25" s="7" t="inlineStr">
        <is>
          <t>Brokerage &amp; taxes on TATASTEEL BUY (1 qty @ 192.60)</t>
        </is>
      </c>
      <c r="E25" s="4" t="n"/>
      <c r="F25" s="4" t="n"/>
    </row>
    <row r="26" ht="15.75" customHeight="1" s="61">
      <c r="A26" s="7" t="inlineStr">
        <is>
          <t>2026-08-06</t>
        </is>
      </c>
      <c r="B26" s="7" t="inlineStr">
        <is>
          <t>WITHDRAWAL</t>
        </is>
      </c>
      <c r="C26" s="10" t="n">
        <v>16.13</v>
      </c>
      <c r="D26" s="7" t="inlineStr">
        <is>
          <t>Brokerage &amp; taxes on TATASTEEL SELL (1 qty @ 191.65)</t>
        </is>
      </c>
      <c r="E26" s="4" t="n"/>
      <c r="F26" s="4" t="n"/>
    </row>
    <row r="27" ht="15.75" customHeight="1" s="61">
      <c r="A27" s="7" t="inlineStr">
        <is>
          <t>2026-08-10</t>
        </is>
      </c>
      <c r="B27" s="7" t="inlineStr">
        <is>
          <t>WITHDRAWAL</t>
        </is>
      </c>
      <c r="C27" s="10" t="n">
        <v>16.79</v>
      </c>
      <c r="D27" s="7" t="inlineStr">
        <is>
          <t>Brokerage &amp; taxes on VISAKAIND SELL (8 qty @ 103.24)</t>
        </is>
      </c>
      <c r="E27" s="4" t="n"/>
      <c r="F27" s="4" t="n"/>
    </row>
    <row r="28" ht="15.75" customHeight="1" s="61">
      <c r="A28" s="7" t="inlineStr">
        <is>
          <t>2026-08-10</t>
        </is>
      </c>
      <c r="B28" s="7" t="inlineStr">
        <is>
          <t>WITHDRAWAL</t>
        </is>
      </c>
      <c r="C28" s="10" t="n">
        <v>16.92</v>
      </c>
      <c r="D28" s="7" t="inlineStr">
        <is>
          <t>Brokerage &amp; taxes on SONATSOFTW SELL (3 qty @ 316.20)</t>
        </is>
      </c>
      <c r="E28" s="4" t="n"/>
      <c r="F28" s="4" t="n"/>
    </row>
    <row r="29" ht="15.75" customHeight="1" s="61">
      <c r="A29" s="7" t="inlineStr">
        <is>
          <t>2026-08-10</t>
        </is>
      </c>
      <c r="B29" s="7" t="inlineStr">
        <is>
          <t>WITHDRAWAL</t>
        </is>
      </c>
      <c r="C29" s="10" t="n">
        <v>16.58</v>
      </c>
      <c r="D29" s="7" t="inlineStr">
        <is>
          <t>Brokerage &amp; taxes on EXCELSOFT SELL (8 qty @ 77.58)</t>
        </is>
      </c>
      <c r="E29" s="4" t="n"/>
      <c r="F29" s="4" t="n"/>
    </row>
    <row r="30" ht="15.75" customHeight="1" s="61">
      <c r="A30" s="7" t="inlineStr">
        <is>
          <t>2026-08-11</t>
        </is>
      </c>
      <c r="B30" s="7" t="inlineStr">
        <is>
          <t>WITHDRAWAL</t>
        </is>
      </c>
      <c r="C30" s="10" t="n">
        <v>1.56</v>
      </c>
      <c r="D30" s="7" t="inlineStr">
        <is>
          <t>Brokerage &amp; taxes on HARSHA BUY (3 qty @ 432.60)</t>
        </is>
      </c>
      <c r="E30" s="4" t="n"/>
      <c r="F30" s="4" t="n"/>
    </row>
    <row r="31" ht="15.75" customHeight="1" s="61">
      <c r="A31" s="7" t="inlineStr">
        <is>
          <t>2026-08-11</t>
        </is>
      </c>
      <c r="B31" s="7" t="inlineStr">
        <is>
          <t>WITHDRAWAL</t>
        </is>
      </c>
      <c r="C31" s="10" t="n">
        <v>0.99</v>
      </c>
      <c r="D31" s="7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10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10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10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10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7" t="inlineStr">
        <is>
          <t>2026-08-12</t>
        </is>
      </c>
      <c r="B1001" s="7" t="inlineStr">
        <is>
          <t>DEPOSIT</t>
        </is>
      </c>
      <c r="C1001" s="7" t="n">
        <v>10000</v>
      </c>
      <c r="D1001" s="7" t="inlineStr">
        <is>
          <t>Zerodha funds addition</t>
        </is>
      </c>
      <c r="E1001" s="4" t="n"/>
      <c r="F1001" s="4" t="n"/>
    </row>
    <row r="1002" ht="15.75" customHeight="1" s="61">
      <c r="A1002" s="7" t="inlineStr">
        <is>
          <t>2026-08-12</t>
        </is>
      </c>
      <c r="B1002" s="7" t="inlineStr">
        <is>
          <t>WITHDRAWAL</t>
        </is>
      </c>
      <c r="C1002" s="10" t="n">
        <v>18.01</v>
      </c>
      <c r="D1002" s="7" t="inlineStr">
        <is>
          <t>Brokerage &amp; taxes on BEL SELL (5 qty @ 399.40)</t>
        </is>
      </c>
      <c r="E1002" s="4" t="n"/>
      <c r="F1002" s="4" t="n"/>
    </row>
    <row r="1003" ht="15.75" customHeight="1" s="61">
      <c r="A1003" s="7" t="inlineStr">
        <is>
          <t>2026-08-12</t>
        </is>
      </c>
      <c r="B1003" s="7" t="inlineStr">
        <is>
          <t>WITHDRAWAL</t>
        </is>
      </c>
      <c r="C1003" s="10" t="n">
        <v>17.1</v>
      </c>
      <c r="D1003" s="7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7" t="inlineStr">
        <is>
          <t>2026-08-12</t>
        </is>
      </c>
      <c r="B1004" s="7" t="inlineStr">
        <is>
          <t>WITHDRAWAL</t>
        </is>
      </c>
      <c r="C1004" s="10" t="n">
        <v>16.42</v>
      </c>
      <c r="D1004" s="7" t="inlineStr">
        <is>
          <t>Brokerage &amp; taxes on ADVANCE SELL (4 qty @ 118.24)</t>
        </is>
      </c>
      <c r="E1004" s="4" t="n"/>
      <c r="F1004" s="4" t="n"/>
    </row>
    <row r="1005" ht="15.75" customHeight="1" s="61">
      <c r="A1005" s="7" t="inlineStr">
        <is>
          <t>2026-08-13</t>
        </is>
      </c>
      <c r="B1005" s="7" t="inlineStr">
        <is>
          <t>WITHDRAWAL</t>
        </is>
      </c>
      <c r="C1005" s="10" t="n">
        <v>17.25</v>
      </c>
      <c r="D1005" s="7" t="inlineStr">
        <is>
          <t>Brokerage &amp; taxes on JSWSTEEL SELL (1 qty @ 1269.10)</t>
        </is>
      </c>
      <c r="E1005" s="4" t="n"/>
      <c r="F1005" s="4" t="n"/>
    </row>
    <row r="1006" ht="15.75" customHeight="1" s="61">
      <c r="A1006" s="7" t="inlineStr">
        <is>
          <t>2026-08-13</t>
        </is>
      </c>
      <c r="B1006" s="7" t="inlineStr">
        <is>
          <t>WITHDRAWAL</t>
        </is>
      </c>
      <c r="C1006" s="10" t="n">
        <v>2.1</v>
      </c>
      <c r="D1006" s="7" t="inlineStr">
        <is>
          <t>Brokerage &amp; taxes on MRPL BUY (10 qty @ 174.70)</t>
        </is>
      </c>
      <c r="E1006" s="4" t="n"/>
      <c r="F1006" s="4" t="n"/>
    </row>
    <row r="1007" ht="15.75" customHeight="1" s="61">
      <c r="A1007" s="7" t="inlineStr">
        <is>
          <t>2026-08-13</t>
        </is>
      </c>
      <c r="B1007" s="7" t="inlineStr">
        <is>
          <t>WITHDRAWAL</t>
        </is>
      </c>
      <c r="C1007" s="10" t="n">
        <v>2.9</v>
      </c>
      <c r="D1007" s="7" t="inlineStr">
        <is>
          <t>Brokerage &amp; taxes on LENSKART BUY (4 qty @ 605.00)</t>
        </is>
      </c>
      <c r="E1007" s="4" t="n"/>
      <c r="F1007" s="4" t="n"/>
    </row>
    <row r="1008" ht="15.75" customHeight="1" s="61">
      <c r="A1008" s="7" t="inlineStr">
        <is>
          <t>2026-08-13</t>
        </is>
      </c>
      <c r="B1008" s="7" t="inlineStr">
        <is>
          <t>WITHDRAWAL</t>
        </is>
      </c>
      <c r="C1008" s="10" t="n">
        <v>2.57</v>
      </c>
      <c r="D1008" s="7" t="inlineStr">
        <is>
          <t>Brokerage &amp; taxes on AARTIIND BUY (4 qty @ 536.00)</t>
        </is>
      </c>
      <c r="E1008" s="4" t="n"/>
      <c r="F1008" s="4" t="n"/>
    </row>
    <row r="1009" ht="15.75" customHeight="1" s="61">
      <c r="A1009" s="7" t="inlineStr">
        <is>
          <t>2026-08-13</t>
        </is>
      </c>
      <c r="B1009" s="7" t="inlineStr">
        <is>
          <t>WITHDRAWAL</t>
        </is>
      </c>
      <c r="C1009" s="10" t="n">
        <v>2.27</v>
      </c>
      <c r="D1009" s="7" t="inlineStr">
        <is>
          <t>Brokerage &amp; taxes on OIL BUY (4 qty @ 473.00)</t>
        </is>
      </c>
      <c r="E1009" s="4" t="n"/>
      <c r="F1009" s="4" t="n"/>
    </row>
    <row r="1010" ht="15.75" customHeight="1" s="61">
      <c r="A1010" s="7" t="inlineStr">
        <is>
          <t>2026-08-13</t>
        </is>
      </c>
      <c r="B1010" s="7" t="inlineStr">
        <is>
          <t>WITHDRAWAL</t>
        </is>
      </c>
      <c r="C1010" s="10" t="n">
        <v>3.42</v>
      </c>
      <c r="D1010" s="7" t="inlineStr">
        <is>
          <t>Brokerage &amp; taxes on SCHNEIDER BUY (2 qty @ 1425.00)</t>
        </is>
      </c>
      <c r="E1010" s="4" t="n"/>
      <c r="F1010" s="4" t="n"/>
    </row>
    <row r="1011" ht="15.75" customHeight="1" s="61">
      <c r="A1011" s="7" t="inlineStr">
        <is>
          <t>2026-08-13</t>
        </is>
      </c>
      <c r="B1011" s="7" t="inlineStr">
        <is>
          <t>WITHDRAWAL</t>
        </is>
      </c>
      <c r="C1011" s="10" t="n">
        <v>17.63</v>
      </c>
      <c r="D1011" s="7" t="inlineStr">
        <is>
          <t>Brokerage &amp; taxes on TECHM SELL (1 qty @ 1634.70)</t>
        </is>
      </c>
      <c r="E1011" s="4" t="n"/>
      <c r="F1011" s="4" t="n"/>
    </row>
    <row r="1012" ht="15.75" customHeight="1" s="61">
      <c r="A1012" s="7" t="inlineStr">
        <is>
          <t>2026-08-14</t>
        </is>
      </c>
      <c r="B1012" s="7" t="inlineStr">
        <is>
          <t>WITHDRAWAL</t>
        </is>
      </c>
      <c r="C1012" s="10" t="n">
        <v>18.84</v>
      </c>
      <c r="D1012" s="7" t="inlineStr">
        <is>
          <t>Brokerage &amp; taxes on SCHNEIDER SELL (2 qty @ 1401.00)</t>
        </is>
      </c>
      <c r="E1012" s="4" t="n"/>
      <c r="F1012" s="4" t="n"/>
    </row>
    <row r="1013" ht="15.75" customHeight="1" s="61">
      <c r="A1013" s="7" t="inlineStr">
        <is>
          <t>2026-08-14</t>
        </is>
      </c>
      <c r="B1013" s="7" t="inlineStr">
        <is>
          <t>WITHDRAWAL</t>
        </is>
      </c>
      <c r="C1013" s="10" t="n">
        <v>16.49</v>
      </c>
      <c r="D1013" s="7" t="inlineStr">
        <is>
          <t>Brokerage &amp; taxes on AARTIIND SELL (1 qty @ 539.25)</t>
        </is>
      </c>
      <c r="E1013" s="4" t="n"/>
      <c r="F1013" s="4" t="n"/>
    </row>
    <row r="1014" ht="15.75" customHeight="1" s="61">
      <c r="A1014" s="7" t="inlineStr">
        <is>
          <t>2026-08-14</t>
        </is>
      </c>
      <c r="B1014" s="7" t="inlineStr">
        <is>
          <t>WITHDRAWAL</t>
        </is>
      </c>
      <c r="C1014" s="10" t="n">
        <v>17.61</v>
      </c>
      <c r="D1014" s="7" t="inlineStr">
        <is>
          <t>Brokerage &amp; taxes on AARTIIND SELL (3 qty @ 537.55)</t>
        </is>
      </c>
      <c r="E1014" s="4" t="n"/>
      <c r="F1014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2026-08-18T03:12:34Z</dcterms:modified>
</cp:coreProperties>
</file>