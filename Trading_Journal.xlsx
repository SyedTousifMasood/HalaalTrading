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3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color theme="1"/>
      <sz val="10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11" fillId="8" borderId="6" pivotButton="0" quotePrefix="0" xfId="0"/>
    <xf numFmtId="0" fontId="3" fillId="7" borderId="0" pivotButton="0" quotePrefix="0" xfId="0"/>
    <xf numFmtId="0" fontId="8" fillId="0" borderId="7" pivotButton="0" quotePrefix="0" xfId="0"/>
    <xf numFmtId="0" fontId="12" fillId="0" borderId="0" pivotButton="0" quotePrefix="0" xfId="0"/>
    <xf numFmtId="164" fontId="10" fillId="9" borderId="0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164" fontId="14" fillId="5" borderId="0" pivotButton="0" quotePrefix="0" xfId="0"/>
    <xf numFmtId="165" fontId="14" fillId="5" borderId="0" pivotButton="0" quotePrefix="0" xfId="0"/>
    <xf numFmtId="3" fontId="10" fillId="9" borderId="0" pivotButton="0" quotePrefix="0" xfId="0"/>
    <xf numFmtId="0" fontId="10" fillId="0" borderId="0" applyAlignment="1" pivotButton="0" quotePrefix="0" xfId="0">
      <alignment horizontal="right"/>
    </xf>
    <xf numFmtId="165" fontId="10" fillId="9" borderId="0" pivotButton="0" quotePrefix="0" xfId="0"/>
    <xf numFmtId="0" fontId="11" fillId="8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4" fontId="13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8" borderId="1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  <xf numFmtId="0" fontId="19" fillId="0" borderId="0" applyAlignment="1" pivotButton="0" quotePrefix="0" xfId="0">
      <alignment horizontal="right"/>
    </xf>
    <xf numFmtId="0" fontId="16" fillId="11" borderId="0" applyAlignment="1" pivotButton="0" quotePrefix="0" xfId="0">
      <alignment horizontal="center"/>
    </xf>
    <xf numFmtId="0" fontId="19" fillId="13" borderId="0" pivotButton="0" quotePrefix="0" xfId="0"/>
    <xf numFmtId="0" fontId="18" fillId="12" borderId="0" pivotButton="0" quotePrefix="0" xfId="0"/>
    <xf numFmtId="164" fontId="18" fillId="12" borderId="0" pivotButton="0" quotePrefix="0" xfId="0"/>
    <xf numFmtId="0" fontId="16" fillId="11" borderId="0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/>
    </xf>
    <xf numFmtId="3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164" fontId="21" fillId="14" borderId="0" applyAlignment="1" pivotButton="0" quotePrefix="0" xfId="0">
      <alignment horizontal="right"/>
    </xf>
    <xf numFmtId="165" fontId="21" fillId="14" borderId="0" applyAlignment="1" pivotButton="0" quotePrefix="0" xfId="0">
      <alignment horizontal="right"/>
    </xf>
    <xf numFmtId="164" fontId="22" fillId="15" borderId="0" applyAlignment="1" pivotButton="0" quotePrefix="0" xfId="0">
      <alignment horizontal="right"/>
    </xf>
    <xf numFmtId="165" fontId="22" fillId="15" borderId="0" applyAlignment="1" pivotButton="0" quotePrefix="0" xfId="0">
      <alignment horizontal="right"/>
    </xf>
    <xf numFmtId="0" fontId="18" fillId="12" borderId="0" applyAlignment="1" pivotButton="0" quotePrefix="0" xfId="0">
      <alignment horizontal="center"/>
    </xf>
    <xf numFmtId="164" fontId="19" fillId="12" borderId="0" pivotButton="0" quotePrefix="0" xfId="0"/>
    <xf numFmtId="0" fontId="19" fillId="12" borderId="0" pivotButton="0" quotePrefix="0" xfId="0"/>
    <xf numFmtId="164" fontId="18" fillId="12" borderId="0" applyAlignment="1" pivotButton="0" quotePrefix="0" xfId="0">
      <alignment horizontal="right"/>
    </xf>
    <xf numFmtId="165" fontId="18" fillId="12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'Dashboard'!$E$4:$E$13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</row>
      <rowOff>0</rowOff>
    </from>
    <ext cx="50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50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40" min="1" max="3"/>
    <col width="32" customWidth="1" style="40" min="4" max="4"/>
    <col width="8.710000000000001" customWidth="1" style="40" min="5" max="6"/>
  </cols>
  <sheetData>
    <row r="1" ht="39.75" customHeight="1" s="40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11" t="inlineStr">
        <is>
          <t>System Type</t>
        </is>
      </c>
      <c r="B4" s="41" t="inlineStr">
        <is>
          <t>Rule-based quantitative Swing Trading system optimized for momentum setups.</t>
        </is>
      </c>
      <c r="C4" s="42" t="n"/>
      <c r="D4" s="4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11" t="inlineStr">
        <is>
          <t>Asset Class</t>
        </is>
      </c>
      <c r="B5" s="41" t="inlineStr">
        <is>
          <t>Indian Equities listed on NSE and BSE.</t>
        </is>
      </c>
      <c r="C5" s="42" t="n"/>
      <c r="D5" s="4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11" t="inlineStr">
        <is>
          <t>Target Universe</t>
        </is>
      </c>
      <c r="B6" s="41" t="inlineStr">
        <is>
          <t>Sharia-compliant stocks with high liquidity (Market Cap &gt; ₹500 Cr, Average Daily Volume &gt; 100,000).</t>
        </is>
      </c>
      <c r="C6" s="42" t="n"/>
      <c r="D6" s="4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40">
      <c r="A7" s="11" t="inlineStr">
        <is>
          <t>Trading Regime</t>
        </is>
      </c>
      <c r="B7" s="41" t="inlineStr">
        <is>
          <t>Adaptive momentum filters powered by custom trend, volatility, volume, and levels weights.</t>
        </is>
      </c>
      <c r="C7" s="42" t="n"/>
      <c r="D7" s="4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40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40">
      <c r="A10" s="11" t="inlineStr">
        <is>
          <t>Sector Exclusions</t>
        </is>
      </c>
      <c r="B10" s="41" t="inlineStr">
        <is>
          <t>Conventional Financial Services (Banks, Credit Services, Insurance), Tobacco, Alcohol, Brewers/Wineries, Gambling.</t>
        </is>
      </c>
      <c r="C10" s="42" t="n"/>
      <c r="D10" s="4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40">
      <c r="A11" s="11" t="inlineStr">
        <is>
          <t>Debt Ratio Limit</t>
        </is>
      </c>
      <c r="B11" s="41" t="inlineStr">
        <is>
          <t>Total Long Term &amp; Short Term Debt / Total Assets must be strictly less than 33%.</t>
        </is>
      </c>
      <c r="C11" s="42" t="n"/>
      <c r="D11" s="4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40">
      <c r="A12" s="11" t="inlineStr">
        <is>
          <t>Cash Ratio Limit</t>
        </is>
      </c>
      <c r="B12" s="41" t="inlineStr">
        <is>
          <t>Cash And Cash Equivalents &amp; Short Term Investments / Total Assets must be strictly less than 33%.</t>
        </is>
      </c>
      <c r="C12" s="42" t="n"/>
      <c r="D12" s="4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40">
      <c r="A13" s="11" t="inlineStr">
        <is>
          <t>Receivables Ratio</t>
        </is>
      </c>
      <c r="B13" s="41" t="inlineStr">
        <is>
          <t>Net Receivables / Total Assets must be strictly less than 49%.</t>
        </is>
      </c>
      <c r="C13" s="42" t="n"/>
      <c r="D13" s="4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40">
      <c r="A14" s="11" t="inlineStr">
        <is>
          <t>Non-Permissible Income</t>
        </is>
      </c>
      <c r="B14" s="41" t="inlineStr">
        <is>
          <t>Interest and Haram non-operating income / Total Revenue must be strictly less than 5%.</t>
        </is>
      </c>
      <c r="C14" s="42" t="n"/>
      <c r="D14" s="4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40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40">
      <c r="A17" s="11" t="inlineStr">
        <is>
          <t>Capital Control</t>
        </is>
      </c>
      <c r="B17" s="41" t="inlineStr">
        <is>
          <t>Position sizing is dynamically calculated based on the actual Capital Available for Trading in this journal.</t>
        </is>
      </c>
      <c r="C17" s="42" t="n"/>
      <c r="D17" s="4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40">
      <c r="A18" s="11" t="inlineStr">
        <is>
          <t>Allocation Cap</t>
        </is>
      </c>
      <c r="B18" s="41" t="inlineStr">
        <is>
          <t>Maximum capital allocated per trade is strictly capped at 20% of your total available account balance.</t>
        </is>
      </c>
      <c r="C18" s="42" t="n"/>
      <c r="D18" s="4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40">
      <c r="A19" s="11" t="inlineStr">
        <is>
          <t>Stop Loss (SL)</t>
        </is>
      </c>
      <c r="B19" s="41" t="inlineStr">
        <is>
          <t>Calculated dynamically using volatility (ATR / 200 EMA bounds) to guarantee downside protection.</t>
        </is>
      </c>
      <c r="C19" s="42" t="n"/>
      <c r="D19" s="4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40">
      <c r="A20" s="11" t="inlineStr">
        <is>
          <t>Target Price (T1)</t>
        </is>
      </c>
      <c r="B20" s="41" t="inlineStr">
        <is>
          <t>Calculated using volatility metrics to target a minimum Risk-to-Reward ratio of 1:2.0.</t>
        </is>
      </c>
      <c r="C20" s="42" t="n"/>
      <c r="D20" s="4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40">
      <c r="A21" s="11" t="inlineStr">
        <is>
          <t>Market Regime Filter</t>
        </is>
      </c>
      <c r="B21" s="41" t="inlineStr">
        <is>
          <t>Bullish: Nifty 50 &gt; 200 EMA (Trades permitted). Bearish: Nifty 50 &lt; 200 EMA (Long entries strictly skipped).</t>
        </is>
      </c>
      <c r="C21" s="42" t="n"/>
      <c r="D21" s="4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40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40">
      <c r="A24" s="11" t="inlineStr">
        <is>
          <t>Allocation Cap</t>
        </is>
      </c>
      <c r="B24" s="41" t="inlineStr">
        <is>
          <t>State-dependent: 20% max in State 1 (Macro Bullish); 10% max in State 2 (Bear Relief Rally) &amp; State 3 (Capitulation Bottom); 0% in State 4 (Cash Only).</t>
        </is>
      </c>
      <c r="C24" s="42" t="n"/>
      <c r="D24" s="4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40">
      <c r="A25" s="11" t="inlineStr">
        <is>
          <t>EOD Sync</t>
        </is>
      </c>
      <c r="B25" s="41" t="inlineStr">
        <is>
          <t>Run: py main.py sync-zerodha-orders  (Auto-syncs filled orders from Zerodha Kite, updates Ledger and Capital sheet)</t>
        </is>
      </c>
      <c r="C25" s="42" t="n"/>
      <c r="D25" s="4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40">
      <c r="A26" s="11" t="inlineStr">
        <is>
          <t>BSE Scan Expansion</t>
        </is>
      </c>
      <c r="B26" s="41" t="inlineStr">
        <is>
          <t>Run: py scratch/scan_all_bse.py  (Scans BSE equities to expand the Sharia-compliant universe)</t>
        </is>
      </c>
      <c r="C26" s="42" t="n"/>
      <c r="D26" s="4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40">
      <c r="A27" s="11" t="inlineStr">
        <is>
          <t>Market Regime Filter</t>
        </is>
      </c>
      <c r="B27" s="4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2" t="n"/>
      <c r="D27" s="4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40">
      <c r="A28" s="11" t="inlineStr">
        <is>
          <t>Broker Integration</t>
        </is>
      </c>
      <c r="B28" s="41" t="inlineStr">
        <is>
          <t>Uses custom Zerodha Web Adapter (totp_secret &amp; enctoken verification) to execute zero-cost trades without subscription.</t>
        </is>
      </c>
      <c r="C28" s="42" t="n"/>
      <c r="D28" s="4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40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40">
      <c r="A43" s="11" t="inlineStr">
        <is>
          <t>Total Listed Equities</t>
        </is>
      </c>
      <c r="B43" s="41" t="inlineStr">
        <is>
          <t>7,500+ stocks across NSE and BSE combined.</t>
        </is>
      </c>
      <c r="C43" s="42" t="n"/>
      <c r="D43" s="4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40">
      <c r="A44" s="11" t="inlineStr">
        <is>
          <t>Sharia-Compliant</t>
        </is>
      </c>
      <c r="B44" s="41" t="inlineStr">
        <is>
          <t>2,000+ stocks pass business and financial ratio exclusions (approx. 30-35% of Indian market).</t>
        </is>
      </c>
      <c r="C44" s="42" t="n"/>
      <c r="D44" s="4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40">
      <c r="A45" s="11" t="inlineStr">
        <is>
          <t>HSTS Filtered Universe</t>
        </is>
      </c>
      <c r="B45" s="41" t="inlineStr">
        <is>
          <t>545 stocks verified as both Sharia-compliant and highly liquid for swing trading.</t>
        </is>
      </c>
      <c r="C45" s="42" t="n"/>
      <c r="D45" s="4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40">
      <c r="A46" s="11" t="inlineStr">
        <is>
          <t>Liquidity Pre-Filter</t>
        </is>
      </c>
      <c r="B46" s="41" t="inlineStr">
        <is>
          <t>Market Capitalization &gt; INR 500 Crore AND Average Daily Volume &gt; 100,000 shares.</t>
        </is>
      </c>
      <c r="C46" s="42" t="n"/>
      <c r="D46" s="4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40">
      <c r="A47" s="11" t="inlineStr">
        <is>
          <t>Protection Rationale</t>
        </is>
      </c>
      <c r="B47" s="41" t="inlineStr">
        <is>
          <t>Filters out volatile micro-caps and penny stocks, minimizing execution slippage and preventing lower-circuit lock-ins.</t>
        </is>
      </c>
      <c r="C47" s="42" t="n"/>
      <c r="D47" s="4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40" min="1" max="1"/>
    <col width="22" customWidth="1" style="40" min="2" max="2"/>
    <col width="8.710000000000001" customWidth="1" style="40" min="3" max="6"/>
    <col width="16" customWidth="1" style="40" min="4" max="4"/>
    <col width="10" customWidth="1" style="40" min="5" max="5"/>
    <col width="16" customWidth="1" style="40" min="6" max="6"/>
    <col width="16" customWidth="1" style="40" min="7" max="7"/>
    <col width="18" customWidth="1" style="40" min="8" max="8"/>
    <col width="18" customWidth="1" style="40" min="9" max="9"/>
    <col width="14" customWidth="1" style="40" min="10" max="10"/>
  </cols>
  <sheetData>
    <row r="1" ht="30" customHeight="1" s="40">
      <c r="A1" s="45" t="inlineStr">
        <is>
          <t>HSTS v1.0 Trading Dashboard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46" t="inlineStr">
        <is>
          <t>Metric</t>
        </is>
      </c>
      <c r="B3" s="46" t="inlineStr">
        <is>
          <t>Value</t>
        </is>
      </c>
      <c r="C3" s="59" t="n"/>
      <c r="D3" s="67" t="inlineStr">
        <is>
          <t>Stock</t>
        </is>
      </c>
      <c r="E3" s="67" t="inlineStr">
        <is>
          <t>Qty</t>
        </is>
      </c>
      <c r="F3" s="67" t="inlineStr">
        <is>
          <t>Purchase Price</t>
        </is>
      </c>
      <c r="G3" s="67" t="inlineStr">
        <is>
          <t>Current Price</t>
        </is>
      </c>
      <c r="H3" s="67" t="inlineStr">
        <is>
          <t>Current Value</t>
        </is>
      </c>
      <c r="I3" s="67" t="inlineStr">
        <is>
          <t>P&amp;L Amount</t>
        </is>
      </c>
      <c r="J3" s="67" t="inlineStr">
        <is>
          <t>P&amp;L %</t>
        </is>
      </c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7" t="inlineStr">
        <is>
          <t>Global Portfolio Metrics</t>
        </is>
      </c>
      <c r="C4" s="59" t="n"/>
      <c r="D4" s="68" t="inlineStr">
        <is>
          <t>JSWSTEEL</t>
        </is>
      </c>
      <c r="E4" s="69" t="n">
        <v>1</v>
      </c>
      <c r="F4" s="70" t="n">
        <v>1265.1</v>
      </c>
      <c r="G4" s="70" t="n">
        <v>1307.900024414062</v>
      </c>
      <c r="H4" s="70">
        <f>E4*G4</f>
        <v/>
      </c>
      <c r="I4" s="71">
        <f>H4-(E4*F4)</f>
        <v/>
      </c>
      <c r="J4" s="72">
        <f>IF(F4&gt;0, I4/(E4*F4), 0)</f>
        <v/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8" t="inlineStr">
        <is>
          <t>Total Net Capital Deposited</t>
        </is>
      </c>
      <c r="B5" s="49">
        <f>SUMIF(Capital!B:B, "DEPOSIT", Capital!C:C)</f>
        <v/>
      </c>
      <c r="C5" s="59" t="n"/>
      <c r="D5" s="68" t="inlineStr">
        <is>
          <t>TECHM</t>
        </is>
      </c>
      <c r="E5" s="69" t="n">
        <v>1</v>
      </c>
      <c r="F5" s="70" t="n">
        <v>1579</v>
      </c>
      <c r="G5" s="70" t="n">
        <v>1632.199951171875</v>
      </c>
      <c r="H5" s="70">
        <f>E5*G5</f>
        <v/>
      </c>
      <c r="I5" s="71">
        <f>H5-(E5*F5)</f>
        <v/>
      </c>
      <c r="J5" s="72">
        <f>IF(F5&gt;0, I5/(E5*F5), 0)</f>
        <v/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8" t="inlineStr">
        <is>
          <t>Lifetime Realized PnL</t>
        </is>
      </c>
      <c r="B6" s="60">
        <f>SUM(Ledger!M:M)</f>
        <v/>
      </c>
      <c r="C6" s="59" t="n"/>
      <c r="D6" s="68" t="inlineStr">
        <is>
          <t>BERGEPAINT</t>
        </is>
      </c>
      <c r="E6" s="69" t="n">
        <v>2</v>
      </c>
      <c r="F6" s="70" t="n">
        <v>519.13</v>
      </c>
      <c r="G6" s="70" t="n">
        <v>537.5999755859375</v>
      </c>
      <c r="H6" s="70">
        <f>E6*G6</f>
        <v/>
      </c>
      <c r="I6" s="71">
        <f>H6-(E6*F6)</f>
        <v/>
      </c>
      <c r="J6" s="72">
        <f>IF(F6&gt;0, I6/(E6*F6), 0)</f>
        <v/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8" t="inlineStr">
        <is>
          <t>Lifetime Realized P/L Percentage</t>
        </is>
      </c>
      <c r="B7" s="61">
        <f>B6/B5</f>
        <v/>
      </c>
      <c r="C7" s="59" t="n"/>
      <c r="D7" s="68" t="inlineStr">
        <is>
          <t>ADVANCE</t>
        </is>
      </c>
      <c r="E7" s="69" t="n">
        <v>4</v>
      </c>
      <c r="F7" s="70" t="n">
        <v>127.8</v>
      </c>
      <c r="G7" s="70" t="n">
        <v>129.7799987792969</v>
      </c>
      <c r="H7" s="70">
        <f>E7*G7</f>
        <v/>
      </c>
      <c r="I7" s="71">
        <f>H7-(E7*F7)</f>
        <v/>
      </c>
      <c r="J7" s="72">
        <f>IF(F7&gt;0, I7/(E7*F7), 0)</f>
        <v/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8" t="inlineStr">
        <is>
          <t>Current Total Portfolio Value</t>
        </is>
      </c>
      <c r="B8" s="49">
        <f>B13+B12</f>
        <v/>
      </c>
      <c r="C8" s="59" t="n"/>
      <c r="D8" s="68" t="inlineStr">
        <is>
          <t>VISAKAIND</t>
        </is>
      </c>
      <c r="E8" s="69" t="n">
        <v>8</v>
      </c>
      <c r="F8" s="70" t="n">
        <v>86.98999999999999</v>
      </c>
      <c r="G8" s="70" t="n">
        <v>86.38999938964844</v>
      </c>
      <c r="H8" s="70">
        <f>E8*G8</f>
        <v/>
      </c>
      <c r="I8" s="73">
        <f>H8-(E8*F8)</f>
        <v/>
      </c>
      <c r="J8" s="74">
        <f>IF(F8&gt;0, I8/(E8*F8), 0)</f>
        <v/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8" t="inlineStr">
        <is>
          <t>Total Number of Trades</t>
        </is>
      </c>
      <c r="B9" s="51">
        <f>COUNTIF(Ledger!N:N, "WIN") + COUNTIF(Ledger!N:N, "LOSS") + COUNTIF(Ledger!N:N, "OPEN")</f>
        <v/>
      </c>
      <c r="C9" s="59" t="n"/>
      <c r="D9" s="68" t="inlineStr">
        <is>
          <t>EXCELSOFT</t>
        </is>
      </c>
      <c r="E9" s="69" t="n">
        <v>8</v>
      </c>
      <c r="F9" s="70" t="n">
        <v>82.5</v>
      </c>
      <c r="G9" s="70" t="n">
        <v>83.08999633789062</v>
      </c>
      <c r="H9" s="70">
        <f>E9*G9</f>
        <v/>
      </c>
      <c r="I9" s="71">
        <f>H9-(E9*F9)</f>
        <v/>
      </c>
      <c r="J9" s="72">
        <f>IF(F9&gt;0, I9/(E9*F9), 0)</f>
        <v/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8" t="inlineStr">
        <is>
          <t>Winning Percentage of Trades</t>
        </is>
      </c>
      <c r="B10" s="50">
        <f>IF((COUNTIF(Ledger!N:N, "WIN")+COUNTIF(Ledger!N:N, "LOSS"))&gt;0, COUNTIF(Ledger!N:N, "WIN")/(COUNTIF(Ledger!N:N, "WIN")+COUNTIF(Ledger!N:N, "LOSS")), 0)</f>
        <v/>
      </c>
      <c r="C10" s="59" t="n"/>
      <c r="D10" s="68" t="inlineStr">
        <is>
          <t>SONATSOFTW</t>
        </is>
      </c>
      <c r="E10" s="69" t="n">
        <v>3</v>
      </c>
      <c r="F10" s="70" t="n">
        <v>341.15</v>
      </c>
      <c r="G10" s="70" t="n">
        <v>331.9500122070312</v>
      </c>
      <c r="H10" s="70">
        <f>E10*G10</f>
        <v/>
      </c>
      <c r="I10" s="73">
        <f>H10-(E10*F10)</f>
        <v/>
      </c>
      <c r="J10" s="74">
        <f>IF(F10&gt;0, I10/(E10*F10), 0)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8" t="inlineStr">
        <is>
          <t>Capital Deployed in Open Trades</t>
        </is>
      </c>
      <c r="B11" s="49">
        <f>SUMPRODUCT((Ledger!N2:N500="OPEN")*(Ledger!E2:E500)*(Ledger!D2:D500))</f>
        <v/>
      </c>
      <c r="C11" s="59" t="n"/>
      <c r="D11" s="68" t="inlineStr">
        <is>
          <t>IFGLEXPOR</t>
        </is>
      </c>
      <c r="E11" s="69" t="n">
        <v>4</v>
      </c>
      <c r="F11" s="70" t="n">
        <v>219.6</v>
      </c>
      <c r="G11" s="70" t="n">
        <v>225.4499969482422</v>
      </c>
      <c r="H11" s="70">
        <f>E11*G11</f>
        <v/>
      </c>
      <c r="I11" s="71">
        <f>H11-(E11*F11)</f>
        <v/>
      </c>
      <c r="J11" s="72">
        <f>IF(F11&gt;0, I11/(E11*F11), 0)</f>
        <v/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8" t="inlineStr">
        <is>
          <t>Current Value of Active Trades</t>
        </is>
      </c>
      <c r="B12" s="60" t="n">
        <v>9629.429992675781</v>
      </c>
      <c r="C12" s="59" t="n"/>
      <c r="D12" s="68" t="inlineStr">
        <is>
          <t>SAPPHIRE</t>
        </is>
      </c>
      <c r="E12" s="69" t="n">
        <v>4</v>
      </c>
      <c r="F12" s="70" t="n">
        <v>202.5</v>
      </c>
      <c r="G12" s="70" t="n">
        <v>199.7400054931641</v>
      </c>
      <c r="H12" s="70">
        <f>E12*G12</f>
        <v/>
      </c>
      <c r="I12" s="73">
        <f>H12-(E12*F12)</f>
        <v/>
      </c>
      <c r="J12" s="74">
        <f>IF(F12&gt;0, I12/(E12*F12), 0)</f>
        <v/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8" t="inlineStr">
        <is>
          <t>Capital Available for Trading</t>
        </is>
      </c>
      <c r="B13" s="49" t="n">
        <v>262.4700000000003</v>
      </c>
      <c r="C13" s="59" t="n"/>
      <c r="D13" s="68" t="inlineStr">
        <is>
          <t>AEROENTER</t>
        </is>
      </c>
      <c r="E13" s="69" t="n">
        <v>8</v>
      </c>
      <c r="F13" s="70" t="n">
        <v>132.01</v>
      </c>
      <c r="G13" s="70" t="n">
        <v>130.3200073242188</v>
      </c>
      <c r="H13" s="70">
        <f>E13*G13</f>
        <v/>
      </c>
      <c r="I13" s="73">
        <f>H13-(E13*F13)</f>
        <v/>
      </c>
      <c r="J13" s="74">
        <f>IF(F13&gt;0, I13/(E13*F13), 0)</f>
        <v/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8" t="inlineStr">
        <is>
          <t>Total Wins</t>
        </is>
      </c>
      <c r="B14" s="51">
        <f>COUNTIF(Ledger!N:N, "WIN")</f>
        <v/>
      </c>
      <c r="C14" s="59" t="n"/>
      <c r="D14" s="75" t="inlineStr">
        <is>
          <t>Total Portfolio</t>
        </is>
      </c>
      <c r="E14" s="76" t="inlineStr"/>
      <c r="F14" s="77" t="inlineStr"/>
      <c r="G14" s="77" t="inlineStr"/>
      <c r="H14" s="78">
        <f>SUM(H4:H13)</f>
        <v/>
      </c>
      <c r="I14" s="78">
        <f>SUM(I4:I13)</f>
        <v/>
      </c>
      <c r="J14" s="79">
        <f>IF((H14-I14)&gt;0, I14/(H14-I14), 0)</f>
        <v/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8" t="inlineStr">
        <is>
          <t>Total Losses</t>
        </is>
      </c>
      <c r="B15" s="51">
        <f>COUNTIF(Ledger!N:N, "LOSS")</f>
        <v/>
      </c>
      <c r="C15" s="59" t="n"/>
      <c r="D15" s="59" t="n"/>
      <c r="E15" s="59" t="n"/>
      <c r="F15" s="59" t="n"/>
      <c r="G15" s="59" t="n"/>
      <c r="H15" s="59" t="n"/>
      <c r="I15" s="59" t="n"/>
      <c r="J15" s="59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8" t="inlineStr">
        <is>
          <t>Total Taxes Paid to Zerodha</t>
        </is>
      </c>
      <c r="B16" s="49">
        <f>SUMIF(Capital!D:D, "*Brokerage &amp; taxes*", Capital!C:C)</f>
        <v/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inlineStr">
        <is>
          <t>Swing Trading Statistics</t>
        </is>
      </c>
      <c r="C17" s="59" t="n"/>
      <c r="D17" s="59" t="n"/>
      <c r="E17" s="59" t="n"/>
      <c r="F17" s="59" t="n"/>
      <c r="G17" s="59" t="n"/>
      <c r="H17" s="59" t="n"/>
      <c r="I17" s="59" t="n"/>
      <c r="J17" s="59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8" t="inlineStr">
        <is>
          <t>Swing Win Rate</t>
        </is>
      </c>
      <c r="B18" s="5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9" t="n"/>
      <c r="D18" s="59" t="n"/>
      <c r="E18" s="59" t="n"/>
      <c r="F18" s="59" t="n"/>
      <c r="G18" s="59" t="n"/>
      <c r="H18" s="59" t="n"/>
      <c r="I18" s="59" t="n"/>
      <c r="J18" s="59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8" t="inlineStr">
        <is>
          <t>Swing Realized PnL</t>
        </is>
      </c>
      <c r="B19" s="49">
        <f>SUMIFS(Ledger!M:M, Ledger!P:P, "SWING")</f>
        <v/>
      </c>
      <c r="C19" s="59" t="n"/>
      <c r="D19" s="59" t="n"/>
      <c r="E19" s="59" t="n"/>
      <c r="F19" s="59" t="n"/>
      <c r="G19" s="59" t="n"/>
      <c r="H19" s="59" t="n"/>
      <c r="I19" s="59" t="n"/>
      <c r="J19" s="59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8" t="inlineStr">
        <is>
          <t>Swing Completed Trades</t>
        </is>
      </c>
      <c r="B20" s="51">
        <f>COUNTIFS(Ledger!P:P, "SWING", Ledger!N:N, "WIN") + COUNTIFS(Ledger!P:P, "SWING", Ledger!N:N, "LOSS")</f>
        <v/>
      </c>
      <c r="C20" s="59" t="n"/>
      <c r="D20" s="59" t="n"/>
      <c r="E20" s="59" t="n"/>
      <c r="F20" s="59" t="n"/>
      <c r="G20" s="59" t="n"/>
      <c r="H20" s="59" t="n"/>
      <c r="I20" s="59" t="n"/>
      <c r="J20" s="59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8" t="inlineStr">
        <is>
          <t>Swing Active Positions</t>
        </is>
      </c>
      <c r="B21" s="51">
        <f>COUNTIFS(Ledger!P:P, "SWING", Ledger!N:N, "OPEN")</f>
        <v/>
      </c>
      <c r="C21" s="59" t="n"/>
      <c r="D21" s="59" t="n"/>
      <c r="E21" s="59" t="n"/>
      <c r="F21" s="59" t="n"/>
      <c r="G21" s="59" t="n"/>
      <c r="H21" s="59" t="n"/>
      <c r="I21" s="59" t="n"/>
      <c r="J21" s="59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52" t="inlineStr">
        <is>
          <t>Intraday Trading Statistics</t>
        </is>
      </c>
      <c r="C22" s="59" t="n"/>
      <c r="D22" s="59" t="n"/>
      <c r="E22" s="59" t="n"/>
      <c r="F22" s="59" t="n"/>
      <c r="G22" s="59" t="n"/>
      <c r="H22" s="59" t="n"/>
      <c r="I22" s="59" t="n"/>
      <c r="J22" s="59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8" t="inlineStr">
        <is>
          <t>Intraday Win Rate</t>
        </is>
      </c>
      <c r="B23" s="5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9" t="n"/>
      <c r="D23" s="59" t="n"/>
      <c r="E23" s="59" t="n"/>
      <c r="F23" s="59" t="n"/>
      <c r="G23" s="59" t="n"/>
      <c r="H23" s="59" t="n"/>
      <c r="I23" s="59" t="n"/>
      <c r="J23" s="59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8" t="inlineStr">
        <is>
          <t>Intraday Realized PnL</t>
        </is>
      </c>
      <c r="B24" s="49">
        <f>SUMIFS(Ledger!M:M, Ledger!P:P, "INTRADAY")</f>
        <v/>
      </c>
      <c r="C24" s="59" t="n"/>
      <c r="D24" s="59" t="n"/>
      <c r="E24" s="59" t="n"/>
      <c r="F24" s="59" t="n"/>
      <c r="G24" s="59" t="n"/>
      <c r="H24" s="59" t="n"/>
      <c r="I24" s="59" t="n"/>
      <c r="J24" s="59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8" t="inlineStr">
        <is>
          <t>Intraday Completed Trades</t>
        </is>
      </c>
      <c r="B25" s="51">
        <f>COUNTIFS(Ledger!P:P, "INTRADAY", Ledger!N:N, "WIN") + COUNTIFS(Ledger!P:P, "INTRADAY", Ledger!N:N, "LOSS")</f>
        <v/>
      </c>
      <c r="C25" s="59" t="n"/>
      <c r="D25" s="59" t="n"/>
      <c r="E25" s="59" t="n"/>
      <c r="F25" s="59" t="n"/>
      <c r="G25" s="59" t="n"/>
      <c r="H25" s="59" t="n"/>
      <c r="I25" s="59" t="n"/>
      <c r="J25" s="59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8" t="inlineStr">
        <is>
          <t>Intraday Active Positions</t>
        </is>
      </c>
      <c r="B26" s="51">
        <f>COUNTIFS(Ledger!P:P, "INTRADAY", Ledger!N:N, "OPEN")</f>
        <v/>
      </c>
      <c r="C26" s="59" t="n"/>
      <c r="D26" s="59" t="n"/>
      <c r="E26" s="59" t="n"/>
      <c r="F26" s="59" t="n"/>
      <c r="G26" s="59" t="n"/>
      <c r="H26" s="59" t="n"/>
      <c r="I26" s="59" t="n"/>
      <c r="J26" s="59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40" min="1" max="1"/>
    <col width="25" customWidth="1" style="40" min="2" max="2"/>
    <col width="12.86" customWidth="1" style="40" min="3" max="3"/>
    <col width="10.86" customWidth="1" style="40" min="4" max="4"/>
    <col width="16" customWidth="1" style="40" min="5" max="9"/>
    <col width="22" customWidth="1" style="40" min="10" max="10"/>
    <col width="16" customWidth="1" style="40" min="11" max="14"/>
    <col width="30" customWidth="1" style="40" min="15" max="15"/>
    <col width="18" customWidth="1" style="40" min="16" max="16"/>
  </cols>
  <sheetData>
    <row r="1" ht="27.75" customHeight="1" s="4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3" t="inlineStr">
        <is>
          <t>SUNPHARMA</t>
        </is>
      </c>
      <c r="B2" s="53" t="inlineStr">
        <is>
          <t>SUNPHARMA</t>
        </is>
      </c>
      <c r="C2" s="53" t="inlineStr">
        <is>
          <t>2026-07-21</t>
        </is>
      </c>
      <c r="D2" s="53" t="n">
        <v>1</v>
      </c>
      <c r="E2" s="54" t="n">
        <v>1951</v>
      </c>
      <c r="F2" s="54" t="n">
        <v>1963.199951171875</v>
      </c>
      <c r="G2" s="54">
        <f>E2-F2</f>
        <v/>
      </c>
      <c r="H2" s="54" t="n">
        <v>2091.543361767483</v>
      </c>
      <c r="I2" s="54" t="n">
        <v>1899.028245874071</v>
      </c>
      <c r="J2" s="53" t="inlineStr">
        <is>
          <t>1:2.7</t>
        </is>
      </c>
      <c r="K2" s="53" t="inlineStr">
        <is>
          <t>2026-07-21</t>
        </is>
      </c>
      <c r="L2" s="54" t="n">
        <v>1960</v>
      </c>
      <c r="M2" s="54">
        <f>IF(OR(N2="WIN", N2="LOSS"), (L2-E2)*D2, 0)</f>
        <v/>
      </c>
      <c r="N2" s="53" t="inlineStr">
        <is>
          <t>WIN</t>
        </is>
      </c>
      <c r="O2" s="53" t="inlineStr">
        <is>
          <t>Auto-synced from Zerodha account | Auto-synced sell from Zerodha account</t>
        </is>
      </c>
      <c r="P2" s="55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3" t="inlineStr">
        <is>
          <t>JSWSTEEL</t>
        </is>
      </c>
      <c r="B3" s="53" t="inlineStr">
        <is>
          <t>JSWSTEEL</t>
        </is>
      </c>
      <c r="C3" s="53" t="inlineStr">
        <is>
          <t>2026-07-21</t>
        </is>
      </c>
      <c r="D3" s="53" t="n">
        <v>1</v>
      </c>
      <c r="E3" s="54" t="n">
        <v>1266.4</v>
      </c>
      <c r="F3" s="54" t="n">
        <v>1268.099975585938</v>
      </c>
      <c r="G3" s="54">
        <f>E3-F3</f>
        <v/>
      </c>
      <c r="H3" s="54" t="n">
        <v>1369.684246737149</v>
      </c>
      <c r="I3" s="54" t="n">
        <v>1217.307840010332</v>
      </c>
      <c r="J3" s="53" t="inlineStr">
        <is>
          <t>1:2.1</t>
        </is>
      </c>
      <c r="K3" s="53" t="inlineStr">
        <is>
          <t>2026-07-21</t>
        </is>
      </c>
      <c r="L3" s="54" t="n">
        <v>1267.1</v>
      </c>
      <c r="M3" s="54">
        <f>IF(OR(N3="WIN", N3="LOSS"), (L3-E3)*D3, 0)</f>
        <v/>
      </c>
      <c r="N3" s="53" t="inlineStr">
        <is>
          <t>WIN</t>
        </is>
      </c>
      <c r="O3" s="53" t="inlineStr">
        <is>
          <t>Auto-synced from Zerodha account | Auto-synced sell from Zerodha account</t>
        </is>
      </c>
      <c r="P3" s="55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6" t="inlineStr">
        <is>
          <t>TECHM</t>
        </is>
      </c>
      <c r="B4" s="56" t="inlineStr">
        <is>
          <t>TECHM</t>
        </is>
      </c>
      <c r="C4" s="56" t="inlineStr">
        <is>
          <t>2026-07-21</t>
        </is>
      </c>
      <c r="D4" s="56" t="n">
        <v>1</v>
      </c>
      <c r="E4" s="57" t="n">
        <v>1589.1</v>
      </c>
      <c r="F4" s="57" t="n">
        <v>1582.699951171875</v>
      </c>
      <c r="G4" s="57">
        <f>E4-F4</f>
        <v/>
      </c>
      <c r="H4" s="57" t="n">
        <v>1785.968673647753</v>
      </c>
      <c r="I4" s="57" t="n">
        <v>1481.065589933936</v>
      </c>
      <c r="J4" s="56" t="inlineStr">
        <is>
          <t>1:1.8</t>
        </is>
      </c>
      <c r="K4" s="56" t="inlineStr">
        <is>
          <t>2026-07-21</t>
        </is>
      </c>
      <c r="L4" s="57" t="n">
        <v>1575</v>
      </c>
      <c r="M4" s="57">
        <f>IF(OR(N4="WIN", N4="LOSS"), (L4-E4)*D4, 0)</f>
        <v/>
      </c>
      <c r="N4" s="56" t="inlineStr">
        <is>
          <t>LOSS</t>
        </is>
      </c>
      <c r="O4" s="56" t="inlineStr">
        <is>
          <t>Auto-synced from Zerodha account | Auto-synced sell from Zerodha account</t>
        </is>
      </c>
      <c r="P4" s="58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3" t="inlineStr">
        <is>
          <t>SONACOMS</t>
        </is>
      </c>
      <c r="B5" s="53" t="inlineStr">
        <is>
          <t>SONACOMS</t>
        </is>
      </c>
      <c r="C5" s="53" t="inlineStr">
        <is>
          <t>2026-07-22</t>
        </is>
      </c>
      <c r="D5" s="53" t="n">
        <v>2</v>
      </c>
      <c r="E5" s="54" t="n">
        <v>734.7</v>
      </c>
      <c r="F5" s="54" t="n">
        <v>730.4500122070312</v>
      </c>
      <c r="G5" s="54">
        <f>E5-F5</f>
        <v/>
      </c>
      <c r="H5" s="54" t="n">
        <v>800.5786220005581</v>
      </c>
      <c r="I5" s="54" t="n">
        <v>695.3857073102679</v>
      </c>
      <c r="J5" s="53" t="inlineStr">
        <is>
          <t>1:1.7</t>
        </is>
      </c>
      <c r="K5" s="55" t="inlineStr">
        <is>
          <t>2026-08-05</t>
        </is>
      </c>
      <c r="L5" s="54" t="n">
        <v>798.25</v>
      </c>
      <c r="M5" s="54">
        <f>IF(OR(N5="WIN", N5="LOSS"), (L5-E5)*D5, 0)</f>
        <v/>
      </c>
      <c r="N5" s="53" t="inlineStr">
        <is>
          <t>WIN</t>
        </is>
      </c>
      <c r="O5" s="53" t="inlineStr">
        <is>
          <t>Auto-synced from Zerodha account | [2026-07-28] State 4 (Cash Only): Hold position, maintain pre-set stop-loss, do not average down. | Auto-synced sell from Zerodha account</t>
        </is>
      </c>
      <c r="P5" s="55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5" t="inlineStr">
        <is>
          <t>JSWSTEEL</t>
        </is>
      </c>
      <c r="B6" s="25" t="inlineStr">
        <is>
          <t>JSW Steel Limited</t>
        </is>
      </c>
      <c r="C6" s="26" t="inlineStr">
        <is>
          <t>2026-07-22</t>
        </is>
      </c>
      <c r="D6" s="27" t="n">
        <v>1</v>
      </c>
      <c r="E6" s="28" t="n">
        <v>1265.1</v>
      </c>
      <c r="F6" s="28" t="n">
        <v>1265.1</v>
      </c>
      <c r="G6" s="28">
        <f>E6-F6</f>
        <v/>
      </c>
      <c r="H6" s="28" t="n">
        <v>1368.16</v>
      </c>
      <c r="I6" s="28" t="n">
        <v>1217.31</v>
      </c>
      <c r="J6" s="26" t="inlineStr">
        <is>
          <t>1:2.1</t>
        </is>
      </c>
      <c r="K6" s="27" t="n"/>
      <c r="L6" s="28" t="n"/>
      <c r="M6" s="28">
        <f>IF(OR(N6="WIN", N6="LOSS"), (L6-E6)*D6, 0)</f>
        <v/>
      </c>
      <c r="N6" s="26" t="inlineStr">
        <is>
          <t>OPEN</t>
        </is>
      </c>
      <c r="O6" s="25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8" t="n">
        <v>1579</v>
      </c>
      <c r="F7" s="8" t="n">
        <v>1593.900024414062</v>
      </c>
      <c r="G7" s="8">
        <f>E7-F7</f>
        <v/>
      </c>
      <c r="H7" s="8" t="n">
        <v>1773.642944335938</v>
      </c>
      <c r="I7" s="8" t="n">
        <v>1504.028564453125</v>
      </c>
      <c r="J7" s="4" t="inlineStr">
        <is>
          <t>1:2.6</t>
        </is>
      </c>
      <c r="K7" s="4" t="n"/>
      <c r="L7" s="4" t="n"/>
      <c r="M7" s="8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8" t="n">
        <v>519.13</v>
      </c>
      <c r="F8" s="8" t="n">
        <v>521.35</v>
      </c>
      <c r="G8" s="8">
        <f>E8-F8</f>
        <v/>
      </c>
      <c r="H8" s="8" t="n">
        <v>574.85</v>
      </c>
      <c r="I8" s="8" t="n">
        <v>494.6</v>
      </c>
      <c r="J8" s="4" t="inlineStr">
        <is>
          <t>1:2.0</t>
        </is>
      </c>
      <c r="K8" s="4" t="n"/>
      <c r="L8" s="8" t="n"/>
      <c r="M8" s="8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8" t="n">
        <v>127.8</v>
      </c>
      <c r="F9" s="8" t="n">
        <v>125.01</v>
      </c>
      <c r="G9" s="8">
        <f>E9-F9</f>
        <v/>
      </c>
      <c r="H9" s="8" t="n">
        <v>145.56</v>
      </c>
      <c r="I9" s="8" t="n">
        <v>114.74</v>
      </c>
      <c r="J9" s="4" t="inlineStr">
        <is>
          <t>1:2.0</t>
        </is>
      </c>
      <c r="K9" s="4" t="n"/>
      <c r="L9" s="8" t="n"/>
      <c r="M9" s="8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8" t="inlineStr">
        <is>
          <t>NESTLEIND</t>
        </is>
      </c>
      <c r="B10" s="58" t="inlineStr">
        <is>
          <t>NESTLEIND</t>
        </is>
      </c>
      <c r="C10" s="58" t="inlineStr">
        <is>
          <t>2026-08-04</t>
        </is>
      </c>
      <c r="D10" s="58" t="n">
        <v>1</v>
      </c>
      <c r="E10" s="57" t="n">
        <v>1530</v>
      </c>
      <c r="F10" s="57" t="n">
        <v>1530</v>
      </c>
      <c r="G10" s="57" t="n">
        <v>0</v>
      </c>
      <c r="H10" s="57" t="n">
        <v>1549.8</v>
      </c>
      <c r="I10" s="57" t="n">
        <v>1520.1</v>
      </c>
      <c r="J10" s="58" t="inlineStr">
        <is>
          <t>1:2.0</t>
        </is>
      </c>
      <c r="K10" s="58" t="inlineStr">
        <is>
          <t>2026-08-04</t>
        </is>
      </c>
      <c r="L10" s="57" t="n">
        <v>1520.1</v>
      </c>
      <c r="M10" s="57">
        <f>IF(OR(N10="WIN", N10="LOSS"), (L10-E10)*D10, 0)</f>
        <v/>
      </c>
      <c r="N10" s="58" t="inlineStr">
        <is>
          <t>LOSS</t>
        </is>
      </c>
      <c r="O10" s="58" t="inlineStr">
        <is>
          <t>Intraday placement. GTT Trigger: 330204955 | Position closed via Stop-Loss GTT trigger. Actual Buy Filled at INR 1523.00</t>
        </is>
      </c>
      <c r="P10" s="58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8" t="inlineStr">
        <is>
          <t>PIDILITIND</t>
        </is>
      </c>
      <c r="B11" s="58" t="inlineStr">
        <is>
          <t>PIDILITIND</t>
        </is>
      </c>
      <c r="C11" s="58" t="inlineStr">
        <is>
          <t>2026-08-04</t>
        </is>
      </c>
      <c r="D11" s="58" t="n">
        <v>1</v>
      </c>
      <c r="E11" s="57" t="n">
        <v>1642.5</v>
      </c>
      <c r="F11" s="57" t="n">
        <v>1642.5</v>
      </c>
      <c r="G11" s="57" t="n">
        <v>0</v>
      </c>
      <c r="H11" s="57" t="n">
        <v>1658.5</v>
      </c>
      <c r="I11" s="57" t="n">
        <v>1634.5</v>
      </c>
      <c r="J11" s="58" t="inlineStr">
        <is>
          <t>1:2.0</t>
        </is>
      </c>
      <c r="K11" s="58" t="inlineStr">
        <is>
          <t>2026-08-04</t>
        </is>
      </c>
      <c r="L11" s="57" t="n">
        <v>1634.5</v>
      </c>
      <c r="M11" s="57">
        <f>IF(OR(N11="WIN", N11="LOSS"), (L11-E11)*D11, 0)</f>
        <v/>
      </c>
      <c r="N11" s="58" t="inlineStr">
        <is>
          <t>LOSS</t>
        </is>
      </c>
      <c r="O11" s="58" t="inlineStr">
        <is>
          <t>Intraday placement. GTT Trigger: 330204926 | Position closed via Stop-Loss GTT trigger.</t>
        </is>
      </c>
      <c r="P11" s="58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VISAKAIND</t>
        </is>
      </c>
      <c r="B12" s="4" t="inlineStr">
        <is>
          <t>VISAKAIND</t>
        </is>
      </c>
      <c r="C12" s="4" t="inlineStr">
        <is>
          <t>2026-08-05</t>
        </is>
      </c>
      <c r="D12" s="4" t="n">
        <v>8</v>
      </c>
      <c r="E12" s="8" t="n">
        <v>86.98999999999999</v>
      </c>
      <c r="F12" s="8" t="n">
        <v>86.98999999999999</v>
      </c>
      <c r="G12" s="8" t="n">
        <v>0</v>
      </c>
      <c r="H12" s="8" t="n">
        <v>101.83</v>
      </c>
      <c r="I12" s="8" t="n">
        <v>79.56999999999999</v>
      </c>
      <c r="J12" s="4" t="inlineStr">
        <is>
          <t>1:2.0</t>
        </is>
      </c>
      <c r="K12" s="4" t="n"/>
      <c r="L12" s="4" t="n"/>
      <c r="M12" s="8">
        <f>IF(OR(N12="WIN", N12="LOSS"), (L12-E12)*D12, 0)</f>
        <v/>
      </c>
      <c r="N12" s="4" t="inlineStr">
        <is>
          <t>OPEN</t>
        </is>
      </c>
      <c r="O12" s="4" t="inlineStr">
        <is>
          <t>Swing AMO placement. GTT Trigger: 330406766</t>
        </is>
      </c>
      <c r="P12" s="4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EXCELSOFT</t>
        </is>
      </c>
      <c r="B13" s="4" t="inlineStr">
        <is>
          <t>EXCELSOFT</t>
        </is>
      </c>
      <c r="C13" s="4" t="inlineStr">
        <is>
          <t>2026-08-05</t>
        </is>
      </c>
      <c r="D13" s="4" t="n">
        <v>8</v>
      </c>
      <c r="E13" s="8" t="n">
        <v>82.5</v>
      </c>
      <c r="F13" s="8" t="n">
        <v>82.5</v>
      </c>
      <c r="G13" s="8" t="n">
        <v>0</v>
      </c>
      <c r="H13" s="8" t="n">
        <v>93.81</v>
      </c>
      <c r="I13" s="8" t="n">
        <v>77.58</v>
      </c>
      <c r="J13" s="4" t="inlineStr">
        <is>
          <t>1:2.0</t>
        </is>
      </c>
      <c r="K13" s="4" t="n"/>
      <c r="L13" s="4" t="n"/>
      <c r="M13" s="8">
        <f>IF(OR(N13="WIN", N13="LOSS"), (L13-E13)*D13, 0)</f>
        <v/>
      </c>
      <c r="N13" s="4" t="inlineStr">
        <is>
          <t>OPEN</t>
        </is>
      </c>
      <c r="O13" s="4" t="inlineStr">
        <is>
          <t>Swing AMO placement. GTT Trigger: 330406774</t>
        </is>
      </c>
      <c r="P13" s="4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SONATSOFTW</t>
        </is>
      </c>
      <c r="B14" s="4" t="inlineStr">
        <is>
          <t>SONATSOFTW</t>
        </is>
      </c>
      <c r="C14" s="4" t="inlineStr">
        <is>
          <t>2026-08-05</t>
        </is>
      </c>
      <c r="D14" s="4" t="n">
        <v>3</v>
      </c>
      <c r="E14" s="8" t="n">
        <v>341.15</v>
      </c>
      <c r="F14" s="8" t="n">
        <v>341.15</v>
      </c>
      <c r="G14" s="8" t="n">
        <v>0</v>
      </c>
      <c r="H14" s="8" t="n">
        <v>405.1</v>
      </c>
      <c r="I14" s="8" t="n">
        <v>316.2</v>
      </c>
      <c r="J14" s="4" t="inlineStr">
        <is>
          <t>1:2.6</t>
        </is>
      </c>
      <c r="K14" s="4" t="n"/>
      <c r="L14" s="4" t="n"/>
      <c r="M14" s="8">
        <f>IF(OR(N15="WIN", N15="LOSS"), (L15-E15)*D15, 0)</f>
        <v/>
      </c>
      <c r="N14" s="4" t="inlineStr">
        <is>
          <t>OPEN</t>
        </is>
      </c>
      <c r="O14" s="4" t="inlineStr">
        <is>
          <t>Swing Trade placement. GTT Trigger: 330502180</t>
        </is>
      </c>
      <c r="P14" s="4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8" t="n">
        <v>219.6</v>
      </c>
      <c r="F15" s="8" t="n">
        <v>219.6</v>
      </c>
      <c r="G15" s="8" t="n">
        <v>0</v>
      </c>
      <c r="H15" s="8" t="n">
        <v>266.25</v>
      </c>
      <c r="I15" s="8" t="n">
        <v>196.3</v>
      </c>
      <c r="J15" s="4" t="inlineStr">
        <is>
          <t>1:2.0</t>
        </is>
      </c>
      <c r="K15" s="4" t="n"/>
      <c r="L15" s="4" t="n"/>
      <c r="M15" s="8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8" t="n">
        <v>202.5</v>
      </c>
      <c r="F16" s="8" t="n">
        <v>202.5</v>
      </c>
      <c r="G16" s="8" t="n">
        <v>0</v>
      </c>
      <c r="H16" s="8" t="n">
        <v>238.85</v>
      </c>
      <c r="I16" s="8" t="n">
        <v>184.35</v>
      </c>
      <c r="J16" s="4" t="inlineStr">
        <is>
          <t>1:2.0</t>
        </is>
      </c>
      <c r="K16" s="4" t="n"/>
      <c r="L16" s="4" t="n"/>
      <c r="M16" s="8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8" t="n">
        <v>132.01</v>
      </c>
      <c r="F17" s="8" t="n">
        <v>132.01</v>
      </c>
      <c r="G17" s="8">
        <f>E18-F18</f>
        <v/>
      </c>
      <c r="H17" s="8" t="n">
        <v>159.05</v>
      </c>
      <c r="I17" s="8" t="n">
        <v>118.7</v>
      </c>
      <c r="J17" s="4" t="inlineStr">
        <is>
          <t>1:2.0</t>
        </is>
      </c>
      <c r="K17" s="4" t="n"/>
      <c r="L17" s="4" t="n"/>
      <c r="M17" s="8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8" t="inlineStr">
        <is>
          <t>TATASTEEL</t>
        </is>
      </c>
      <c r="B18" s="58" t="inlineStr">
        <is>
          <t>TATASTEEL</t>
        </is>
      </c>
      <c r="C18" s="58" t="inlineStr">
        <is>
          <t>2026-08-06</t>
        </is>
      </c>
      <c r="D18" s="58" t="n">
        <v>1</v>
      </c>
      <c r="E18" s="57" t="n">
        <v>192.6</v>
      </c>
      <c r="F18" s="57" t="n">
        <v>192.6</v>
      </c>
      <c r="G18" s="57" t="n">
        <v>0</v>
      </c>
      <c r="H18" s="57" t="n">
        <v>195.65</v>
      </c>
      <c r="I18" s="57" t="n">
        <v>191.65</v>
      </c>
      <c r="J18" s="58" t="inlineStr">
        <is>
          <t>1:2.0</t>
        </is>
      </c>
      <c r="K18" s="58" t="inlineStr">
        <is>
          <t>2026-08-06</t>
        </is>
      </c>
      <c r="L18" s="58" t="n">
        <v>191.65</v>
      </c>
      <c r="M18" s="57">
        <f>IF(OR(N19="WIN", N19="LOSS"), (L19-E19)*D19, 0)</f>
        <v/>
      </c>
      <c r="N18" s="58" t="inlineStr">
        <is>
          <t>LOSS</t>
        </is>
      </c>
      <c r="O18" s="58" t="inlineStr">
        <is>
          <t>Intraday AMO placement. GTT Trigger: 330580570 | Closed via GTT Stop Loss.</t>
        </is>
      </c>
      <c r="P18" s="58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4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0" min="1" max="2"/>
    <col width="25" customWidth="1" style="40" min="3" max="3"/>
    <col width="18" customWidth="1" style="40" min="4" max="7"/>
    <col width="22" customWidth="1" style="40" min="8" max="8"/>
    <col width="18" customWidth="1" style="40" min="9" max="9"/>
    <col width="22" customWidth="1" style="40" min="10" max="10"/>
    <col width="24" customWidth="1" style="40" min="11" max="11"/>
    <col width="30" customWidth="1" style="40" min="12" max="12"/>
  </cols>
  <sheetData>
    <row r="1" ht="27.75" customHeight="1" s="40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8" t="n">
        <v>1267.400024414062</v>
      </c>
      <c r="F2" s="8" t="n">
        <v>1217.533463494685</v>
      </c>
      <c r="G2" s="8" t="n">
        <v>1367.133146252818</v>
      </c>
      <c r="H2" s="6" t="inlineStr">
        <is>
          <t>1:2.0</t>
        </is>
      </c>
      <c r="I2" s="6" t="n">
        <v>1</v>
      </c>
      <c r="J2" s="8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8" t="n">
        <v>2514.800048828125</v>
      </c>
      <c r="F3" s="8" t="n">
        <v>2414.086713938525</v>
      </c>
      <c r="G3" s="8" t="n">
        <v>2716.226718607325</v>
      </c>
      <c r="H3" s="6" t="inlineStr">
        <is>
          <t>1:2.0</t>
        </is>
      </c>
      <c r="I3" s="6" t="n">
        <v>0</v>
      </c>
      <c r="J3" s="8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8" t="n">
        <v>12094</v>
      </c>
      <c r="F4" s="8" t="n">
        <v>11658.42857142857</v>
      </c>
      <c r="G4" s="8" t="n">
        <v>12965.14285714286</v>
      </c>
      <c r="H4" s="6" t="inlineStr">
        <is>
          <t>1:2.0</t>
        </is>
      </c>
      <c r="I4" s="6" t="n">
        <v>0</v>
      </c>
      <c r="J4" s="8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8" t="n">
        <v>7882</v>
      </c>
      <c r="F5" s="8" t="n">
        <v>7455.142857142857</v>
      </c>
      <c r="G5" s="8" t="n">
        <v>8735.714285714286</v>
      </c>
      <c r="H5" s="6" t="inlineStr">
        <is>
          <t>1:2.0</t>
        </is>
      </c>
      <c r="I5" s="6" t="n">
        <v>0</v>
      </c>
      <c r="J5" s="8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8" t="n">
        <v>1470</v>
      </c>
      <c r="F6" s="8" t="n">
        <v>1391.314226422991</v>
      </c>
      <c r="G6" s="8" t="n">
        <v>1627.371547154018</v>
      </c>
      <c r="H6" s="6" t="inlineStr">
        <is>
          <t>1:2.0</t>
        </is>
      </c>
      <c r="I6" s="6" t="n">
        <v>1</v>
      </c>
      <c r="J6" s="8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8" t="n">
        <v>1267.4</v>
      </c>
      <c r="F7" s="8" t="n">
        <v>1219.23</v>
      </c>
      <c r="G7" s="8" t="n">
        <v>1363.73</v>
      </c>
      <c r="H7" s="6" t="inlineStr">
        <is>
          <t>1:2.0</t>
        </is>
      </c>
      <c r="I7" s="6" t="n">
        <v>1</v>
      </c>
      <c r="J7" s="8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8" t="n">
        <v>732.75</v>
      </c>
      <c r="F8" s="8" t="n">
        <v>703.5</v>
      </c>
      <c r="G8" s="8" t="n">
        <v>797.86</v>
      </c>
      <c r="H8" s="6" t="inlineStr">
        <is>
          <t>1:2.0</t>
        </is>
      </c>
      <c r="I8" s="6" t="n">
        <v>2</v>
      </c>
      <c r="J8" s="8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8" t="n">
        <v>2514.8</v>
      </c>
      <c r="F9" s="8" t="n">
        <v>2417.09</v>
      </c>
      <c r="G9" s="8" t="n">
        <v>2710.23</v>
      </c>
      <c r="H9" s="6" t="inlineStr">
        <is>
          <t>1:2.0</t>
        </is>
      </c>
      <c r="I9" s="6" t="n">
        <v>0</v>
      </c>
      <c r="J9" s="8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8" t="n">
        <v>4581.7</v>
      </c>
      <c r="F10" s="8" t="n">
        <v>4414.33</v>
      </c>
      <c r="G10" s="8" t="n">
        <v>4916.44</v>
      </c>
      <c r="H10" s="6" t="inlineStr">
        <is>
          <t>1:2.0</t>
        </is>
      </c>
      <c r="I10" s="6" t="n">
        <v>0</v>
      </c>
      <c r="J10" s="8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8" t="n">
        <v>27245</v>
      </c>
      <c r="F11" s="8" t="n">
        <v>26152.92</v>
      </c>
      <c r="G11" s="8" t="n">
        <v>29429.17</v>
      </c>
      <c r="H11" s="6" t="inlineStr">
        <is>
          <t>1:2.0</t>
        </is>
      </c>
      <c r="I11" s="6" t="n">
        <v>0</v>
      </c>
      <c r="J11" s="8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8" t="n">
        <v>1559.5</v>
      </c>
      <c r="F12" s="8" t="n">
        <v>1508.1</v>
      </c>
      <c r="G12" s="8" t="n">
        <v>1746.3</v>
      </c>
      <c r="H12" s="4" t="inlineStr">
        <is>
          <t>1:2.0</t>
        </is>
      </c>
      <c r="I12" s="4" t="n">
        <v>0</v>
      </c>
      <c r="J12" s="8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8" t="n">
        <v>521.35</v>
      </c>
      <c r="F13" s="8" t="n">
        <v>494.6</v>
      </c>
      <c r="G13" s="8" t="n">
        <v>574.85</v>
      </c>
      <c r="H13" s="4" t="inlineStr">
        <is>
          <t>1:2.0</t>
        </is>
      </c>
      <c r="I13" s="4" t="n">
        <v>1</v>
      </c>
      <c r="J13" s="8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8" t="n">
        <v>1530</v>
      </c>
      <c r="F14" s="8" t="n">
        <v>1520.11</v>
      </c>
      <c r="G14" s="8" t="n">
        <v>1549.77</v>
      </c>
      <c r="H14" s="4" t="inlineStr">
        <is>
          <t>1:2.0</t>
        </is>
      </c>
      <c r="I14" s="4" t="n">
        <v>1</v>
      </c>
      <c r="J14" s="8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8" t="n">
        <v>1642.5</v>
      </c>
      <c r="F15" s="8" t="n">
        <v>1634.5</v>
      </c>
      <c r="G15" s="8" t="n">
        <v>1658.5</v>
      </c>
      <c r="H15" s="4" t="inlineStr">
        <is>
          <t>1:2.0</t>
        </is>
      </c>
      <c r="I15" s="4" t="n">
        <v>1</v>
      </c>
      <c r="J15" s="8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40" min="1" max="2"/>
    <col width="18" customWidth="1" style="40" min="3" max="3"/>
    <col width="40" customWidth="1" style="40" min="4" max="4"/>
    <col width="8.710000000000001" customWidth="1" style="40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21-7-2026</t>
        </is>
      </c>
      <c r="B2" s="6" t="inlineStr">
        <is>
          <t>DEPOSIT</t>
        </is>
      </c>
      <c r="C2" s="6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2026-07-22</t>
        </is>
      </c>
      <c r="B3" s="6" t="inlineStr">
        <is>
          <t>WITHDRAWAL</t>
        </is>
      </c>
      <c r="C3" s="8" t="n">
        <v>1.76</v>
      </c>
      <c r="D3" s="6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2026-07-22</t>
        </is>
      </c>
      <c r="B4" s="6" t="inlineStr">
        <is>
          <t>WITHDRAWAL</t>
        </is>
      </c>
      <c r="C4" s="8" t="n">
        <v>1.52</v>
      </c>
      <c r="D4" s="6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6" t="inlineStr">
        <is>
          <t>2026-07-24</t>
        </is>
      </c>
      <c r="B5" s="26" t="inlineStr">
        <is>
          <t>WITHDRAWAL</t>
        </is>
      </c>
      <c r="C5" s="28" t="n">
        <v>181.62</v>
      </c>
      <c r="D5" s="25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8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8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8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8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8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8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8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8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8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8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8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8" t="n">
        <v>0.79</v>
      </c>
      <c r="D17" s="4" t="inlineStr">
        <is>
          <t>Brokerage &amp; taxes on EXCELSOFT BUY (8 qty @ 82.50)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8" t="n">
        <v>17.59</v>
      </c>
      <c r="D18" s="4" t="inlineStr">
        <is>
          <t>Brokerage &amp; taxes on SONACOMS SELL (2 qty @ 798.25)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ADJUSTMENT_IN</t>
        </is>
      </c>
      <c r="C19" s="8" t="n">
        <v>701.1600000000026</v>
      </c>
      <c r="D19" s="4" t="inlineStr">
        <is>
          <t>System reconciliation adjustment to align with Zerodha Cash Margin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8" t="n">
        <v>237.0800000000008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2026-08-05</t>
        </is>
      </c>
      <c r="B21" s="4" t="inlineStr">
        <is>
          <t>WITHDRAWAL</t>
        </is>
      </c>
      <c r="C21" s="8" t="n">
        <v>1.23</v>
      </c>
      <c r="D21" s="4" t="inlineStr">
        <is>
          <t>Brokerage &amp; taxes on SONATSOFTW BUY (3 qty @ 341.20)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2026-08-05</t>
        </is>
      </c>
      <c r="B22" s="4" t="inlineStr">
        <is>
          <t>ADJUSTMENT_IN</t>
        </is>
      </c>
      <c r="C22" s="8" t="n">
        <v>1.380000000001019</v>
      </c>
      <c r="D22" s="4" t="inlineStr">
        <is>
          <t>System reconciliation adjustment to align with Zerodha Cash Margin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2026-08-05</t>
        </is>
      </c>
      <c r="B23" s="4" t="inlineStr">
        <is>
          <t>ADJUSTMENT_IN</t>
        </is>
      </c>
      <c r="C23" s="8" t="n">
        <v>515.2099999999991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2026-08-05</t>
        </is>
      </c>
      <c r="B24" s="4" t="inlineStr">
        <is>
          <t>WITHDRAWAL</t>
        </is>
      </c>
      <c r="C24" s="8" t="n">
        <v>1.23</v>
      </c>
      <c r="D24" s="4" t="inlineStr">
        <is>
          <t>Brokerage &amp; taxes on SONATSOFTW BUY (3 qty @ 341.15)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2026-08-05</t>
        </is>
      </c>
      <c r="B25" s="4" t="inlineStr">
        <is>
          <t>ADJUSTMENT_OUT</t>
        </is>
      </c>
      <c r="C25" s="8" t="n">
        <v>915.6199999999999</v>
      </c>
      <c r="D25" s="4" t="inlineStr">
        <is>
          <t>System reconciliation adjustment to align with Zerodha Cash Margin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2026-08-05</t>
        </is>
      </c>
      <c r="B26" s="4" t="inlineStr">
        <is>
          <t>WITHDRAWAL</t>
        </is>
      </c>
      <c r="C26" s="8" t="n">
        <v>1.05</v>
      </c>
      <c r="D26" s="4" t="inlineStr">
        <is>
          <t>Brokerage &amp; taxes on IFGLEXPOR BUY (4 qty @ 219.60)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2026-08-05</t>
        </is>
      </c>
      <c r="B27" s="4" t="inlineStr">
        <is>
          <t>WITHDRAWAL</t>
        </is>
      </c>
      <c r="C27" s="8" t="n">
        <v>0.97</v>
      </c>
      <c r="D27" s="4" t="inlineStr">
        <is>
          <t>Brokerage &amp; taxes on SAPPHIRE BUY (4 qty @ 202.50)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2026-08-05</t>
        </is>
      </c>
      <c r="B28" s="4" t="inlineStr">
        <is>
          <t>WITHDRAWAL</t>
        </is>
      </c>
      <c r="C28" s="8" t="n">
        <v>1.27</v>
      </c>
      <c r="D28" s="4" t="inlineStr">
        <is>
          <t>Brokerage &amp; taxes on AEROENTER BUY (8 qty @ 132.15)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2026-08-05</t>
        </is>
      </c>
      <c r="B29" s="4" t="inlineStr">
        <is>
          <t>WITHDRAWAL</t>
        </is>
      </c>
      <c r="C29" s="8" t="n">
        <v>0.6899999999999999</v>
      </c>
      <c r="D29" s="4" t="inlineStr">
        <is>
          <t>Brokerage &amp; taxes on TATASTEEL BUY (3 qty @ 193.00)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</t>
        </is>
      </c>
      <c r="B30" s="4" t="inlineStr">
        <is>
          <t>ADJUSTMENT_OUT</t>
        </is>
      </c>
      <c r="C30" s="8" t="n">
        <v>96854.67</v>
      </c>
      <c r="D30" s="4" t="inlineStr">
        <is>
          <t>System reconciliation adjustment to align with Zerodha Cash Margin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2026-08-06</t>
        </is>
      </c>
      <c r="B31" s="4" t="inlineStr">
        <is>
          <t>WITHDRAWAL</t>
        </is>
      </c>
      <c r="C31" s="8" t="n">
        <v>1.27</v>
      </c>
      <c r="D31" s="4" t="inlineStr">
        <is>
          <t>Brokerage &amp; taxes on AEROENTER BUY (8 qty @ 132.01)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2026-08-06</t>
        </is>
      </c>
      <c r="B32" s="4" t="inlineStr">
        <is>
          <t>WITHDRAWAL</t>
        </is>
      </c>
      <c r="C32" s="8" t="n">
        <v>0.23</v>
      </c>
      <c r="D32" s="4" t="inlineStr">
        <is>
          <t>Brokerage &amp; taxes on TATASTEEL BUY (1 qty @ 192.60)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2026-08-06</t>
        </is>
      </c>
      <c r="B33" s="4" t="inlineStr">
        <is>
          <t>WITHDRAWAL</t>
        </is>
      </c>
      <c r="C33" s="8" t="n">
        <v>16.13</v>
      </c>
      <c r="D33" s="4" t="inlineStr">
        <is>
          <t>Brokerage &amp; taxes on TATASTEEL SELL (1 qty @ 191.65)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2026-08-06</t>
        </is>
      </c>
      <c r="B34" s="4" t="inlineStr">
        <is>
          <t>ADJUSTMENT_OUT</t>
        </is>
      </c>
      <c r="C34" s="8" t="n">
        <v>90323.97</v>
      </c>
      <c r="D34" s="4" t="inlineStr">
        <is>
          <t>System reconciliation adjustment to align with Zerodha Cash Margin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2026-08-06</t>
        </is>
      </c>
      <c r="B35" s="4" t="inlineStr">
        <is>
          <t>ADJUSTMENT_OUT</t>
        </is>
      </c>
      <c r="C35" s="8" t="n">
        <v>90323.97</v>
      </c>
      <c r="D35" s="4" t="inlineStr">
        <is>
          <t>System reconciliation adjustment to align with Zerodha Cash Margin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inlineStr">
        <is>
          <t>2026-08-06</t>
        </is>
      </c>
      <c r="B36" s="4" t="inlineStr">
        <is>
          <t>ADJUSTMENT_OUT</t>
        </is>
      </c>
      <c r="C36" s="8" t="n">
        <v>90323.97</v>
      </c>
      <c r="D36" s="4" t="inlineStr">
        <is>
          <t>System reconciliation adjustment to align with Zerodha Cash Margin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inlineStr">
        <is>
          <t>2026-08-06</t>
        </is>
      </c>
      <c r="B37" s="4" t="inlineStr">
        <is>
          <t>ADJUSTMENT_OUT</t>
        </is>
      </c>
      <c r="C37" s="8" t="n">
        <v>90323.97</v>
      </c>
      <c r="D37" s="4" t="inlineStr">
        <is>
          <t>System reconciliation adjustment to align with Zerodha Cash Margin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40" min="1" max="1"/>
    <col width="12" customWidth="1" style="40" min="2" max="2"/>
    <col width="80" customWidth="1" style="40" min="3" max="3"/>
    <col width="8.710000000000001" customWidth="1" style="40" min="4" max="6"/>
  </cols>
  <sheetData>
    <row r="1">
      <c r="A1" s="35" t="inlineStr">
        <is>
          <t>Timestamp</t>
        </is>
      </c>
      <c r="B1" s="35" t="inlineStr">
        <is>
          <t>Level</t>
        </is>
      </c>
      <c r="C1" s="3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40" min="1" max="2"/>
    <col width="24" customWidth="1" style="40" min="3" max="3"/>
    <col width="14" customWidth="1" style="40" min="4" max="4"/>
    <col width="12" customWidth="1" style="40" min="5" max="6"/>
    <col width="16" customWidth="1" style="40" min="7" max="7"/>
    <col width="13" customWidth="1" style="40" min="8" max="8"/>
    <col width="16" customWidth="1" style="40" min="9" max="9"/>
    <col width="12" customWidth="1" style="40" min="10" max="10"/>
    <col width="53" customWidth="1" style="40" min="11" max="11"/>
  </cols>
  <sheetData>
    <row r="1" ht="25.5" customHeight="1" s="40">
      <c r="A1" s="36" t="inlineStr">
        <is>
          <t>Date</t>
        </is>
      </c>
      <c r="B1" s="36" t="inlineStr">
        <is>
          <t>Symbol</t>
        </is>
      </c>
      <c r="C1" s="36" t="inlineStr">
        <is>
          <t>Company Name</t>
        </is>
      </c>
      <c r="D1" s="36" t="inlineStr">
        <is>
          <t>Entry Price</t>
        </is>
      </c>
      <c r="E1" s="36" t="inlineStr">
        <is>
          <t>Stop Loss</t>
        </is>
      </c>
      <c r="F1" s="36" t="inlineStr">
        <is>
          <t>Target</t>
        </is>
      </c>
      <c r="G1" s="36" t="inlineStr">
        <is>
          <t>Initial Alloc</t>
        </is>
      </c>
      <c r="H1" s="36" t="inlineStr">
        <is>
          <t>Status</t>
        </is>
      </c>
      <c r="I1" s="36" t="inlineStr">
        <is>
          <t>Current Price</t>
        </is>
      </c>
      <c r="J1" s="36" t="inlineStr">
        <is>
          <t>P&amp;L (INR)</t>
        </is>
      </c>
      <c r="K1" s="3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40">
      <c r="A2" s="37" t="inlineStr">
        <is>
          <t>2026-07-24</t>
        </is>
      </c>
      <c r="B2" s="37" t="inlineStr">
        <is>
          <t>SUNPHARMA</t>
        </is>
      </c>
      <c r="C2" s="38" t="inlineStr">
        <is>
          <t>Sun Pharmaceutical</t>
        </is>
      </c>
      <c r="D2" s="39" t="n">
        <v>1954</v>
      </c>
      <c r="E2" s="39" t="n">
        <v>1890.88</v>
      </c>
      <c r="F2" s="39" t="n">
        <v>2080.24</v>
      </c>
      <c r="G2" s="39" t="n">
        <v>2000</v>
      </c>
      <c r="H2" s="37" t="inlineStr">
        <is>
          <t>MONITORING</t>
        </is>
      </c>
      <c r="I2" s="39" t="n">
        <v>1954</v>
      </c>
      <c r="J2" s="39" t="n">
        <v>0</v>
      </c>
      <c r="K2" s="3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40">
      <c r="A3" s="37" t="inlineStr">
        <is>
          <t>2026-07-24</t>
        </is>
      </c>
      <c r="B3" s="37" t="inlineStr">
        <is>
          <t>BAJAJ-AUTO</t>
        </is>
      </c>
      <c r="C3" s="38" t="inlineStr">
        <is>
          <t>Bajaj Auto Limited</t>
        </is>
      </c>
      <c r="D3" s="39" t="n">
        <v>11283.5</v>
      </c>
      <c r="E3" s="39" t="n">
        <v>10780.43</v>
      </c>
      <c r="F3" s="39" t="n">
        <v>12289.64</v>
      </c>
      <c r="G3" s="39" t="n">
        <v>2000</v>
      </c>
      <c r="H3" s="37" t="inlineStr">
        <is>
          <t>MONITORING</t>
        </is>
      </c>
      <c r="I3" s="39" t="n">
        <v>11283.5</v>
      </c>
      <c r="J3" s="39" t="n">
        <v>0</v>
      </c>
      <c r="K3" s="3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37" t="inlineStr">
        <is>
          <t>2026-07-24</t>
        </is>
      </c>
      <c r="B4" s="37" t="inlineStr">
        <is>
          <t>HEROMOTOCO</t>
        </is>
      </c>
      <c r="C4" s="38" t="inlineStr">
        <is>
          <t>Hero MotoCorp</t>
        </is>
      </c>
      <c r="D4" s="39" t="n">
        <v>5098.8</v>
      </c>
      <c r="E4" s="39" t="n">
        <v>4900.54</v>
      </c>
      <c r="F4" s="39" t="n">
        <v>5495.31</v>
      </c>
      <c r="G4" s="39" t="n">
        <v>2000</v>
      </c>
      <c r="H4" s="37" t="inlineStr">
        <is>
          <t>MONITORING</t>
        </is>
      </c>
      <c r="I4" s="39" t="n">
        <v>5098.8</v>
      </c>
      <c r="J4" s="39" t="n">
        <v>0</v>
      </c>
      <c r="K4" s="3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37" t="inlineStr">
        <is>
          <t>2026-07-24</t>
        </is>
      </c>
      <c r="B5" s="37" t="inlineStr">
        <is>
          <t>SIEMENS</t>
        </is>
      </c>
      <c r="C5" s="38" t="inlineStr">
        <is>
          <t>Siemens Limited</t>
        </is>
      </c>
      <c r="D5" s="39" t="n">
        <v>3686.3</v>
      </c>
      <c r="E5" s="39" t="n">
        <v>3491.06</v>
      </c>
      <c r="F5" s="39" t="n">
        <v>4076.79</v>
      </c>
      <c r="G5" s="39" t="n">
        <v>2000</v>
      </c>
      <c r="H5" s="37" t="inlineStr">
        <is>
          <t>MONITORING</t>
        </is>
      </c>
      <c r="I5" s="39" t="n">
        <v>3686.3</v>
      </c>
      <c r="J5" s="39" t="n">
        <v>0</v>
      </c>
      <c r="K5" s="3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37" t="inlineStr">
        <is>
          <t>2026-07-24</t>
        </is>
      </c>
      <c r="B6" s="37" t="inlineStr">
        <is>
          <t>HAL</t>
        </is>
      </c>
      <c r="C6" s="38" t="inlineStr">
        <is>
          <t>Hindustan Aeronautics</t>
        </is>
      </c>
      <c r="D6" s="39" t="n">
        <v>4592.5</v>
      </c>
      <c r="E6" s="39" t="n">
        <v>4418.04</v>
      </c>
      <c r="F6" s="39" t="n">
        <v>4941.41</v>
      </c>
      <c r="G6" s="39" t="n">
        <v>2000</v>
      </c>
      <c r="H6" s="37" t="inlineStr">
        <is>
          <t>MONITORING</t>
        </is>
      </c>
      <c r="I6" s="39" t="n">
        <v>4592.5</v>
      </c>
      <c r="J6" s="39" t="n">
        <v>0</v>
      </c>
      <c r="K6" s="3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2026-08-06T16:34:44Z</dcterms:modified>
</cp:coreProperties>
</file>