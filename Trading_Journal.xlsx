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b val="1"/>
      <color rgb="FFFFFFFF"/>
      <sz val="11"/>
    </font>
    <font>
      <name val="Quattrocento Sans"/>
      <color rgb="FF2D3748"/>
      <sz val="10"/>
    </font>
    <font/>
    <font>
      <name val="Calibri"/>
      <color theme="1"/>
    </font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F7FAFC"/>
        <bgColor rgb="FFF7FAFC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/>
      <right/>
      <top/>
      <bottom/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7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0" fontId="7" fillId="0" borderId="4" pivotButton="0" quotePrefix="0" xfId="0"/>
    <xf numFmtId="0" fontId="7" fillId="0" borderId="5" pivotButton="0" quotePrefix="0" xfId="0"/>
    <xf numFmtId="0" fontId="8" fillId="0" borderId="0" pivotButton="0" quotePrefix="0" xfId="0"/>
    <xf numFmtId="0" fontId="5" fillId="5" borderId="0" applyAlignment="1" pivotButton="0" quotePrefix="0" xfId="0">
      <alignment horizontal="center" vertical="center"/>
    </xf>
    <xf numFmtId="164" fontId="2" fillId="0" borderId="0" pivotButton="0" quotePrefix="0" xfId="0"/>
    <xf numFmtId="0" fontId="8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0" fontId="8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7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6" borderId="0" applyAlignment="1" pivotButton="0" quotePrefix="0" xfId="0">
      <alignment horizontal="right"/>
    </xf>
    <xf numFmtId="165" fontId="14" fillId="6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164" fontId="17" fillId="6" borderId="0" pivotButton="0" quotePrefix="0" xfId="0"/>
    <xf numFmtId="165" fontId="17" fillId="6" borderId="0" pivotButton="0" quotePrefix="0" xfId="0"/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5" fillId="10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8" borderId="2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2" applyAlignment="1" pivotButton="0" quotePrefix="0" xfId="0">
      <alignment horizontal="center" vertical="center"/>
    </xf>
    <xf numFmtId="0" fontId="22" fillId="12" borderId="2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8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8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150971803"/>
        <axId val="462577003"/>
      </lineChart>
      <catAx>
        <axId val="115097180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62577003"/>
        <lblOffset val="100"/>
      </catAx>
      <valAx>
        <axId val="46257700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50971803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477884052"/>
        <axId val="669467799"/>
      </lineChart>
      <catAx>
        <axId val="47788405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69467799"/>
        <lblOffset val="100"/>
      </catAx>
      <valAx>
        <axId val="66946779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77884052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674280917"/>
        <axId val="1840860536"/>
      </lineChart>
      <catAx>
        <axId val="167428091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40860536"/>
        <lblOffset val="100"/>
      </catAx>
      <valAx>
        <axId val="184086053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4280917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74877420"/>
        <axId val="1321162203"/>
      </lineChart>
      <catAx>
        <axId val="187487742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21162203"/>
        <lblOffset val="100"/>
      </catAx>
      <valAx>
        <axId val="132116220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487742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21950556"/>
        <axId val="1541052891"/>
      </lineChart>
      <catAx>
        <axId val="82195055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41052891"/>
        <lblOffset val="100"/>
      </catAx>
      <valAx>
        <axId val="154105289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21950556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236543879"/>
        <axId val="1180340992"/>
      </lineChart>
      <catAx>
        <axId val="23654387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80340992"/>
        <lblOffset val="100"/>
      </catAx>
      <valAx>
        <axId val="118034099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36543879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14975286"/>
        <axId val="1272066105"/>
      </lineChart>
      <catAx>
        <axId val="141497528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72066105"/>
        <lblOffset val="100"/>
      </catAx>
      <valAx>
        <axId val="127206610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14975286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51213846"/>
        <axId val="385857694"/>
      </lineChart>
      <catAx>
        <axId val="95121384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5857694"/>
        <lblOffset val="100"/>
      </catAx>
      <valAx>
        <axId val="3858576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51213846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885508716"/>
        <axId val="809256766"/>
      </lineChart>
      <catAx>
        <axId val="88550871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09256766"/>
        <lblOffset val="100"/>
      </catAx>
      <valAx>
        <axId val="80925676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85508716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988978923"/>
        <axId val="1441110883"/>
      </lineChart>
      <catAx>
        <axId val="98897892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41110883"/>
        <lblOffset val="100"/>
      </catAx>
      <valAx>
        <axId val="144111088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8978923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006740610"/>
        <axId val="393577180"/>
      </lineChart>
      <catAx>
        <axId val="20067406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3577180"/>
        <lblOffset val="100"/>
      </catAx>
      <valAx>
        <axId val="39357718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06740610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91876357"/>
        <axId val="1327723348"/>
      </lineChart>
      <catAx>
        <axId val="29187635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27723348"/>
        <lblOffset val="100"/>
      </catAx>
      <valAx>
        <axId val="132772334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91876357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874867138"/>
        <axId val="1274887699"/>
      </lineChart>
      <catAx>
        <axId val="87486713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74887699"/>
        <lblOffset val="100"/>
      </catAx>
      <valAx>
        <axId val="127488769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4867138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367622615"/>
        <axId val="769619720"/>
      </lineChart>
      <catAx>
        <axId val="36762261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69619720"/>
        <lblOffset val="100"/>
      </catAx>
      <valAx>
        <axId val="7696197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67622615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969260711"/>
        <axId val="2099254972"/>
      </lineChart>
      <catAx>
        <axId val="9692607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99254972"/>
        <lblOffset val="100"/>
      </catAx>
      <valAx>
        <axId val="209925497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69260711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606816769"/>
        <axId val="1096421999"/>
      </lineChart>
      <catAx>
        <axId val="160681676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96421999"/>
        <lblOffset val="100"/>
      </catAx>
      <valAx>
        <axId val="109642199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06816769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975397653"/>
        <axId val="403066726"/>
      </lineChart>
      <catAx>
        <axId val="97539765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3066726"/>
        <lblOffset val="100"/>
      </catAx>
      <valAx>
        <axId val="40306672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75397653"/>
      </valAx>
    </plotArea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2090210965"/>
        <axId val="618905930"/>
      </lineChart>
      <catAx>
        <axId val="209021096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8905930"/>
        <lblOffset val="100"/>
      </catAx>
      <valAx>
        <axId val="61890593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90210965"/>
      </valAx>
    </plotArea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503735069"/>
        <axId val="1411976818"/>
      </lineChart>
      <catAx>
        <axId val="50373506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11976818"/>
        <lblOffset val="100"/>
      </catAx>
      <valAx>
        <axId val="141197681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03735069"/>
      </valAx>
    </plotArea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816610465"/>
        <axId val="1023318916"/>
      </lineChart>
      <catAx>
        <axId val="81661046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23318916"/>
        <lblOffset val="100"/>
      </catAx>
      <valAx>
        <axId val="102331891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16610465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'Dashboard'!$D$4:$D$9</f>
            </numRef>
          </cat>
          <val>
            <numRef>
              <f>'Dashboard'!$H$4:$H$9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'Dashboard'!$D$4:$D$9</f>
            </numRef>
          </cat>
          <val>
            <numRef>
              <f>'Dashboard'!$H$4:$H$9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/Relationships>
</file>

<file path=xl/drawings/drawing1.xml><?xml version="1.0" encoding="utf-8"?>
<wsDr xmlns="http://schemas.openxmlformats.org/drawingml/2006/spreadsheetDrawing">
  <oneCellAnchor>
    <from>
      <col>4</col>
      <colOff>552450</colOff>
      <row>11</row>
      <rowOff>104775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61">
      <c r="A3" s="3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61">
      <c r="A4" s="4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61">
      <c r="A5" s="4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61">
      <c r="A6" s="4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61">
      <c r="A7" s="4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61">
      <c r="A9" s="3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61">
      <c r="A10" s="4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61">
      <c r="A11" s="4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61">
      <c r="A12" s="4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61">
      <c r="A13" s="4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61">
      <c r="A14" s="4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61">
      <c r="A16" s="3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61">
      <c r="A17" s="4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61">
      <c r="A18" s="4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61">
      <c r="A19" s="4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61">
      <c r="A20" s="4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61">
      <c r="A21" s="4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61">
      <c r="A23" s="3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61">
      <c r="A24" s="4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61">
      <c r="A25" s="4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61">
      <c r="A26" s="4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61">
      <c r="A27" s="4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61">
      <c r="A28" s="4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61">
      <c r="A42" s="3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61">
      <c r="A43" s="4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61">
      <c r="A44" s="4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61">
      <c r="A45" s="4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61">
      <c r="A46" s="4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61">
      <c r="A47" s="4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6" t="inlineStr">
        <is>
          <t>HSTS v1.0 Trading Dashboard</t>
        </is>
      </c>
      <c r="B1" s="86" t="n"/>
      <c r="C1" s="86" t="n"/>
      <c r="D1" s="86" t="n"/>
      <c r="E1" s="86" t="n"/>
      <c r="F1" s="86" t="n"/>
      <c r="G1" s="86" t="n"/>
      <c r="H1" s="86" t="n"/>
      <c r="I1" s="86" t="n"/>
      <c r="J1" s="86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61">
      <c r="A2" s="67" t="inlineStr">
        <is>
          <t>Last updated on : 2026-08-14 08:11:26</t>
        </is>
      </c>
      <c r="B2" s="86" t="n"/>
      <c r="C2" s="86" t="n"/>
      <c r="D2" s="86" t="n"/>
      <c r="E2" s="86" t="n"/>
      <c r="F2" s="86" t="n"/>
      <c r="G2" s="86" t="n"/>
      <c r="H2" s="86" t="n"/>
      <c r="I2" s="86" t="n"/>
      <c r="J2" s="86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61">
      <c r="A3" s="68" t="inlineStr">
        <is>
          <t>Metric</t>
        </is>
      </c>
      <c r="B3" s="68" t="inlineStr">
        <is>
          <t>Value</t>
        </is>
      </c>
      <c r="C3" s="86" t="n"/>
      <c r="D3" s="87" t="inlineStr">
        <is>
          <t>Stock</t>
        </is>
      </c>
      <c r="E3" s="87" t="inlineStr">
        <is>
          <t>Qty</t>
        </is>
      </c>
      <c r="F3" s="87" t="inlineStr">
        <is>
          <t>Purchase Price</t>
        </is>
      </c>
      <c r="G3" s="87" t="inlineStr">
        <is>
          <t>Current Price</t>
        </is>
      </c>
      <c r="H3" s="87" t="inlineStr">
        <is>
          <t>Current Value</t>
        </is>
      </c>
      <c r="I3" s="87" t="inlineStr">
        <is>
          <t>P&amp;L Amount</t>
        </is>
      </c>
      <c r="J3" s="87" t="inlineStr">
        <is>
          <t>P&amp;L %</t>
        </is>
      </c>
      <c r="K3" s="87" t="inlineStr">
        <is>
          <t>Holding %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9" t="inlineStr">
        <is>
          <t>Global Portfolio Metrics</t>
        </is>
      </c>
      <c r="C4" s="86" t="n"/>
      <c r="D4" s="88" t="inlineStr">
        <is>
          <t>IFGLEXPOR</t>
        </is>
      </c>
      <c r="E4" s="89" t="n">
        <v>4</v>
      </c>
      <c r="F4" s="90" t="n">
        <v>219.6</v>
      </c>
      <c r="G4" s="90" t="n">
        <v>223.1300048828125</v>
      </c>
      <c r="H4" s="90">
        <f>E4*G4</f>
        <v/>
      </c>
      <c r="I4" s="91">
        <f>H4-(E4*F4)</f>
        <v/>
      </c>
      <c r="J4" s="92">
        <f>IF(F4&gt;0, I4/(E4*F4), 0)</f>
        <v/>
      </c>
      <c r="K4" s="93">
        <f>H4/H13</f>
        <v/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0" t="inlineStr">
        <is>
          <t>Total Net Capital Deposited</t>
        </is>
      </c>
      <c r="B5" s="71">
        <f>SUMIF(Capital!B:B, "DEPOSIT", Capital!C:C)</f>
        <v/>
      </c>
      <c r="C5" s="86" t="n"/>
      <c r="D5" s="88" t="inlineStr">
        <is>
          <t>AEROENTER</t>
        </is>
      </c>
      <c r="E5" s="89" t="n">
        <v>8</v>
      </c>
      <c r="F5" s="90" t="n">
        <v>132.01</v>
      </c>
      <c r="G5" s="90" t="n">
        <v>125.1800003051758</v>
      </c>
      <c r="H5" s="90">
        <f>E5*G5</f>
        <v/>
      </c>
      <c r="I5" s="94">
        <f>H5-(E5*F5)</f>
        <v/>
      </c>
      <c r="J5" s="95">
        <f>IF(F5&gt;0, I5/(E5*F5), 0)</f>
        <v/>
      </c>
      <c r="K5" s="93">
        <f>H5/H13</f>
        <v/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70" t="inlineStr">
        <is>
          <t>Lifetime Realized PnL</t>
        </is>
      </c>
      <c r="B6" s="96">
        <f>SUM(Ledger!M:M)</f>
        <v/>
      </c>
      <c r="C6" s="86" t="n"/>
      <c r="D6" s="88" t="inlineStr">
        <is>
          <t>CLEAN</t>
        </is>
      </c>
      <c r="E6" s="89" t="n">
        <v>4</v>
      </c>
      <c r="F6" s="90" t="n">
        <v>806.25</v>
      </c>
      <c r="G6" s="90" t="n">
        <v>836.3499755859375</v>
      </c>
      <c r="H6" s="90">
        <f>E6*G6</f>
        <v/>
      </c>
      <c r="I6" s="91">
        <f>H6-(E6*F6)</f>
        <v/>
      </c>
      <c r="J6" s="92">
        <f>IF(F6&gt;0, I6/(E6*F6), 0)</f>
        <v/>
      </c>
      <c r="K6" s="93">
        <f>H6/H13</f>
        <v/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0" t="inlineStr">
        <is>
          <t>Lifetime Realized P/L Percentage</t>
        </is>
      </c>
      <c r="B7" s="97">
        <f>B6/B5</f>
        <v/>
      </c>
      <c r="C7" s="86" t="n"/>
      <c r="D7" s="88" t="inlineStr">
        <is>
          <t>MRPL</t>
        </is>
      </c>
      <c r="E7" s="89" t="n">
        <v>10</v>
      </c>
      <c r="F7" s="90" t="n">
        <v>174.7</v>
      </c>
      <c r="G7" s="90" t="n">
        <v>174.3800048828125</v>
      </c>
      <c r="H7" s="90">
        <f>E7*G7</f>
        <v/>
      </c>
      <c r="I7" s="94">
        <f>H7-(E7*F7)</f>
        <v/>
      </c>
      <c r="J7" s="95">
        <f>IF(F7&gt;0, I7/(E7*F7), 0)</f>
        <v/>
      </c>
      <c r="K7" s="93">
        <f>H7/H13</f>
        <v/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70" t="inlineStr">
        <is>
          <t>Current Total Portfolio Value</t>
        </is>
      </c>
      <c r="B8" s="71">
        <f>B13+B12</f>
        <v/>
      </c>
      <c r="C8" s="86" t="n"/>
      <c r="D8" s="88" t="inlineStr">
        <is>
          <t>LENSKART</t>
        </is>
      </c>
      <c r="E8" s="89" t="n">
        <v>4</v>
      </c>
      <c r="F8" s="90" t="n">
        <v>605</v>
      </c>
      <c r="G8" s="90" t="n">
        <v>596.9000244140625</v>
      </c>
      <c r="H8" s="90">
        <f>E8*G8</f>
        <v/>
      </c>
      <c r="I8" s="94">
        <f>H8-(E8*F8)</f>
        <v/>
      </c>
      <c r="J8" s="95">
        <f>IF(F8&gt;0, I8/(E8*F8), 0)</f>
        <v/>
      </c>
      <c r="K8" s="93">
        <f>H8/H13</f>
        <v/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0" t="inlineStr">
        <is>
          <t>Total Number of Trades</t>
        </is>
      </c>
      <c r="B9" s="73">
        <f>COUNTIF(Ledger!N:N, "WIN") + COUNTIF(Ledger!N:N, "LOSS") + COUNTIF(Ledger!N:N, "OPEN")</f>
        <v/>
      </c>
      <c r="C9" s="86" t="n"/>
      <c r="D9" s="88" t="inlineStr">
        <is>
          <t>OIL</t>
        </is>
      </c>
      <c r="E9" s="89" t="n">
        <v>4</v>
      </c>
      <c r="F9" s="90" t="n">
        <v>473</v>
      </c>
      <c r="G9" s="90" t="n">
        <v>479.7999877929688</v>
      </c>
      <c r="H9" s="90">
        <f>E9*G9</f>
        <v/>
      </c>
      <c r="I9" s="91">
        <f>H9-(E9*F9)</f>
        <v/>
      </c>
      <c r="J9" s="92">
        <f>IF(F9&gt;0, I9/(E9*F9), 0)</f>
        <v/>
      </c>
      <c r="K9" s="93">
        <f>H9/H13</f>
        <v/>
      </c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70" t="inlineStr">
        <is>
          <t>Winning Percentage of Trades</t>
        </is>
      </c>
      <c r="B10" s="72">
        <f>IF((COUNTIF(Ledger!N:N, "WIN")+COUNTIF(Ledger!N:N, "LOSS"))&gt;0, COUNTIF(Ledger!N:N, "WIN")/(COUNTIF(Ledger!N:N, "WIN")+COUNTIF(Ledger!N:N, "LOSS")), 0)</f>
        <v/>
      </c>
      <c r="C10" s="86" t="n"/>
      <c r="D10" s="88" t="inlineStr">
        <is>
          <t>JAIBALAJI</t>
        </is>
      </c>
      <c r="E10" s="89" t="n">
        <v>8</v>
      </c>
      <c r="F10" s="90" t="n">
        <v>68.87</v>
      </c>
      <c r="G10" s="90" t="n">
        <v>68.87000274658203</v>
      </c>
      <c r="H10" s="90">
        <f>E10*G10</f>
        <v/>
      </c>
      <c r="I10" s="91">
        <f>H10-(E10*F10)</f>
        <v/>
      </c>
      <c r="J10" s="92">
        <f>IF(F10&gt;0, I10/(E10*F10), 0)</f>
        <v/>
      </c>
      <c r="K10" s="93">
        <f>H10/H13</f>
        <v/>
      </c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0" t="inlineStr">
        <is>
          <t>Capital Deployed in Open Trades</t>
        </is>
      </c>
      <c r="B11" s="71">
        <f>SUMPRODUCT((Ledger!N2:N500="OPEN")*(Ledger!E2:E500)*(Ledger!D2:D500))</f>
        <v/>
      </c>
      <c r="C11" s="86" t="n"/>
      <c r="D11" s="88" t="inlineStr">
        <is>
          <t>IOLCP</t>
        </is>
      </c>
      <c r="E11" s="89" t="n">
        <v>10</v>
      </c>
      <c r="F11" s="90" t="n">
        <v>166.02</v>
      </c>
      <c r="G11" s="90" t="n">
        <v>166.0200042724609</v>
      </c>
      <c r="H11" s="90">
        <f>E11*G11</f>
        <v/>
      </c>
      <c r="I11" s="91">
        <f>H11-(E11*F11)</f>
        <v/>
      </c>
      <c r="J11" s="92">
        <f>IF(F11&gt;0, I11/(E11*F11), 0)</f>
        <v/>
      </c>
      <c r="K11" s="93">
        <f>H11/H13</f>
        <v/>
      </c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70" t="inlineStr">
        <is>
          <t>Current Value of Active Trades</t>
        </is>
      </c>
      <c r="B12" s="96" t="n">
        <v>14972.62008666992</v>
      </c>
      <c r="C12" s="86" t="n"/>
      <c r="D12" s="88" t="inlineStr">
        <is>
          <t>BHARATSE</t>
        </is>
      </c>
      <c r="E12" s="89" t="n">
        <v>6</v>
      </c>
      <c r="F12" s="90" t="n">
        <v>245.25</v>
      </c>
      <c r="G12" s="90" t="n">
        <v>245.25</v>
      </c>
      <c r="H12" s="90">
        <f>E12*G12</f>
        <v/>
      </c>
      <c r="I12" s="91">
        <f>H12-(E12*F12)</f>
        <v/>
      </c>
      <c r="J12" s="92">
        <f>IF(F12&gt;0, I12/(E12*F12), 0)</f>
        <v/>
      </c>
      <c r="K12" s="93">
        <f>H12/H13</f>
        <v/>
      </c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0" t="inlineStr">
        <is>
          <t>Capital Available for Trading</t>
        </is>
      </c>
      <c r="B13" s="71" t="n">
        <v>8419.1</v>
      </c>
      <c r="C13" s="86" t="n"/>
      <c r="D13" s="98" t="inlineStr">
        <is>
          <t>Total Portfolio</t>
        </is>
      </c>
      <c r="E13" s="99" t="inlineStr"/>
      <c r="F13" s="100" t="inlineStr"/>
      <c r="G13" s="100" t="inlineStr"/>
      <c r="H13" s="101">
        <f>SUM(H4:H12)</f>
        <v/>
      </c>
      <c r="I13" s="101">
        <f>SUM(I4:I12)</f>
        <v/>
      </c>
      <c r="J13" s="102">
        <f>IF((H13-I13)&gt;0, I13/(H13-I13), 0)</f>
        <v/>
      </c>
      <c r="K13" s="102">
        <f>SUM(K4:K12)</f>
        <v/>
      </c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70" t="inlineStr">
        <is>
          <t>Total Wins</t>
        </is>
      </c>
      <c r="B14" s="73">
        <f>COUNTIF(Ledger!N:N, "WIN")</f>
        <v/>
      </c>
      <c r="C14" s="86" t="n"/>
      <c r="D14" s="103" t="n"/>
      <c r="E14" s="104" t="n"/>
      <c r="F14" s="105" t="n"/>
      <c r="G14" s="105" t="n"/>
      <c r="H14" s="105" t="n"/>
      <c r="I14" s="105" t="n"/>
      <c r="J14" s="106" t="n"/>
      <c r="K14" s="33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0" t="inlineStr">
        <is>
          <t>Total Losses</t>
        </is>
      </c>
      <c r="B15" s="73">
        <f>COUNTIF(Ledger!N:N, "LOSS")</f>
        <v/>
      </c>
      <c r="C15" s="86" t="n"/>
      <c r="D15" s="103" t="n"/>
      <c r="E15" s="86" t="n"/>
      <c r="F15" s="86" t="n"/>
      <c r="G15" s="86" t="n"/>
      <c r="H15" s="105" t="n"/>
      <c r="I15" s="105" t="n"/>
      <c r="J15" s="106" t="n"/>
      <c r="K15" s="46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0" t="inlineStr">
        <is>
          <t>Total Taxes Paid to Zerodha</t>
        </is>
      </c>
      <c r="B16" s="71">
        <f>SUMIF(Capital!D:D, "*Brokerage &amp; taxes*", Capital!C:C)</f>
        <v/>
      </c>
      <c r="C16" s="86" t="n"/>
      <c r="D16" s="86" t="n"/>
      <c r="E16" s="86" t="n"/>
      <c r="F16" s="86" t="n"/>
      <c r="G16" s="86" t="n"/>
      <c r="H16" s="86" t="n"/>
      <c r="I16" s="86" t="n"/>
      <c r="J16" s="86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4" t="inlineStr">
        <is>
          <t>Swing Trading Statistics</t>
        </is>
      </c>
      <c r="C17" s="86" t="n"/>
      <c r="D17" s="86" t="n"/>
      <c r="E17" s="86" t="n"/>
      <c r="F17" s="86" t="n"/>
      <c r="G17" s="86" t="n"/>
      <c r="H17" s="86" t="n"/>
      <c r="I17" s="86" t="n"/>
      <c r="J17" s="86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0" t="inlineStr">
        <is>
          <t>Swing Win Rate</t>
        </is>
      </c>
      <c r="B18" s="72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6" t="n"/>
      <c r="D18" s="86" t="n"/>
      <c r="E18" s="86" t="n"/>
      <c r="F18" s="86" t="n"/>
      <c r="G18" s="86" t="n"/>
      <c r="H18" s="86" t="n"/>
      <c r="I18" s="86" t="n"/>
      <c r="J18" s="86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0" t="inlineStr">
        <is>
          <t>Swing Realized PnL</t>
        </is>
      </c>
      <c r="B19" s="71">
        <f>SUMIFS(Ledger!M:M, Ledger!P:P, "SWING")</f>
        <v/>
      </c>
      <c r="C19" s="86" t="n"/>
      <c r="D19" s="86" t="n"/>
      <c r="E19" s="86" t="n"/>
      <c r="F19" s="86" t="n"/>
      <c r="G19" s="86" t="n"/>
      <c r="H19" s="86" t="n"/>
      <c r="I19" s="86" t="n"/>
      <c r="J19" s="86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0" t="inlineStr">
        <is>
          <t>Swing Completed Trades</t>
        </is>
      </c>
      <c r="B20" s="73">
        <f>COUNTIFS(Ledger!P:P, "SWING", Ledger!N:N, "WIN") + COUNTIFS(Ledger!P:P, "SWING", Ledger!N:N, "LOSS")</f>
        <v/>
      </c>
      <c r="C20" s="86" t="n"/>
      <c r="D20" s="86" t="n"/>
      <c r="E20" s="86" t="n"/>
      <c r="F20" s="86" t="n"/>
      <c r="G20" s="86" t="n"/>
      <c r="H20" s="86" t="n"/>
      <c r="I20" s="86" t="n"/>
      <c r="J20" s="86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70" t="inlineStr">
        <is>
          <t>Swing Active Positions</t>
        </is>
      </c>
      <c r="B21" s="73">
        <f>COUNTIFS(Ledger!P:P, "SWING", Ledger!N:N, "OPEN")</f>
        <v/>
      </c>
      <c r="C21" s="86" t="n"/>
      <c r="D21" s="86" t="n"/>
      <c r="E21" s="86" t="n"/>
      <c r="F21" s="86" t="n"/>
      <c r="G21" s="86" t="n"/>
      <c r="H21" s="86" t="n"/>
      <c r="I21" s="86" t="n"/>
      <c r="J21" s="86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74" t="inlineStr">
        <is>
          <t>Intraday Trading Statistics</t>
        </is>
      </c>
      <c r="C22" s="86" t="n"/>
      <c r="D22" s="86" t="n"/>
      <c r="E22" s="86" t="n"/>
      <c r="F22" s="86" t="n"/>
      <c r="G22" s="86" t="n"/>
      <c r="H22" s="86" t="n"/>
      <c r="I22" s="86" t="n"/>
      <c r="J22" s="86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70" t="inlineStr">
        <is>
          <t>Intraday Win Rate</t>
        </is>
      </c>
      <c r="B23" s="72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6" t="n"/>
      <c r="D23" s="86" t="n"/>
      <c r="E23" s="86" t="n"/>
      <c r="F23" s="86" t="n"/>
      <c r="G23" s="86" t="n"/>
      <c r="H23" s="86" t="n"/>
      <c r="I23" s="86" t="n"/>
      <c r="J23" s="86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70" t="inlineStr">
        <is>
          <t>Intraday Realized PnL</t>
        </is>
      </c>
      <c r="B24" s="71">
        <f>SUMIFS(Ledger!M:M, Ledger!P:P, "INTRADAY")</f>
        <v/>
      </c>
      <c r="C24" s="86" t="n"/>
      <c r="D24" s="86" t="n"/>
      <c r="E24" s="86" t="n"/>
      <c r="F24" s="86" t="n"/>
      <c r="G24" s="86" t="n"/>
      <c r="H24" s="86" t="n"/>
      <c r="I24" s="86" t="n"/>
      <c r="J24" s="86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70" t="inlineStr">
        <is>
          <t>Intraday Completed Trades</t>
        </is>
      </c>
      <c r="B25" s="73">
        <f>COUNTIFS(Ledger!P:P, "INTRADAY", Ledger!N:N, "WIN") + COUNTIFS(Ledger!P:P, "INTRADAY", Ledger!N:N, "LOSS")</f>
        <v/>
      </c>
      <c r="C25" s="86" t="n"/>
      <c r="D25" s="86" t="n"/>
      <c r="E25" s="86" t="n"/>
      <c r="F25" s="86" t="n"/>
      <c r="G25" s="86" t="n"/>
      <c r="H25" s="86" t="n"/>
      <c r="I25" s="86" t="n"/>
      <c r="J25" s="86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70" t="inlineStr">
        <is>
          <t>Intraday Active Positions</t>
        </is>
      </c>
      <c r="B26" s="73">
        <f>COUNTIFS(Ledger!P:P, "INTRADAY", Ledger!N:N, "OPEN")</f>
        <v/>
      </c>
      <c r="C26" s="86" t="n"/>
      <c r="D26" s="86" t="n"/>
      <c r="E26" s="86" t="n"/>
      <c r="F26" s="86" t="n"/>
      <c r="G26" s="86" t="n"/>
      <c r="H26" s="86" t="n"/>
      <c r="I26" s="86" t="n"/>
      <c r="J26" s="86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74" t="inlineStr">
        <is>
          <t>Activity &amp; Performance Metrics</t>
        </is>
      </c>
      <c r="C27" s="86" t="n"/>
      <c r="D27" s="86" t="n"/>
      <c r="E27" s="86" t="n"/>
      <c r="F27" s="86" t="n"/>
      <c r="G27" s="86" t="n"/>
      <c r="H27" s="86" t="n"/>
      <c r="I27" s="86" t="n"/>
      <c r="J27" s="86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70" t="inlineStr">
        <is>
          <t>Average Days to Exit a Trade</t>
        </is>
      </c>
      <c r="B28" s="75" t="n">
        <v>4.137931034482759</v>
      </c>
      <c r="C28" s="86" t="n"/>
      <c r="D28" s="86" t="n"/>
      <c r="E28" s="86" t="n"/>
      <c r="F28" s="86" t="n"/>
      <c r="G28" s="86" t="n"/>
      <c r="H28" s="86" t="n"/>
      <c r="I28" s="86" t="n"/>
      <c r="J28" s="86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70" t="inlineStr">
        <is>
          <t>Average Trades per Day</t>
        </is>
      </c>
      <c r="B29" s="75" t="n">
        <v>2.416666666666667</v>
      </c>
      <c r="C29" s="86" t="n"/>
      <c r="D29" s="86" t="n"/>
      <c r="E29" s="86" t="n"/>
      <c r="F29" s="86" t="n"/>
      <c r="G29" s="86" t="n"/>
      <c r="H29" s="86" t="n"/>
      <c r="I29" s="86" t="n"/>
      <c r="J29" s="86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70" t="inlineStr">
        <is>
          <t>Average Unique Holdings per Day</t>
        </is>
      </c>
      <c r="B30" s="75" t="n">
        <v>6.157894736842105</v>
      </c>
      <c r="C30" s="86" t="n"/>
      <c r="D30" s="86" t="n"/>
      <c r="E30" s="86" t="n"/>
      <c r="F30" s="86" t="n"/>
      <c r="G30" s="86" t="n"/>
      <c r="H30" s="86" t="n"/>
      <c r="I30" s="86" t="n"/>
      <c r="J30" s="86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70" t="inlineStr">
        <is>
          <t>Average Profit % per trade</t>
        </is>
      </c>
      <c r="B31" s="72" t="n">
        <v>0.06368252232110337</v>
      </c>
      <c r="C31" s="86" t="n"/>
      <c r="D31" s="86" t="n"/>
      <c r="E31" s="86" t="n"/>
      <c r="F31" s="86" t="n"/>
      <c r="G31" s="86" t="n"/>
      <c r="H31" s="86" t="n"/>
      <c r="I31" s="86" t="n"/>
      <c r="J31" s="86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70" t="inlineStr">
        <is>
          <t>Average Loss % per trade</t>
        </is>
      </c>
      <c r="B32" s="72" t="n">
        <v>-0.0378939015976996</v>
      </c>
      <c r="C32" s="86" t="n"/>
      <c r="D32" s="86" t="n"/>
      <c r="E32" s="86" t="n"/>
      <c r="F32" s="86" t="n"/>
      <c r="G32" s="86" t="n"/>
      <c r="H32" s="86" t="n"/>
      <c r="I32" s="86" t="n"/>
      <c r="J32" s="86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70" t="inlineStr">
        <is>
          <t>Average Value per Trade</t>
        </is>
      </c>
      <c r="B33" s="71" t="n">
        <v>1423.224827586207</v>
      </c>
      <c r="C33" s="86" t="n"/>
      <c r="D33" s="86" t="n"/>
      <c r="E33" s="86" t="n"/>
      <c r="F33" s="86" t="n"/>
      <c r="G33" s="86" t="n"/>
      <c r="H33" s="86" t="n"/>
      <c r="I33" s="86" t="n"/>
      <c r="J33" s="86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86" t="n"/>
      <c r="B34" s="86" t="n"/>
      <c r="C34" s="86" t="n"/>
      <c r="D34" s="86" t="n"/>
      <c r="E34" s="86" t="n"/>
      <c r="F34" s="86" t="n"/>
      <c r="G34" s="86" t="n"/>
      <c r="H34" s="86" t="n"/>
      <c r="I34" s="86" t="n"/>
      <c r="J34" s="86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86" t="n"/>
      <c r="B35" s="86" t="n"/>
      <c r="C35" s="86" t="n"/>
      <c r="D35" s="86" t="n"/>
      <c r="E35" s="86" t="n"/>
      <c r="F35" s="86" t="n"/>
      <c r="G35" s="86" t="n"/>
      <c r="H35" s="86" t="n"/>
      <c r="I35" s="86" t="n"/>
      <c r="J35" s="86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86" t="n"/>
      <c r="B36" s="86" t="n"/>
      <c r="C36" s="86" t="n"/>
      <c r="D36" s="86" t="n"/>
      <c r="E36" s="86" t="n"/>
      <c r="F36" s="86" t="n"/>
      <c r="G36" s="86" t="n"/>
      <c r="H36" s="86" t="n"/>
      <c r="I36" s="86" t="n"/>
      <c r="J36" s="86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86" t="n"/>
      <c r="B37" s="86" t="n"/>
      <c r="C37" s="86" t="n"/>
      <c r="D37" s="86" t="n"/>
      <c r="E37" s="86" t="n"/>
      <c r="F37" s="86" t="n"/>
      <c r="G37" s="86" t="n"/>
      <c r="H37" s="86" t="n"/>
      <c r="I37" s="86" t="n"/>
      <c r="J37" s="86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86" t="n"/>
      <c r="B38" s="86" t="n"/>
      <c r="C38" s="86" t="n"/>
      <c r="D38" s="86" t="n"/>
      <c r="E38" s="86" t="n"/>
      <c r="F38" s="86" t="n"/>
      <c r="G38" s="86" t="n"/>
      <c r="H38" s="86" t="n"/>
      <c r="I38" s="86" t="n"/>
      <c r="J38" s="86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86" t="n"/>
      <c r="B39" s="86" t="n"/>
      <c r="C39" s="86" t="n"/>
      <c r="D39" s="86" t="n"/>
      <c r="E39" s="86" t="n"/>
      <c r="F39" s="86" t="n"/>
      <c r="G39" s="86" t="n"/>
      <c r="H39" s="86" t="n"/>
      <c r="I39" s="86" t="n"/>
      <c r="J39" s="86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86" t="n"/>
      <c r="B40" s="86" t="n"/>
      <c r="C40" s="86" t="n"/>
      <c r="D40" s="86" t="n"/>
      <c r="E40" s="86" t="n"/>
      <c r="F40" s="86" t="n"/>
      <c r="G40" s="86" t="n"/>
      <c r="H40" s="86" t="n"/>
      <c r="I40" s="86" t="n"/>
      <c r="J40" s="86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86" t="n"/>
      <c r="B41" s="86" t="n"/>
      <c r="C41" s="86" t="n"/>
      <c r="D41" s="86" t="n"/>
      <c r="E41" s="86" t="n"/>
      <c r="F41" s="86" t="n"/>
      <c r="G41" s="86" t="n"/>
      <c r="H41" s="86" t="n"/>
      <c r="I41" s="86" t="n"/>
      <c r="J41" s="86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86" t="n"/>
      <c r="B42" s="86" t="n"/>
      <c r="C42" s="86" t="n"/>
      <c r="D42" s="86" t="n"/>
      <c r="E42" s="86" t="n"/>
      <c r="F42" s="86" t="n"/>
      <c r="G42" s="86" t="n"/>
      <c r="H42" s="86" t="n"/>
      <c r="I42" s="86" t="n"/>
      <c r="J42" s="86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86" t="n"/>
      <c r="B43" s="86" t="n"/>
      <c r="C43" s="86" t="n"/>
      <c r="D43" s="86" t="n"/>
      <c r="E43" s="86" t="n"/>
      <c r="F43" s="86" t="n"/>
      <c r="G43" s="86" t="n"/>
      <c r="H43" s="86" t="n"/>
      <c r="I43" s="86" t="n"/>
      <c r="J43" s="86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86" t="n"/>
      <c r="B44" s="86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86" t="n"/>
      <c r="B45" s="86" t="n"/>
      <c r="C45" s="86" t="n"/>
      <c r="D45" s="86" t="n"/>
      <c r="E45" s="86" t="n"/>
      <c r="F45" s="86" t="n"/>
      <c r="G45" s="86" t="n"/>
      <c r="H45" s="86" t="n"/>
      <c r="I45" s="86" t="n"/>
      <c r="J45" s="86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86" t="n"/>
      <c r="B46" s="86" t="n"/>
      <c r="C46" s="86" t="n"/>
      <c r="D46" s="86" t="n"/>
      <c r="E46" s="86" t="n"/>
      <c r="F46" s="86" t="n"/>
      <c r="G46" s="86" t="n"/>
      <c r="H46" s="86" t="n"/>
      <c r="I46" s="86" t="n"/>
      <c r="J46" s="86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86" t="n"/>
      <c r="B47" s="86" t="n"/>
      <c r="C47" s="86" t="n"/>
      <c r="D47" s="86" t="n"/>
      <c r="E47" s="86" t="n"/>
      <c r="F47" s="86" t="n"/>
      <c r="G47" s="86" t="n"/>
      <c r="H47" s="86" t="n"/>
      <c r="I47" s="86" t="n"/>
      <c r="J47" s="86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86" t="n"/>
      <c r="B48" s="86" t="n"/>
      <c r="C48" s="86" t="n"/>
      <c r="D48" s="86" t="n"/>
      <c r="E48" s="86" t="n"/>
      <c r="F48" s="86" t="n"/>
      <c r="G48" s="86" t="n"/>
      <c r="H48" s="86" t="n"/>
      <c r="I48" s="86" t="n"/>
      <c r="J48" s="86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86" t="n"/>
      <c r="B49" s="86" t="n"/>
      <c r="C49" s="86" t="n"/>
      <c r="D49" s="86" t="n"/>
      <c r="E49" s="86" t="n"/>
      <c r="F49" s="86" t="n"/>
      <c r="G49" s="86" t="n"/>
      <c r="H49" s="86" t="n"/>
      <c r="I49" s="86" t="n"/>
      <c r="J49" s="86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86" t="n"/>
      <c r="B50" s="86" t="n"/>
      <c r="C50" s="86" t="n"/>
      <c r="D50" s="86" t="n"/>
      <c r="E50" s="86" t="n"/>
      <c r="F50" s="86" t="n"/>
      <c r="G50" s="86" t="n"/>
      <c r="H50" s="86" t="n"/>
      <c r="I50" s="86" t="n"/>
      <c r="J50" s="86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6" t="inlineStr">
        <is>
          <t>Symbol</t>
        </is>
      </c>
      <c r="B1" s="6" t="inlineStr">
        <is>
          <t>Name</t>
        </is>
      </c>
      <c r="C1" s="6" t="inlineStr">
        <is>
          <t>Entry Date</t>
        </is>
      </c>
      <c r="D1" s="6" t="inlineStr">
        <is>
          <t>Qty</t>
        </is>
      </c>
      <c r="E1" s="6" t="inlineStr">
        <is>
          <t>Buy Price</t>
        </is>
      </c>
      <c r="F1" s="6" t="inlineStr">
        <is>
          <t>Suggested Entry</t>
        </is>
      </c>
      <c r="G1" s="6" t="inlineStr">
        <is>
          <t>Slippage/Deviation</t>
        </is>
      </c>
      <c r="H1" s="6" t="inlineStr">
        <is>
          <t>Target Price</t>
        </is>
      </c>
      <c r="I1" s="6" t="inlineStr">
        <is>
          <t>Stop Loss</t>
        </is>
      </c>
      <c r="J1" s="6" t="inlineStr">
        <is>
          <t>Risk-to-Reward Ratio</t>
        </is>
      </c>
      <c r="K1" s="6" t="inlineStr">
        <is>
          <t>Exit Date</t>
        </is>
      </c>
      <c r="L1" s="6" t="inlineStr">
        <is>
          <t>Exit Price</t>
        </is>
      </c>
      <c r="M1" s="6" t="inlineStr">
        <is>
          <t>Realized PnL</t>
        </is>
      </c>
      <c r="N1" s="6" t="inlineStr">
        <is>
          <t>Status</t>
        </is>
      </c>
      <c r="O1" s="6" t="inlineStr">
        <is>
          <t>Notes</t>
        </is>
      </c>
      <c r="P1" s="11" t="inlineStr">
        <is>
          <t>Trade Type</t>
        </is>
      </c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76" t="inlineStr">
        <is>
          <t>SUNPHARMA</t>
        </is>
      </c>
      <c r="B2" s="76" t="inlineStr">
        <is>
          <t>SUNPHARMA</t>
        </is>
      </c>
      <c r="C2" s="76" t="inlineStr">
        <is>
          <t>2026-07-21</t>
        </is>
      </c>
      <c r="D2" s="76" t="n">
        <v>1</v>
      </c>
      <c r="E2" s="77" t="n">
        <v>1951</v>
      </c>
      <c r="F2" s="77" t="n">
        <v>1963.199951171875</v>
      </c>
      <c r="G2" s="77" t="n">
        <v>-12.199951171875</v>
      </c>
      <c r="H2" s="77" t="n">
        <v>2091.543361767483</v>
      </c>
      <c r="I2" s="77" t="n">
        <v>1899.028245874071</v>
      </c>
      <c r="J2" s="76" t="inlineStr">
        <is>
          <t>1:2.7</t>
        </is>
      </c>
      <c r="K2" s="76" t="inlineStr">
        <is>
          <t>2026-07-21</t>
        </is>
      </c>
      <c r="L2" s="77" t="n">
        <v>1960</v>
      </c>
      <c r="M2" s="77">
        <f>IF(OR(N2="WIN", N2="LOSS"), (L2-E2)*D2, 0)</f>
        <v/>
      </c>
      <c r="N2" s="76" t="inlineStr">
        <is>
          <t>WIN</t>
        </is>
      </c>
      <c r="O2" s="76" t="inlineStr">
        <is>
          <t>Auto-synced from Zerodha account | Auto-synced sell from Zerodha account</t>
        </is>
      </c>
      <c r="P2" s="78" t="inlineStr">
        <is>
          <t>SWING</t>
        </is>
      </c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6" t="inlineStr">
        <is>
          <t>JSWSTEEL</t>
        </is>
      </c>
      <c r="B3" s="76" t="inlineStr">
        <is>
          <t>JSWSTEEL</t>
        </is>
      </c>
      <c r="C3" s="76" t="inlineStr">
        <is>
          <t>2026-07-21</t>
        </is>
      </c>
      <c r="D3" s="76" t="n">
        <v>1</v>
      </c>
      <c r="E3" s="77" t="n">
        <v>1266.4</v>
      </c>
      <c r="F3" s="77" t="n">
        <v>1268.099975585938</v>
      </c>
      <c r="G3" s="77" t="n">
        <v>-1.699975585937864</v>
      </c>
      <c r="H3" s="77" t="n">
        <v>1369.684246737149</v>
      </c>
      <c r="I3" s="77" t="n">
        <v>1217.307840010332</v>
      </c>
      <c r="J3" s="76" t="inlineStr">
        <is>
          <t>1:2.1</t>
        </is>
      </c>
      <c r="K3" s="76" t="inlineStr">
        <is>
          <t>2026-07-21</t>
        </is>
      </c>
      <c r="L3" s="77" t="n">
        <v>1267.1</v>
      </c>
      <c r="M3" s="77">
        <f>IF(OR(N3="WIN", N3="LOSS"), (L3-E3)*D3, 0)</f>
        <v/>
      </c>
      <c r="N3" s="76" t="inlineStr">
        <is>
          <t>WIN</t>
        </is>
      </c>
      <c r="O3" s="76" t="inlineStr">
        <is>
          <t>Auto-synced from Zerodha account | Auto-synced sell from Zerodha account</t>
        </is>
      </c>
      <c r="P3" s="78" t="inlineStr">
        <is>
          <t>SWING</t>
        </is>
      </c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79" t="inlineStr">
        <is>
          <t>TECHM</t>
        </is>
      </c>
      <c r="B4" s="79" t="inlineStr">
        <is>
          <t>TECHM</t>
        </is>
      </c>
      <c r="C4" s="79" t="inlineStr">
        <is>
          <t>2026-07-21</t>
        </is>
      </c>
      <c r="D4" s="79" t="n">
        <v>1</v>
      </c>
      <c r="E4" s="80" t="n">
        <v>1589.1</v>
      </c>
      <c r="F4" s="80" t="n">
        <v>1582.699951171875</v>
      </c>
      <c r="G4" s="80" t="n">
        <v>6.400048828124909</v>
      </c>
      <c r="H4" s="80" t="n">
        <v>1785.968673647753</v>
      </c>
      <c r="I4" s="80" t="n">
        <v>1481.065589933936</v>
      </c>
      <c r="J4" s="79" t="inlineStr">
        <is>
          <t>1:1.8</t>
        </is>
      </c>
      <c r="K4" s="79" t="inlineStr">
        <is>
          <t>2026-07-21</t>
        </is>
      </c>
      <c r="L4" s="80" t="n">
        <v>1575</v>
      </c>
      <c r="M4" s="80">
        <f>IF(OR(N4="WIN", N4="LOSS"), (L4-E4)*D4, 0)</f>
        <v/>
      </c>
      <c r="N4" s="79" t="inlineStr">
        <is>
          <t>LOSS</t>
        </is>
      </c>
      <c r="O4" s="79" t="inlineStr">
        <is>
          <t>Auto-synced from Zerodha account | Auto-synced sell from Zerodha account</t>
        </is>
      </c>
      <c r="P4" s="81" t="inlineStr">
        <is>
          <t>SWING</t>
        </is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6" t="inlineStr">
        <is>
          <t>SONACOMS</t>
        </is>
      </c>
      <c r="B5" s="76" t="inlineStr">
        <is>
          <t>SONACOMS</t>
        </is>
      </c>
      <c r="C5" s="76" t="inlineStr">
        <is>
          <t>2026-07-22</t>
        </is>
      </c>
      <c r="D5" s="76" t="n">
        <v>2</v>
      </c>
      <c r="E5" s="77" t="n">
        <v>734.7</v>
      </c>
      <c r="F5" s="77" t="n">
        <v>730.4500122070312</v>
      </c>
      <c r="G5" s="77" t="n">
        <v>4.249987792968795</v>
      </c>
      <c r="H5" s="77" t="n">
        <v>800.5786220005581</v>
      </c>
      <c r="I5" s="77" t="n">
        <v>695.3857073102679</v>
      </c>
      <c r="J5" s="76" t="inlineStr">
        <is>
          <t>1:1.7</t>
        </is>
      </c>
      <c r="K5" s="78" t="inlineStr">
        <is>
          <t>2026-08-05</t>
        </is>
      </c>
      <c r="L5" s="77" t="n">
        <v>798.25</v>
      </c>
      <c r="M5" s="77">
        <f>IF(OR(N5="WIN", N5="LOSS"), (L5-E5)*D5, 0)</f>
        <v/>
      </c>
      <c r="N5" s="76" t="inlineStr">
        <is>
          <t>WIN</t>
        </is>
      </c>
      <c r="O5" s="76" t="inlineStr">
        <is>
          <t>Auto-synced from Zerodha account | [2026-07-28] State 4 (Cash Only): Hold position, maintain pre-set stop-loss, do not average down. | Auto-synced sell from Zerodha account</t>
        </is>
      </c>
      <c r="P5" s="78" t="inlineStr">
        <is>
          <t>SWING</t>
        </is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82" t="inlineStr">
        <is>
          <t>JSWSTEEL</t>
        </is>
      </c>
      <c r="B6" s="82" t="inlineStr">
        <is>
          <t>JSW Steel Limited</t>
        </is>
      </c>
      <c r="C6" s="83" t="inlineStr">
        <is>
          <t>2026-07-22</t>
        </is>
      </c>
      <c r="D6" s="84" t="n">
        <v>1</v>
      </c>
      <c r="E6" s="85" t="n">
        <v>1265.1</v>
      </c>
      <c r="F6" s="85" t="n">
        <v>1265.1</v>
      </c>
      <c r="G6" s="85" t="n">
        <v>0</v>
      </c>
      <c r="H6" s="85" t="n">
        <v>1368.16</v>
      </c>
      <c r="I6" s="85" t="n">
        <v>1217.31</v>
      </c>
      <c r="J6" s="83" t="inlineStr">
        <is>
          <t>1:2.1</t>
        </is>
      </c>
      <c r="K6" s="84" t="inlineStr">
        <is>
          <t>2026-08-13</t>
        </is>
      </c>
      <c r="L6" s="85" t="n">
        <v>1269.1</v>
      </c>
      <c r="M6" s="85">
        <f>IF(OR(N6="WIN", N6="LOSS"), (L6-E6)*D6, 0)</f>
        <v/>
      </c>
      <c r="N6" s="83" t="inlineStr">
        <is>
          <t>WIN</t>
        </is>
      </c>
      <c r="O6" s="82" t="inlineStr">
        <is>
          <t>Auto-synced from Zerodha account | [2026-07-28] State 4 (Cash Only): Hold position, maintain pre-set stop-loss, do not average down. | Auto-synced sell from Zerodha account</t>
        </is>
      </c>
      <c r="P6" s="78" t="inlineStr">
        <is>
          <t>SWING</t>
        </is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8" t="inlineStr">
        <is>
          <t>TECHM</t>
        </is>
      </c>
      <c r="B7" s="78" t="inlineStr">
        <is>
          <t>TECHM</t>
        </is>
      </c>
      <c r="C7" s="78" t="inlineStr">
        <is>
          <t>2026-07-27</t>
        </is>
      </c>
      <c r="D7" s="78" t="n">
        <v>1</v>
      </c>
      <c r="E7" s="77" t="n">
        <v>1579</v>
      </c>
      <c r="F7" s="77" t="n">
        <v>1593.900024414062</v>
      </c>
      <c r="G7" s="77" t="n">
        <v>-14.90002441406205</v>
      </c>
      <c r="H7" s="77" t="n">
        <v>1773.642944335938</v>
      </c>
      <c r="I7" s="77" t="n">
        <v>1504.028564453125</v>
      </c>
      <c r="J7" s="78" t="inlineStr">
        <is>
          <t>1:2.6</t>
        </is>
      </c>
      <c r="K7" s="78" t="inlineStr">
        <is>
          <t>2026-08-13</t>
        </is>
      </c>
      <c r="L7" s="77" t="n">
        <v>1634.7</v>
      </c>
      <c r="M7" s="77">
        <f>IF(OR(N7="WIN", N7="LOSS"), (L7-E7)*D7, 0)</f>
        <v/>
      </c>
      <c r="N7" s="78" t="inlineStr">
        <is>
          <t>WIN</t>
        </is>
      </c>
      <c r="O7" s="78" t="inlineStr">
        <is>
          <t>Auto-synced from Zerodha account | [2026-07-28] State 4 (Cash Only): Hold position, maintain pre-set stop-loss, do not average down. | Auto-synced sell from Zerodha account</t>
        </is>
      </c>
      <c r="P7" s="78" t="inlineStr">
        <is>
          <t>SWING</t>
        </is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78" t="inlineStr">
        <is>
          <t>BERGEPAINT</t>
        </is>
      </c>
      <c r="B8" s="78" t="inlineStr">
        <is>
          <t>Berger Paints India Limited</t>
        </is>
      </c>
      <c r="C8" s="78" t="inlineStr">
        <is>
          <t>2026-07-31</t>
        </is>
      </c>
      <c r="D8" s="78" t="n">
        <v>2</v>
      </c>
      <c r="E8" s="77" t="n">
        <v>519.13</v>
      </c>
      <c r="F8" s="77" t="n">
        <v>521.35</v>
      </c>
      <c r="G8" s="77" t="n">
        <v>-2.220000000000027</v>
      </c>
      <c r="H8" s="77" t="n">
        <v>574.85</v>
      </c>
      <c r="I8" s="77" t="n">
        <v>494.6</v>
      </c>
      <c r="J8" s="78" t="inlineStr">
        <is>
          <t>1:2.0</t>
        </is>
      </c>
      <c r="K8" s="78" t="inlineStr">
        <is>
          <t>2026-08-12</t>
        </is>
      </c>
      <c r="L8" s="77" t="n">
        <v>561.2</v>
      </c>
      <c r="M8" s="77">
        <f>IF(OR(N8="WIN", N8="LOSS"), (L8-E8)*D8, 0)</f>
        <v/>
      </c>
      <c r="N8" s="78" t="inlineStr">
        <is>
          <t>WIN</t>
        </is>
      </c>
      <c r="O8" s="78" t="inlineStr">
        <is>
          <t>Auto-synced from Zerodha holdings | Auto-synced sell from Zerodha account</t>
        </is>
      </c>
      <c r="P8" s="78" t="inlineStr">
        <is>
          <t>SWING</t>
        </is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81" t="inlineStr">
        <is>
          <t>ADVANCE</t>
        </is>
      </c>
      <c r="B9" s="81" t="inlineStr">
        <is>
          <t>Advanced Enzyme Technologies Limited</t>
        </is>
      </c>
      <c r="C9" s="81" t="inlineStr">
        <is>
          <t>2026-08-03</t>
        </is>
      </c>
      <c r="D9" s="81" t="n">
        <v>4</v>
      </c>
      <c r="E9" s="80" t="n">
        <v>127.8</v>
      </c>
      <c r="F9" s="80" t="n">
        <v>125.01</v>
      </c>
      <c r="G9" s="80" t="n">
        <v>2.789999999999992</v>
      </c>
      <c r="H9" s="80" t="n">
        <v>145.56</v>
      </c>
      <c r="I9" s="80" t="n">
        <v>114.74</v>
      </c>
      <c r="J9" s="81" t="inlineStr">
        <is>
          <t>1:2.0</t>
        </is>
      </c>
      <c r="K9" s="81" t="inlineStr">
        <is>
          <t>2026-08-12</t>
        </is>
      </c>
      <c r="L9" s="80" t="n">
        <v>118.2425</v>
      </c>
      <c r="M9" s="80">
        <f>IF(OR(N9="WIN", N9="LOSS"), (L9-E9)*D9, 0)</f>
        <v/>
      </c>
      <c r="N9" s="81" t="inlineStr">
        <is>
          <t>LOSS</t>
        </is>
      </c>
      <c r="O9" s="81" t="inlineStr">
        <is>
          <t>Buy actual fill price matching Zerodha (corrected from 125.01) | Auto-synced sell from Zerodha account</t>
        </is>
      </c>
      <c r="P9" s="81" t="inlineStr">
        <is>
          <t>SWING</t>
        </is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81" t="inlineStr">
        <is>
          <t>NESTLEIND</t>
        </is>
      </c>
      <c r="B10" s="81" t="inlineStr">
        <is>
          <t>NESTLEIND</t>
        </is>
      </c>
      <c r="C10" s="81" t="inlineStr">
        <is>
          <t>2026-08-04</t>
        </is>
      </c>
      <c r="D10" s="81" t="n">
        <v>1</v>
      </c>
      <c r="E10" s="80" t="n">
        <v>1530</v>
      </c>
      <c r="F10" s="80" t="n">
        <v>1530</v>
      </c>
      <c r="G10" s="80" t="n">
        <v>0</v>
      </c>
      <c r="H10" s="80" t="n">
        <v>1549.8</v>
      </c>
      <c r="I10" s="80" t="n">
        <v>1520.1</v>
      </c>
      <c r="J10" s="81" t="inlineStr">
        <is>
          <t>1:2.0</t>
        </is>
      </c>
      <c r="K10" s="81" t="inlineStr">
        <is>
          <t>2026-08-04</t>
        </is>
      </c>
      <c r="L10" s="80" t="n">
        <v>1520.1</v>
      </c>
      <c r="M10" s="80">
        <f>IF(OR(N10="WIN", N10="LOSS"), (L10-E10)*D10, 0)</f>
        <v/>
      </c>
      <c r="N10" s="81" t="inlineStr">
        <is>
          <t>LOSS</t>
        </is>
      </c>
      <c r="O10" s="81" t="inlineStr">
        <is>
          <t>Intraday placement. GTT Trigger: 330204955 | Position closed via Stop-Loss GTT trigger. Actual Buy Filled at INR 1523.00</t>
        </is>
      </c>
      <c r="P10" s="81" t="inlineStr">
        <is>
          <t>INTRADAY</t>
        </is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81" t="inlineStr">
        <is>
          <t>PIDILITIND</t>
        </is>
      </c>
      <c r="B11" s="81" t="inlineStr">
        <is>
          <t>PIDILITIND</t>
        </is>
      </c>
      <c r="C11" s="81" t="inlineStr">
        <is>
          <t>2026-08-04</t>
        </is>
      </c>
      <c r="D11" s="81" t="n">
        <v>1</v>
      </c>
      <c r="E11" s="80" t="n">
        <v>1642.5</v>
      </c>
      <c r="F11" s="80" t="n">
        <v>1642.5</v>
      </c>
      <c r="G11" s="80" t="n">
        <v>0</v>
      </c>
      <c r="H11" s="80" t="n">
        <v>1658.5</v>
      </c>
      <c r="I11" s="80" t="n">
        <v>1634.5</v>
      </c>
      <c r="J11" s="81" t="inlineStr">
        <is>
          <t>1:2.0</t>
        </is>
      </c>
      <c r="K11" s="81" t="inlineStr">
        <is>
          <t>2026-08-04</t>
        </is>
      </c>
      <c r="L11" s="80" t="n">
        <v>1634.5</v>
      </c>
      <c r="M11" s="80">
        <f>IF(OR(N11="WIN", N11="LOSS"), (L11-E11)*D11, 0)</f>
        <v/>
      </c>
      <c r="N11" s="81" t="inlineStr">
        <is>
          <t>LOSS</t>
        </is>
      </c>
      <c r="O11" s="81" t="inlineStr">
        <is>
          <t>Intraday placement. GTT Trigger: 330204926 | Position closed via Stop-Loss GTT trigger.</t>
        </is>
      </c>
      <c r="P11" s="81" t="inlineStr">
        <is>
          <t>INTRADAY</t>
        </is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78" t="inlineStr">
        <is>
          <t>VISAKAIND</t>
        </is>
      </c>
      <c r="B12" s="78" t="inlineStr">
        <is>
          <t>VISAKAIND</t>
        </is>
      </c>
      <c r="C12" s="78" t="inlineStr">
        <is>
          <t>2026-08-05</t>
        </is>
      </c>
      <c r="D12" s="78" t="n">
        <v>8</v>
      </c>
      <c r="E12" s="77" t="n">
        <v>86.98999999999999</v>
      </c>
      <c r="F12" s="77" t="n">
        <v>86.98999999999999</v>
      </c>
      <c r="G12" s="77" t="n">
        <v>0</v>
      </c>
      <c r="H12" s="77" t="n">
        <v>101.83</v>
      </c>
      <c r="I12" s="77" t="n">
        <v>79.56999999999999</v>
      </c>
      <c r="J12" s="78" t="inlineStr">
        <is>
          <t>1:2.0</t>
        </is>
      </c>
      <c r="K12" s="78" t="inlineStr">
        <is>
          <t>2026-08-10</t>
        </is>
      </c>
      <c r="L12" s="77" t="n">
        <v>103.24</v>
      </c>
      <c r="M12" s="77">
        <f>IF(OR(N12="WIN", N12="LOSS"), (L12-E12)*D12, 0)</f>
        <v/>
      </c>
      <c r="N12" s="78" t="inlineStr">
        <is>
          <t>WIN</t>
        </is>
      </c>
      <c r="O12" s="78" t="inlineStr">
        <is>
          <t>Swing AMO placement. GTT Trigger: 330406766 | Auto-synced sell from Zerodha account</t>
        </is>
      </c>
      <c r="P12" s="78" t="inlineStr">
        <is>
          <t>SWING</t>
        </is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81" t="inlineStr">
        <is>
          <t>EXCELSOFT</t>
        </is>
      </c>
      <c r="B13" s="81" t="inlineStr">
        <is>
          <t>EXCELSOFT</t>
        </is>
      </c>
      <c r="C13" s="81" t="inlineStr">
        <is>
          <t>2026-08-05</t>
        </is>
      </c>
      <c r="D13" s="81" t="n">
        <v>8</v>
      </c>
      <c r="E13" s="80" t="n">
        <v>82.5</v>
      </c>
      <c r="F13" s="80" t="n">
        <v>82.5</v>
      </c>
      <c r="G13" s="80" t="n">
        <v>0</v>
      </c>
      <c r="H13" s="80" t="n">
        <v>93.81</v>
      </c>
      <c r="I13" s="80" t="n">
        <v>77.58</v>
      </c>
      <c r="J13" s="81" t="inlineStr">
        <is>
          <t>1:2.0</t>
        </is>
      </c>
      <c r="K13" s="81" t="inlineStr">
        <is>
          <t>2026-08-10</t>
        </is>
      </c>
      <c r="L13" s="80" t="n">
        <v>77.58</v>
      </c>
      <c r="M13" s="80">
        <f>IF(OR(N13="WIN", N13="LOSS"), (L13-E13)*D13, 0)</f>
        <v/>
      </c>
      <c r="N13" s="81" t="inlineStr">
        <is>
          <t>LOSS</t>
        </is>
      </c>
      <c r="O13" s="81" t="inlineStr">
        <is>
          <t>Swing AMO placement. GTT Trigger: 330406774 | Auto-synced sell from Zerodha account</t>
        </is>
      </c>
      <c r="P13" s="81" t="inlineStr">
        <is>
          <t>SWING</t>
        </is>
      </c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81" t="inlineStr">
        <is>
          <t>SONATSOFTW</t>
        </is>
      </c>
      <c r="B14" s="81" t="inlineStr">
        <is>
          <t>SONATSOFTW</t>
        </is>
      </c>
      <c r="C14" s="81" t="inlineStr">
        <is>
          <t>2026-08-05</t>
        </is>
      </c>
      <c r="D14" s="81" t="n">
        <v>3</v>
      </c>
      <c r="E14" s="80" t="n">
        <v>341.15</v>
      </c>
      <c r="F14" s="80" t="n">
        <v>341.15</v>
      </c>
      <c r="G14" s="80" t="n">
        <v>0</v>
      </c>
      <c r="H14" s="80" t="n">
        <v>405.1</v>
      </c>
      <c r="I14" s="80" t="n">
        <v>316.2</v>
      </c>
      <c r="J14" s="81" t="inlineStr">
        <is>
          <t>1:2.6</t>
        </is>
      </c>
      <c r="K14" s="81" t="inlineStr">
        <is>
          <t>2026-08-10</t>
        </is>
      </c>
      <c r="L14" s="80" t="n">
        <v>316.2</v>
      </c>
      <c r="M14" s="80">
        <f>IF(OR(N15="WIN", N15="LOSS"), (L15-E15)*D15, 0)</f>
        <v/>
      </c>
      <c r="N14" s="81" t="inlineStr">
        <is>
          <t>LOSS</t>
        </is>
      </c>
      <c r="O14" s="81" t="inlineStr">
        <is>
          <t>Swing Trade placement. GTT Trigger: 330502180 | Auto-synced sell from Zerodha account</t>
        </is>
      </c>
      <c r="P14" s="81" t="inlineStr">
        <is>
          <t>SWING</t>
        </is>
      </c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IFGLEXPOR</t>
        </is>
      </c>
      <c r="B15" s="2" t="inlineStr">
        <is>
          <t>IFGLEXPOR</t>
        </is>
      </c>
      <c r="C15" s="2" t="inlineStr">
        <is>
          <t>2026-08-06</t>
        </is>
      </c>
      <c r="D15" s="2" t="n">
        <v>4</v>
      </c>
      <c r="E15" s="12" t="n">
        <v>219.6</v>
      </c>
      <c r="F15" s="12" t="n">
        <v>219.6</v>
      </c>
      <c r="G15" s="12" t="n">
        <v>0</v>
      </c>
      <c r="H15" s="12" t="n">
        <v>266.25</v>
      </c>
      <c r="I15" s="12" t="n">
        <v>196.3</v>
      </c>
      <c r="J15" s="2" t="inlineStr">
        <is>
          <t>1:2.0</t>
        </is>
      </c>
      <c r="K15" s="2" t="n"/>
      <c r="L15" s="2" t="n"/>
      <c r="M15" s="12">
        <f>IF(OR(N16="WIN", N16="LOSS"), (L16-E16)*D16, 0)</f>
        <v/>
      </c>
      <c r="N15" s="2" t="inlineStr">
        <is>
          <t>OPEN</t>
        </is>
      </c>
      <c r="O15" s="2" t="inlineStr">
        <is>
          <t>Swing AMO placement. GTT Trigger: 330580516</t>
        </is>
      </c>
      <c r="P15" s="2" t="inlineStr">
        <is>
          <t>SWING</t>
        </is>
      </c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8" t="inlineStr">
        <is>
          <t>SAPPHIRE</t>
        </is>
      </c>
      <c r="B16" s="78" t="inlineStr">
        <is>
          <t>SAPPHIRE</t>
        </is>
      </c>
      <c r="C16" s="78" t="inlineStr">
        <is>
          <t>2026-08-06</t>
        </is>
      </c>
      <c r="D16" s="78" t="n">
        <v>4</v>
      </c>
      <c r="E16" s="77" t="n">
        <v>202.5</v>
      </c>
      <c r="F16" s="77" t="n">
        <v>202.5</v>
      </c>
      <c r="G16" s="77" t="n">
        <v>0</v>
      </c>
      <c r="H16" s="77" t="n">
        <v>238.85</v>
      </c>
      <c r="I16" s="77" t="n">
        <v>184.35</v>
      </c>
      <c r="J16" s="78" t="inlineStr">
        <is>
          <t>1:2.0</t>
        </is>
      </c>
      <c r="K16" s="78" t="inlineStr">
        <is>
          <t>2026-08-12</t>
        </is>
      </c>
      <c r="L16" s="77" t="n">
        <v>236.75</v>
      </c>
      <c r="M16" s="77">
        <f>IF(OR(N17="WIN", N17="LOSS"), (L17-E17)*D17, 0)</f>
        <v/>
      </c>
      <c r="N16" s="78" t="inlineStr">
        <is>
          <t>WIN</t>
        </is>
      </c>
      <c r="O16" s="78" t="inlineStr">
        <is>
          <t>Swing AMO placement. GTT Trigger: 330580530 | Auto-synced sell from Zerodha account</t>
        </is>
      </c>
      <c r="P16" s="78" t="inlineStr">
        <is>
          <t>SWING</t>
        </is>
      </c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AEROENTER</t>
        </is>
      </c>
      <c r="B17" s="2" t="inlineStr">
        <is>
          <t>AEROENTER</t>
        </is>
      </c>
      <c r="C17" s="2" t="inlineStr">
        <is>
          <t>2026-08-06</t>
        </is>
      </c>
      <c r="D17" s="2" t="n">
        <v>8</v>
      </c>
      <c r="E17" s="12" t="n">
        <v>132.01</v>
      </c>
      <c r="F17" s="12" t="n">
        <v>132.01</v>
      </c>
      <c r="G17" s="12" t="n">
        <v>0</v>
      </c>
      <c r="H17" s="12" t="n">
        <v>159.05</v>
      </c>
      <c r="I17" s="12" t="n">
        <v>118.7</v>
      </c>
      <c r="J17" s="2" t="inlineStr">
        <is>
          <t>1:2.0</t>
        </is>
      </c>
      <c r="K17" s="2" t="n"/>
      <c r="L17" s="2" t="n"/>
      <c r="M17" s="12">
        <f>IF(OR(N18="WIN", N18="LOSS"), (L18-E18)*D18, 0)</f>
        <v/>
      </c>
      <c r="N17" s="2" t="inlineStr">
        <is>
          <t>OPEN</t>
        </is>
      </c>
      <c r="O17" s="2" t="inlineStr">
        <is>
          <t>Swing AMO placement. GTT Trigger: 330580552</t>
        </is>
      </c>
      <c r="P17" s="2" t="inlineStr">
        <is>
          <t>SWING</t>
        </is>
      </c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81" t="inlineStr">
        <is>
          <t>TATASTEEL</t>
        </is>
      </c>
      <c r="B18" s="81" t="inlineStr">
        <is>
          <t>TATASTEEL</t>
        </is>
      </c>
      <c r="C18" s="81" t="inlineStr">
        <is>
          <t>2026-08-06</t>
        </is>
      </c>
      <c r="D18" s="81" t="n">
        <v>1</v>
      </c>
      <c r="E18" s="80" t="n">
        <v>192.6</v>
      </c>
      <c r="F18" s="80" t="n">
        <v>192.6</v>
      </c>
      <c r="G18" s="80" t="n">
        <v>0</v>
      </c>
      <c r="H18" s="80" t="n">
        <v>195.65</v>
      </c>
      <c r="I18" s="80" t="n">
        <v>191.65</v>
      </c>
      <c r="J18" s="81" t="inlineStr">
        <is>
          <t>1:2.0</t>
        </is>
      </c>
      <c r="K18" s="81" t="inlineStr">
        <is>
          <t>2026-08-06</t>
        </is>
      </c>
      <c r="L18" s="81" t="n">
        <v>191.65</v>
      </c>
      <c r="M18" s="80">
        <f>IF(OR(N19="WIN", N19="LOSS"), (L19-E19)*D19, 0)</f>
        <v/>
      </c>
      <c r="N18" s="81" t="inlineStr">
        <is>
          <t>LOSS</t>
        </is>
      </c>
      <c r="O18" s="81" t="inlineStr">
        <is>
          <t>Intraday AMO placement. GTT Trigger: 330580570 | Closed via GTT Stop Loss.</t>
        </is>
      </c>
      <c r="P18" s="81" t="inlineStr">
        <is>
          <t>INTRADAY</t>
        </is>
      </c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81" t="inlineStr">
        <is>
          <t>HARSHA</t>
        </is>
      </c>
      <c r="B19" s="81" t="inlineStr">
        <is>
          <t>Harsha Engineers International Limited</t>
        </is>
      </c>
      <c r="C19" s="81" t="inlineStr">
        <is>
          <t>2026-08-11</t>
        </is>
      </c>
      <c r="D19" s="81" t="n">
        <v>3</v>
      </c>
      <c r="E19" s="80" t="n">
        <v>432.6</v>
      </c>
      <c r="F19" s="80" t="n">
        <v>432.6</v>
      </c>
      <c r="G19" s="80" t="n">
        <v>0</v>
      </c>
      <c r="H19" s="80" t="n">
        <v>480.15</v>
      </c>
      <c r="I19" s="80" t="n">
        <v>408.85</v>
      </c>
      <c r="J19" s="81" t="inlineStr">
        <is>
          <t>1:2.0</t>
        </is>
      </c>
      <c r="K19" s="81" t="inlineStr">
        <is>
          <t>2026-08-12</t>
        </is>
      </c>
      <c r="L19" s="81" t="n">
        <v>410.45</v>
      </c>
      <c r="M19" s="80" t="n">
        <v>-66.4500000000001</v>
      </c>
      <c r="N19" s="81" t="inlineStr">
        <is>
          <t>LOSS</t>
        </is>
      </c>
      <c r="O19" s="81" t="inlineStr">
        <is>
          <t>AMO Swing Trade. GTT Trigger: 331229921</t>
        </is>
      </c>
      <c r="P19" s="81" t="inlineStr">
        <is>
          <t>SWING</t>
        </is>
      </c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81" t="inlineStr">
        <is>
          <t>CONFIPET</t>
        </is>
      </c>
      <c r="B20" s="81" t="inlineStr">
        <is>
          <t>Confidence Petroleum India Limited</t>
        </is>
      </c>
      <c r="C20" s="81" t="inlineStr">
        <is>
          <t>2026-08-11</t>
        </is>
      </c>
      <c r="D20" s="81" t="n">
        <v>10</v>
      </c>
      <c r="E20" s="80" t="n">
        <v>82.73999999999999</v>
      </c>
      <c r="F20" s="80" t="n">
        <v>82.73999999999999</v>
      </c>
      <c r="G20" s="80" t="n">
        <v>0</v>
      </c>
      <c r="H20" s="80" t="n">
        <v>99.31</v>
      </c>
      <c r="I20" s="80" t="n">
        <v>74.45</v>
      </c>
      <c r="J20" s="81" t="inlineStr">
        <is>
          <t>1:2.0</t>
        </is>
      </c>
      <c r="K20" s="81" t="inlineStr">
        <is>
          <t>2026-08-12</t>
        </is>
      </c>
      <c r="L20" s="80" t="n">
        <v>74.45</v>
      </c>
      <c r="M20" s="80">
        <f>IF(OR(N20="WIN", N20="LOSS"), (L20-E20)*D20, 0)</f>
        <v/>
      </c>
      <c r="N20" s="81" t="inlineStr">
        <is>
          <t>LOSS</t>
        </is>
      </c>
      <c r="O20" s="81" t="inlineStr">
        <is>
          <t>AMO Swing Trade. GTT Trigger: 10002 | Auto-synced sell from Zerodha account</t>
        </is>
      </c>
      <c r="P20" s="81" t="inlineStr">
        <is>
          <t>SWING</t>
        </is>
      </c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81" t="inlineStr">
        <is>
          <t>BEL</t>
        </is>
      </c>
      <c r="B21" s="81" t="inlineStr">
        <is>
          <t>BEL</t>
        </is>
      </c>
      <c r="C21" s="81" t="inlineStr">
        <is>
          <t>2026-08-12</t>
        </is>
      </c>
      <c r="D21" s="81" t="n">
        <v>5</v>
      </c>
      <c r="E21" s="80" t="n">
        <v>405.85</v>
      </c>
      <c r="F21" s="80" t="n">
        <v>401.3500061035156</v>
      </c>
      <c r="G21" s="80" t="n">
        <v>4.499993896484398</v>
      </c>
      <c r="H21" s="80" t="n">
        <v>429.2642865862165</v>
      </c>
      <c r="I21" s="80" t="n">
        <v>387.3928658621652</v>
      </c>
      <c r="J21" s="81" t="inlineStr">
        <is>
          <t>1:1.3</t>
        </is>
      </c>
      <c r="K21" s="81" t="inlineStr">
        <is>
          <t>2026-08-12</t>
        </is>
      </c>
      <c r="L21" s="80" t="n">
        <v>399.4</v>
      </c>
      <c r="M21" s="80">
        <f>IF(OR(N22="WIN", N22="LOSS"), (L22-E22)*D22, 0)</f>
        <v/>
      </c>
      <c r="N21" s="81" t="inlineStr">
        <is>
          <t>LOSS</t>
        </is>
      </c>
      <c r="O21" s="81" t="inlineStr">
        <is>
          <t>Auto-synced from Zerodha account | Auto-synced sell from Zerodha account</t>
        </is>
      </c>
      <c r="P21" s="81" t="inlineStr">
        <is>
          <t>SWING</t>
        </is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12" t="n">
        <v>806.25</v>
      </c>
      <c r="F22" s="12" t="n">
        <v>802</v>
      </c>
      <c r="G22" s="12" t="n">
        <v>4.25</v>
      </c>
      <c r="H22" s="12" t="n">
        <v>896.2857142857143</v>
      </c>
      <c r="I22" s="12" t="n">
        <v>754.8571428571429</v>
      </c>
      <c r="J22" s="2" t="inlineStr">
        <is>
          <t>1:1.8</t>
        </is>
      </c>
      <c r="K22" s="2" t="n"/>
      <c r="L22" s="2" t="n"/>
      <c r="M22" s="12">
        <f>IF(OR(N23="WIN", N23="LOSS"), (L23-E23)*D23,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inlineStr">
        <is>
          <t>MRPL</t>
        </is>
      </c>
      <c r="B23" s="2" t="inlineStr">
        <is>
          <t>MRPL</t>
        </is>
      </c>
      <c r="C23" s="2" t="inlineStr">
        <is>
          <t>2026-08-13</t>
        </is>
      </c>
      <c r="D23" s="2" t="n">
        <v>10</v>
      </c>
      <c r="E23" s="12" t="n">
        <v>174.7</v>
      </c>
      <c r="F23" s="12" t="n">
        <v>181.14</v>
      </c>
      <c r="G23" s="12" t="n">
        <v>-6.439999999999998</v>
      </c>
      <c r="H23" s="12" t="n">
        <v>213.09</v>
      </c>
      <c r="I23" s="12" t="n">
        <v>165.17</v>
      </c>
      <c r="J23" s="2" t="inlineStr">
        <is>
          <t>1:2.0</t>
        </is>
      </c>
      <c r="K23" s="2" t="n"/>
      <c r="L23" s="2" t="n"/>
      <c r="M23" s="12">
        <f>IF(OR(N23="WIN", N23="LOSS"), (L23-E23)*D23, 0)</f>
        <v/>
      </c>
      <c r="N23" s="2" t="inlineStr">
        <is>
          <t>OPEN</t>
        </is>
      </c>
      <c r="O23" s="2" t="inlineStr">
        <is>
          <t>Auto-added SWING via AI recommendation. SL: 165.17, TP: 213.09 (Orders pending 5:30 AM due to Zerodha AMO maintenance).</t>
        </is>
      </c>
      <c r="P23" s="2" t="inlineStr">
        <is>
          <t>SWING</t>
        </is>
      </c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inlineStr">
        <is>
          <t>LENSKART</t>
        </is>
      </c>
      <c r="B24" s="2" t="inlineStr">
        <is>
          <t>LENSKART</t>
        </is>
      </c>
      <c r="C24" s="2" t="inlineStr">
        <is>
          <t>2026-08-13</t>
        </is>
      </c>
      <c r="D24" s="2" t="n">
        <v>4</v>
      </c>
      <c r="E24" s="12" t="n">
        <v>605</v>
      </c>
      <c r="F24" s="12" t="n">
        <v>589.2</v>
      </c>
      <c r="G24" s="12" t="n">
        <v>15.79999999999995</v>
      </c>
      <c r="H24" s="12" t="n">
        <v>646.8099999999999</v>
      </c>
      <c r="I24" s="12" t="n">
        <v>560.39</v>
      </c>
      <c r="J24" s="2" t="inlineStr">
        <is>
          <t>1:2.0</t>
        </is>
      </c>
      <c r="K24" s="2" t="n"/>
      <c r="L24" s="2" t="n"/>
      <c r="M24" s="12">
        <f>IF(OR(N24="WIN", N24="LOSS"), (L24-E24)*D24, 0)</f>
        <v/>
      </c>
      <c r="N24" s="2" t="inlineStr">
        <is>
          <t>OPEN</t>
        </is>
      </c>
      <c r="O24" s="2" t="inlineStr">
        <is>
          <t>Auto-added SWING via AI recommendation. SL: 560.39, TP: 646.81 (Orders pending 5:30 AM due to Zerodha AMO maintenance).</t>
        </is>
      </c>
      <c r="P24" s="2" t="inlineStr">
        <is>
          <t>SWING</t>
        </is>
      </c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12" t="n">
        <v>473</v>
      </c>
      <c r="F25" s="12" t="n">
        <v>470.35</v>
      </c>
      <c r="G25" s="12" t="n">
        <v>2.649999999999977</v>
      </c>
      <c r="H25" s="12" t="n">
        <v>525.25</v>
      </c>
      <c r="I25" s="12" t="n">
        <v>442.9</v>
      </c>
      <c r="J25" s="2" t="inlineStr">
        <is>
          <t>1:2.0</t>
        </is>
      </c>
      <c r="K25" s="2" t="n"/>
      <c r="L25" s="2" t="n"/>
      <c r="M25" s="12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78" t="inlineStr">
        <is>
          <t>AARTIIND</t>
        </is>
      </c>
      <c r="B26" s="78" t="inlineStr">
        <is>
          <t>AARTIIND</t>
        </is>
      </c>
      <c r="C26" s="78" t="inlineStr">
        <is>
          <t>2026-08-13</t>
        </is>
      </c>
      <c r="D26" s="78" t="n">
        <v>4</v>
      </c>
      <c r="E26" s="77" t="n">
        <v>536</v>
      </c>
      <c r="F26" s="77" t="n">
        <v>532.3</v>
      </c>
      <c r="G26" s="77" t="n">
        <v>3.700000000000045</v>
      </c>
      <c r="H26" s="77" t="n">
        <v>562.65</v>
      </c>
      <c r="I26" s="77" t="n">
        <v>517.1</v>
      </c>
      <c r="J26" s="78" t="inlineStr">
        <is>
          <t>1:2.0</t>
        </is>
      </c>
      <c r="K26" s="78" t="inlineStr">
        <is>
          <t>2026-08-14</t>
        </is>
      </c>
      <c r="L26" s="77" t="n">
        <v>539.25</v>
      </c>
      <c r="M26" s="77">
        <f>IF(OR(N26="WIN", N26="LOSS"), (L26-E26)*D26, 0)</f>
        <v/>
      </c>
      <c r="N26" s="78" t="inlineStr">
        <is>
          <t>WIN</t>
        </is>
      </c>
      <c r="O26" s="78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8" t="inlineStr">
        <is>
          <t>INTRADAY</t>
        </is>
      </c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81" t="inlineStr">
        <is>
          <t>SCHNEIDER</t>
        </is>
      </c>
      <c r="B27" s="81" t="inlineStr">
        <is>
          <t>SCHNEIDER</t>
        </is>
      </c>
      <c r="C27" s="81" t="inlineStr">
        <is>
          <t>2026-08-13</t>
        </is>
      </c>
      <c r="D27" s="81" t="n">
        <v>2</v>
      </c>
      <c r="E27" s="80" t="n">
        <v>1425</v>
      </c>
      <c r="F27" s="80" t="n">
        <v>1435</v>
      </c>
      <c r="G27" s="80" t="n">
        <v>-10</v>
      </c>
      <c r="H27" s="80" t="n">
        <v>1502.9</v>
      </c>
      <c r="I27" s="80" t="n">
        <v>1401.05</v>
      </c>
      <c r="J27" s="81" t="inlineStr">
        <is>
          <t>1:2.0</t>
        </is>
      </c>
      <c r="K27" s="81" t="inlineStr">
        <is>
          <t>2026-08-14</t>
        </is>
      </c>
      <c r="L27" s="80" t="n">
        <v>1401</v>
      </c>
      <c r="M27" s="80">
        <f>IF(OR(N27="WIN", N27="LOSS"), (L27-E27)*D27, 0)</f>
        <v/>
      </c>
      <c r="N27" s="81" t="inlineStr">
        <is>
          <t>LOSS</t>
        </is>
      </c>
      <c r="O27" s="81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81" t="inlineStr">
        <is>
          <t>INTRADAY</t>
        </is>
      </c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12" t="n">
        <v>68.87</v>
      </c>
      <c r="F28" s="12" t="n">
        <v>68.87</v>
      </c>
      <c r="G28" s="12" t="n">
        <v>0</v>
      </c>
      <c r="H28" s="12" t="n">
        <v>81.37</v>
      </c>
      <c r="I28" s="12" t="n">
        <v>62.62</v>
      </c>
      <c r="J28" s="2" t="inlineStr">
        <is>
          <t>1:2.0</t>
        </is>
      </c>
      <c r="K28" s="2" t="inlineStr"/>
      <c r="L28" s="2" t="inlineStr"/>
      <c r="M28" s="12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12" t="n">
        <v>166.02</v>
      </c>
      <c r="F29" s="12" t="n">
        <v>166.02</v>
      </c>
      <c r="G29" s="12" t="n">
        <v>0</v>
      </c>
      <c r="H29" s="12" t="n">
        <v>197.93</v>
      </c>
      <c r="I29" s="12" t="n">
        <v>150.06</v>
      </c>
      <c r="J29" s="2" t="inlineStr">
        <is>
          <t>1:2.0</t>
        </is>
      </c>
      <c r="K29" s="2" t="inlineStr"/>
      <c r="L29" s="2" t="inlineStr"/>
      <c r="M29" s="12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inlineStr">
        <is>
          <t>BHARATSE</t>
        </is>
      </c>
      <c r="B30" s="2" t="inlineStr">
        <is>
          <t>Bharat Seats Limited</t>
        </is>
      </c>
      <c r="C30" s="2" t="inlineStr">
        <is>
          <t>2026-08-14</t>
        </is>
      </c>
      <c r="D30" s="2" t="n">
        <v>6</v>
      </c>
      <c r="E30" s="12" t="n">
        <v>245.25</v>
      </c>
      <c r="F30" s="12" t="n">
        <v>245.25</v>
      </c>
      <c r="G30" s="12" t="n">
        <v>0</v>
      </c>
      <c r="H30" s="12" t="n">
        <v>297.64</v>
      </c>
      <c r="I30" s="12" t="n">
        <v>219.06</v>
      </c>
      <c r="J30" s="2" t="inlineStr">
        <is>
          <t>1:2.0</t>
        </is>
      </c>
      <c r="K30" s="2" t="inlineStr"/>
      <c r="L30" s="2" t="inlineStr"/>
      <c r="M30" s="12">
        <f>IF(OR(N30="WIN", N30="LOSS"), (L30-E30)*D30, 0)</f>
        <v/>
      </c>
      <c r="N30" s="2" t="inlineStr">
        <is>
          <t>OPEN</t>
        </is>
      </c>
      <c r="O30" s="2" t="inlineStr">
        <is>
          <t>Swing trade setup.</t>
        </is>
      </c>
      <c r="P30" s="2" t="inlineStr">
        <is>
          <t>SWING</t>
        </is>
      </c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>
        <f>IF(OR(N46="WIN", N46="LOSS"), (L46-E46)*D46, 0)</f>
        <v/>
      </c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>
        <f>IF(OR(N47="WIN", N47="LOSS"), (L47-E47)*D47, 0)</f>
        <v/>
      </c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>
        <f>IF(OR(N48="WIN", N48="LOSS"), (L48-E48)*D48, 0)</f>
        <v/>
      </c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>
        <f>IF(OR(N49="WIN", N49="LOSS"), (L49-E49)*D49, 0)</f>
        <v/>
      </c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>
        <f>IF(OR(N50="WIN", N50="LOSS"), (L50-E50)*D50, 0)</f>
        <v/>
      </c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>
        <f>IF(OR(N51="WIN", N51="LOSS"), (L51-E51)*D51, 0)</f>
        <v/>
      </c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>
        <f>IF(OR(N52="WIN", N52="LOSS"), (L52-E52)*D52, 0)</f>
        <v/>
      </c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5" t="inlineStr">
        <is>
          <t>Date</t>
        </is>
      </c>
      <c r="B1" s="5" t="inlineStr">
        <is>
          <t>Symbol</t>
        </is>
      </c>
      <c r="C1" s="5" t="inlineStr">
        <is>
          <t>Name</t>
        </is>
      </c>
      <c r="D1" s="5" t="inlineStr">
        <is>
          <t>Composite Score</t>
        </is>
      </c>
      <c r="E1" s="5" t="inlineStr">
        <is>
          <t>Target Entry Price</t>
        </is>
      </c>
      <c r="F1" s="5" t="inlineStr">
        <is>
          <t>Initial Stop-Loss</t>
        </is>
      </c>
      <c r="G1" s="5" t="inlineStr">
        <is>
          <t>Profit Target</t>
        </is>
      </c>
      <c r="H1" s="5" t="inlineStr">
        <is>
          <t>Risk-to-Reward Ratio</t>
        </is>
      </c>
      <c r="I1" s="5" t="inlineStr">
        <is>
          <t>Recommended Qty</t>
        </is>
      </c>
      <c r="J1" s="5" t="inlineStr">
        <is>
          <t>Recommended Allocation</t>
        </is>
      </c>
      <c r="K1" s="5" t="inlineStr">
        <is>
          <t>Execution Status</t>
        </is>
      </c>
      <c r="L1" s="5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0" t="inlineStr">
        <is>
          <t>2026-07-21</t>
        </is>
      </c>
      <c r="B2" s="10" t="inlineStr">
        <is>
          <t>JSWSTEEL</t>
        </is>
      </c>
      <c r="C2" s="10" t="inlineStr">
        <is>
          <t>JSW Steel Limited</t>
        </is>
      </c>
      <c r="D2" s="10" t="inlineStr">
        <is>
          <t>96/100</t>
        </is>
      </c>
      <c r="E2" s="12" t="n">
        <v>1267.400024414062</v>
      </c>
      <c r="F2" s="12" t="n">
        <v>1217.533463494685</v>
      </c>
      <c r="G2" s="12" t="n">
        <v>1367.133146252818</v>
      </c>
      <c r="H2" s="10" t="inlineStr">
        <is>
          <t>1:2.0</t>
        </is>
      </c>
      <c r="I2" s="10" t="n">
        <v>1</v>
      </c>
      <c r="J2" s="12" t="n">
        <v>1267.400024414062</v>
      </c>
      <c r="K2" s="10" t="inlineStr">
        <is>
          <t>SKIPPED_BEARISH_REGIME</t>
        </is>
      </c>
      <c r="L2" s="10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0" t="inlineStr">
        <is>
          <t>2026-07-21</t>
        </is>
      </c>
      <c r="B3" s="10" t="inlineStr">
        <is>
          <t>LUPIN</t>
        </is>
      </c>
      <c r="C3" s="10" t="inlineStr">
        <is>
          <t>Lupin Limited</t>
        </is>
      </c>
      <c r="D3" s="10" t="inlineStr">
        <is>
          <t>96/100</t>
        </is>
      </c>
      <c r="E3" s="12" t="n">
        <v>2514.800048828125</v>
      </c>
      <c r="F3" s="12" t="n">
        <v>2414.086713938525</v>
      </c>
      <c r="G3" s="12" t="n">
        <v>2716.226718607325</v>
      </c>
      <c r="H3" s="10" t="inlineStr">
        <is>
          <t>1:2.0</t>
        </is>
      </c>
      <c r="I3" s="10" t="n">
        <v>0</v>
      </c>
      <c r="J3" s="12" t="n">
        <v>0</v>
      </c>
      <c r="K3" s="10" t="inlineStr">
        <is>
          <t>SKIPPED_BEARISH_REGIME</t>
        </is>
      </c>
      <c r="L3" s="10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0" t="inlineStr">
        <is>
          <t>2026-07-21</t>
        </is>
      </c>
      <c r="B4" s="10" t="inlineStr">
        <is>
          <t>ULTRACEMCO</t>
        </is>
      </c>
      <c r="C4" s="10" t="inlineStr">
        <is>
          <t>UltraTech Cement Limited</t>
        </is>
      </c>
      <c r="D4" s="10" t="inlineStr">
        <is>
          <t>94/100</t>
        </is>
      </c>
      <c r="E4" s="12" t="n">
        <v>12094</v>
      </c>
      <c r="F4" s="12" t="n">
        <v>11658.42857142857</v>
      </c>
      <c r="G4" s="12" t="n">
        <v>12965.14285714286</v>
      </c>
      <c r="H4" s="10" t="inlineStr">
        <is>
          <t>1:2.0</t>
        </is>
      </c>
      <c r="I4" s="10" t="n">
        <v>0</v>
      </c>
      <c r="J4" s="12" t="n">
        <v>0</v>
      </c>
      <c r="K4" s="10" t="inlineStr">
        <is>
          <t>SKIPPED_BEARISH_REGIME</t>
        </is>
      </c>
      <c r="L4" s="10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0" t="inlineStr">
        <is>
          <t>2026-07-21</t>
        </is>
      </c>
      <c r="B5" s="10" t="inlineStr">
        <is>
          <t>NAVINFLUOR</t>
        </is>
      </c>
      <c r="C5" s="10" t="inlineStr">
        <is>
          <t>Navin Fluorine International Limited</t>
        </is>
      </c>
      <c r="D5" s="10" t="inlineStr">
        <is>
          <t>94/100</t>
        </is>
      </c>
      <c r="E5" s="12" t="n">
        <v>7882</v>
      </c>
      <c r="F5" s="12" t="n">
        <v>7455.142857142857</v>
      </c>
      <c r="G5" s="12" t="n">
        <v>8735.714285714286</v>
      </c>
      <c r="H5" s="10" t="inlineStr">
        <is>
          <t>1:2.0</t>
        </is>
      </c>
      <c r="I5" s="10" t="n">
        <v>0</v>
      </c>
      <c r="J5" s="12" t="n">
        <v>0</v>
      </c>
      <c r="K5" s="10" t="inlineStr">
        <is>
          <t>SKIPPED_BEARISH_REGIME</t>
        </is>
      </c>
      <c r="L5" s="10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0" t="inlineStr">
        <is>
          <t>2026-07-21</t>
        </is>
      </c>
      <c r="B6" s="10" t="inlineStr">
        <is>
          <t>ERIS</t>
        </is>
      </c>
      <c r="C6" s="10" t="inlineStr">
        <is>
          <t>Eris Lifesciences Limited</t>
        </is>
      </c>
      <c r="D6" s="10" t="inlineStr">
        <is>
          <t>94/100</t>
        </is>
      </c>
      <c r="E6" s="12" t="n">
        <v>1470</v>
      </c>
      <c r="F6" s="12" t="n">
        <v>1391.314226422991</v>
      </c>
      <c r="G6" s="12" t="n">
        <v>1627.371547154018</v>
      </c>
      <c r="H6" s="10" t="inlineStr">
        <is>
          <t>1:2.0</t>
        </is>
      </c>
      <c r="I6" s="10" t="n">
        <v>1</v>
      </c>
      <c r="J6" s="12" t="n">
        <v>1470</v>
      </c>
      <c r="K6" s="10" t="inlineStr">
        <is>
          <t>SKIPPED_BEARISH_REGIME</t>
        </is>
      </c>
      <c r="L6" s="10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0" t="inlineStr">
        <is>
          <t>2026-07-22</t>
        </is>
      </c>
      <c r="B7" s="10" t="inlineStr">
        <is>
          <t>JSWSTEEL</t>
        </is>
      </c>
      <c r="C7" s="10" t="inlineStr">
        <is>
          <t>JSW Steel Limited</t>
        </is>
      </c>
      <c r="D7" s="10" t="inlineStr">
        <is>
          <t>96/100</t>
        </is>
      </c>
      <c r="E7" s="12" t="n">
        <v>1267.4</v>
      </c>
      <c r="F7" s="12" t="n">
        <v>1219.23</v>
      </c>
      <c r="G7" s="12" t="n">
        <v>1363.73</v>
      </c>
      <c r="H7" s="10" t="inlineStr">
        <is>
          <t>1:2.0</t>
        </is>
      </c>
      <c r="I7" s="10" t="n">
        <v>1</v>
      </c>
      <c r="J7" s="12" t="n">
        <v>1267.4</v>
      </c>
      <c r="K7" s="10" t="inlineStr">
        <is>
          <t>SKIPPED_BEARISH_REGIME</t>
        </is>
      </c>
      <c r="L7" s="10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0" t="inlineStr">
        <is>
          <t>2026-07-22</t>
        </is>
      </c>
      <c r="B8" s="10" t="inlineStr">
        <is>
          <t>SONACOMS</t>
        </is>
      </c>
      <c r="C8" s="10" t="inlineStr">
        <is>
          <t>Sona BLW Precision Forgings Limited</t>
        </is>
      </c>
      <c r="D8" s="10" t="inlineStr">
        <is>
          <t>92/100</t>
        </is>
      </c>
      <c r="E8" s="12" t="n">
        <v>732.75</v>
      </c>
      <c r="F8" s="12" t="n">
        <v>703.5</v>
      </c>
      <c r="G8" s="12" t="n">
        <v>797.86</v>
      </c>
      <c r="H8" s="10" t="inlineStr">
        <is>
          <t>1:2.0</t>
        </is>
      </c>
      <c r="I8" s="10" t="n">
        <v>2</v>
      </c>
      <c r="J8" s="12" t="n">
        <v>1465.5</v>
      </c>
      <c r="K8" s="10" t="inlineStr">
        <is>
          <t>SKIPPED_BEARISH_REGIME</t>
        </is>
      </c>
      <c r="L8" s="10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0" t="inlineStr">
        <is>
          <t>2026-07-22</t>
        </is>
      </c>
      <c r="B9" s="10" t="inlineStr">
        <is>
          <t>LUPIN</t>
        </is>
      </c>
      <c r="C9" s="10" t="inlineStr">
        <is>
          <t>Lupin Limited</t>
        </is>
      </c>
      <c r="D9" s="10" t="inlineStr">
        <is>
          <t>96/100</t>
        </is>
      </c>
      <c r="E9" s="12" t="n">
        <v>2514.8</v>
      </c>
      <c r="F9" s="12" t="n">
        <v>2417.09</v>
      </c>
      <c r="G9" s="12" t="n">
        <v>2710.23</v>
      </c>
      <c r="H9" s="10" t="inlineStr">
        <is>
          <t>1:2.0</t>
        </is>
      </c>
      <c r="I9" s="10" t="n">
        <v>0</v>
      </c>
      <c r="J9" s="12" t="n">
        <v>0</v>
      </c>
      <c r="K9" s="10" t="inlineStr">
        <is>
          <t>SKIPPED_BEARISH_REGIME</t>
        </is>
      </c>
      <c r="L9" s="10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0" t="inlineStr">
        <is>
          <t>2026-07-22</t>
        </is>
      </c>
      <c r="B10" s="10" t="inlineStr">
        <is>
          <t>HAL</t>
        </is>
      </c>
      <c r="C10" s="10" t="inlineStr">
        <is>
          <t>Hindustan Aeronautics Limited</t>
        </is>
      </c>
      <c r="D10" s="10" t="inlineStr">
        <is>
          <t>90/100</t>
        </is>
      </c>
      <c r="E10" s="12" t="n">
        <v>4581.7</v>
      </c>
      <c r="F10" s="12" t="n">
        <v>4414.33</v>
      </c>
      <c r="G10" s="12" t="n">
        <v>4916.44</v>
      </c>
      <c r="H10" s="10" t="inlineStr">
        <is>
          <t>1:2.0</t>
        </is>
      </c>
      <c r="I10" s="10" t="n">
        <v>0</v>
      </c>
      <c r="J10" s="12" t="n">
        <v>0</v>
      </c>
      <c r="K10" s="10" t="inlineStr">
        <is>
          <t>SKIPPED_BEARISH_REGIME</t>
        </is>
      </c>
      <c r="L10" s="10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0" t="inlineStr">
        <is>
          <t>2026-07-22</t>
        </is>
      </c>
      <c r="B11" s="10" t="inlineStr">
        <is>
          <t>SHREECEM</t>
        </is>
      </c>
      <c r="C11" s="10" t="inlineStr">
        <is>
          <t>Shree Cement Limited</t>
        </is>
      </c>
      <c r="D11" s="10" t="inlineStr">
        <is>
          <t>92/100</t>
        </is>
      </c>
      <c r="E11" s="12" t="n">
        <v>27245</v>
      </c>
      <c r="F11" s="12" t="n">
        <v>26152.92</v>
      </c>
      <c r="G11" s="12" t="n">
        <v>29429.17</v>
      </c>
      <c r="H11" s="10" t="inlineStr">
        <is>
          <t>1:2.0</t>
        </is>
      </c>
      <c r="I11" s="10" t="n">
        <v>0</v>
      </c>
      <c r="J11" s="12" t="n">
        <v>0</v>
      </c>
      <c r="K11" s="10" t="inlineStr">
        <is>
          <t>SKIPPED_BEARISH_REGIME</t>
        </is>
      </c>
      <c r="L11" s="10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12" t="n">
        <v>1559.5</v>
      </c>
      <c r="F12" s="12" t="n">
        <v>1508.1</v>
      </c>
      <c r="G12" s="12" t="n">
        <v>1746.3</v>
      </c>
      <c r="H12" s="2" t="inlineStr">
        <is>
          <t>1:2.0</t>
        </is>
      </c>
      <c r="I12" s="2" t="n">
        <v>0</v>
      </c>
      <c r="J12" s="12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12" t="n">
        <v>521.35</v>
      </c>
      <c r="F13" s="12" t="n">
        <v>494.6</v>
      </c>
      <c r="G13" s="12" t="n">
        <v>574.85</v>
      </c>
      <c r="H13" s="2" t="inlineStr">
        <is>
          <t>1:2.0</t>
        </is>
      </c>
      <c r="I13" s="2" t="n">
        <v>1</v>
      </c>
      <c r="J13" s="12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12" t="n">
        <v>1530</v>
      </c>
      <c r="F14" s="12" t="n">
        <v>1520.11</v>
      </c>
      <c r="G14" s="12" t="n">
        <v>1549.77</v>
      </c>
      <c r="H14" s="2" t="inlineStr">
        <is>
          <t>1:2.0</t>
        </is>
      </c>
      <c r="I14" s="2" t="n">
        <v>1</v>
      </c>
      <c r="J14" s="12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12" t="n">
        <v>1642.5</v>
      </c>
      <c r="F15" s="12" t="n">
        <v>1634.5</v>
      </c>
      <c r="G15" s="12" t="n">
        <v>1658.5</v>
      </c>
      <c r="H15" s="2" t="inlineStr">
        <is>
          <t>1:2.0</t>
        </is>
      </c>
      <c r="I15" s="2" t="n">
        <v>1</v>
      </c>
      <c r="J15" s="12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12" t="n">
        <v>472.8999938964844</v>
      </c>
      <c r="F16" s="12" t="n">
        <v>445.4499947684152</v>
      </c>
      <c r="G16" s="12" t="n">
        <v>527.7999921526227</v>
      </c>
      <c r="H16" s="2" t="inlineStr">
        <is>
          <t>1:2.0</t>
        </is>
      </c>
      <c r="I16" s="2" t="n">
        <v>0</v>
      </c>
      <c r="J16" s="12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12" t="n">
        <v>1408</v>
      </c>
      <c r="F17" s="12" t="n">
        <v>1341.771414620536</v>
      </c>
      <c r="G17" s="12" t="n">
        <v>1540.457170758929</v>
      </c>
      <c r="H17" s="2" t="inlineStr">
        <is>
          <t>1:2.0</t>
        </is>
      </c>
      <c r="I17" s="2" t="n">
        <v>0</v>
      </c>
      <c r="J17" s="12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12" t="n">
        <v>764.0499877929688</v>
      </c>
      <c r="F18" s="12" t="n">
        <v>717.2571149553571</v>
      </c>
      <c r="G18" s="12" t="n">
        <v>857.6357334681919</v>
      </c>
      <c r="H18" s="2" t="inlineStr">
        <is>
          <t>1:2.0</t>
        </is>
      </c>
      <c r="I18" s="2" t="n">
        <v>0</v>
      </c>
      <c r="J18" s="12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12" t="n">
        <v>1461.400024414062</v>
      </c>
      <c r="F19" s="12" t="n">
        <v>1350.727503014851</v>
      </c>
      <c r="G19" s="12" t="n">
        <v>1682.745067212486</v>
      </c>
      <c r="H19" s="2" t="inlineStr">
        <is>
          <t>1:2.0</t>
        </is>
      </c>
      <c r="I19" s="2" t="n">
        <v>0</v>
      </c>
      <c r="J19" s="12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12" t="n">
        <v>1353.099975585938</v>
      </c>
      <c r="F20" s="12" t="n">
        <v>1214.848859742893</v>
      </c>
      <c r="G20" s="12" t="n">
        <v>1629.602207272027</v>
      </c>
      <c r="H20" s="2" t="inlineStr">
        <is>
          <t>1:2.0</t>
        </is>
      </c>
      <c r="I20" s="2" t="n">
        <v>0</v>
      </c>
      <c r="J20" s="12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12" t="n">
        <v>1885.7</v>
      </c>
      <c r="F21" s="12" t="n">
        <v>1818.6</v>
      </c>
      <c r="G21" s="12" t="n">
        <v>2019.85</v>
      </c>
      <c r="H21" s="2" t="inlineStr">
        <is>
          <t>1:2.0</t>
        </is>
      </c>
      <c r="I21" s="2" t="n">
        <v>0</v>
      </c>
      <c r="J21" s="12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12" t="n">
        <v>141.06</v>
      </c>
      <c r="F22" s="12" t="n">
        <v>134.5</v>
      </c>
      <c r="G22" s="12" t="n">
        <v>154.2</v>
      </c>
      <c r="H22" s="2" t="inlineStr">
        <is>
          <t>1:2.0</t>
        </is>
      </c>
      <c r="I22" s="2" t="n">
        <v>0</v>
      </c>
      <c r="J22" s="12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12" t="n">
        <v>1731.9</v>
      </c>
      <c r="F23" s="12" t="n">
        <v>1699.65</v>
      </c>
      <c r="G23" s="12" t="n">
        <v>1796.4</v>
      </c>
      <c r="H23" s="2" t="inlineStr">
        <is>
          <t>1:2.0</t>
        </is>
      </c>
      <c r="I23" s="2" t="n">
        <v>0</v>
      </c>
      <c r="J23" s="12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12" t="n">
        <v>738.7</v>
      </c>
      <c r="F24" s="12" t="n">
        <v>726.55</v>
      </c>
      <c r="G24" s="12" t="n">
        <v>763</v>
      </c>
      <c r="H24" s="2" t="inlineStr">
        <is>
          <t>1:2.0</t>
        </is>
      </c>
      <c r="I24" s="2" t="n">
        <v>0</v>
      </c>
      <c r="J24" s="12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12" t="n">
        <v>3572.6</v>
      </c>
      <c r="F25" s="12" t="n">
        <v>3521.3</v>
      </c>
      <c r="G25" s="12" t="n">
        <v>3675.2</v>
      </c>
      <c r="H25" s="2" t="inlineStr">
        <is>
          <t>1:2.0</t>
        </is>
      </c>
      <c r="I25" s="2" t="n">
        <v>0</v>
      </c>
      <c r="J25" s="12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12" t="n">
        <v>803.5499877929688</v>
      </c>
      <c r="F26" s="12" t="n">
        <v>754.6499895368304</v>
      </c>
      <c r="G26" s="12" t="n">
        <v>901.3499843052456</v>
      </c>
      <c r="H26" s="2" t="inlineStr">
        <is>
          <t>1:2.0</t>
        </is>
      </c>
      <c r="I26" s="2" t="n">
        <v>0</v>
      </c>
      <c r="J26" s="12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12" t="n">
        <v>432.6000061035156</v>
      </c>
      <c r="F27" s="12" t="n">
        <v>408.8357151576451</v>
      </c>
      <c r="G27" s="12" t="n">
        <v>480.1285879952567</v>
      </c>
      <c r="H27" s="2" t="inlineStr">
        <is>
          <t>1:2.0</t>
        </is>
      </c>
      <c r="I27" s="2" t="n">
        <v>0</v>
      </c>
      <c r="J27" s="12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12" t="n">
        <v>1424.900024414062</v>
      </c>
      <c r="F28" s="12" t="n">
        <v>1320.614310128348</v>
      </c>
      <c r="G28" s="12" t="n">
        <v>1633.471452985491</v>
      </c>
      <c r="H28" s="2" t="inlineStr">
        <is>
          <t>1:2.0</t>
        </is>
      </c>
      <c r="I28" s="2" t="n">
        <v>0</v>
      </c>
      <c r="J28" s="12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12" t="n">
        <v>5623.5</v>
      </c>
      <c r="F29" s="12" t="n">
        <v>5378.120418563584</v>
      </c>
      <c r="G29" s="12" t="n">
        <v>6114.259162872831</v>
      </c>
      <c r="H29" s="2" t="inlineStr">
        <is>
          <t>1:2.0</t>
        </is>
      </c>
      <c r="I29" s="2" t="n">
        <v>0</v>
      </c>
      <c r="J29" s="12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12" t="n">
        <v>1923.699951171875</v>
      </c>
      <c r="F30" s="12" t="n">
        <v>1723.614240373884</v>
      </c>
      <c r="G30" s="12" t="n">
        <v>2323.871372767857</v>
      </c>
      <c r="H30" s="2" t="inlineStr">
        <is>
          <t>1:2.0</t>
        </is>
      </c>
      <c r="I30" s="2" t="n">
        <v>0</v>
      </c>
      <c r="J30" s="12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12" t="n">
        <v>405.85</v>
      </c>
      <c r="F31" s="12" t="n">
        <v>399.4</v>
      </c>
      <c r="G31" s="12" t="n">
        <v>418.75</v>
      </c>
      <c r="H31" s="2" t="inlineStr">
        <is>
          <t>1:2.0</t>
        </is>
      </c>
      <c r="I31" s="2" t="n">
        <v>0</v>
      </c>
      <c r="J31" s="12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12" t="n">
        <v>881</v>
      </c>
      <c r="F32" s="12" t="n">
        <v>873.4</v>
      </c>
      <c r="G32" s="12" t="n">
        <v>896.25</v>
      </c>
      <c r="H32" s="2" t="inlineStr">
        <is>
          <t>1:2.0</t>
        </is>
      </c>
      <c r="I32" s="2" t="n">
        <v>0</v>
      </c>
      <c r="J32" s="12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12" t="n">
        <v>153.07</v>
      </c>
      <c r="F33" s="12" t="n">
        <v>151.85</v>
      </c>
      <c r="G33" s="12" t="n">
        <v>155.45</v>
      </c>
      <c r="H33" s="2" t="inlineStr">
        <is>
          <t>1:2.0</t>
        </is>
      </c>
      <c r="I33" s="2" t="n">
        <v>0</v>
      </c>
      <c r="J33" s="12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12" t="n">
        <v>1205</v>
      </c>
      <c r="F34" s="12" t="n">
        <v>1189.6</v>
      </c>
      <c r="G34" s="12" t="n">
        <v>1235.85</v>
      </c>
      <c r="H34" s="2" t="inlineStr">
        <is>
          <t>1:2.0</t>
        </is>
      </c>
      <c r="I34" s="2" t="n">
        <v>0</v>
      </c>
      <c r="J34" s="12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12" t="n">
        <v>1746.1</v>
      </c>
      <c r="F35" s="12" t="n">
        <v>1722.5</v>
      </c>
      <c r="G35" s="12" t="n">
        <v>1793.25</v>
      </c>
      <c r="H35" s="2" t="inlineStr">
        <is>
          <t>1:2.0</t>
        </is>
      </c>
      <c r="I35" s="2" t="n">
        <v>0</v>
      </c>
      <c r="J35" s="12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10" t="inlineStr">
        <is>
          <t>Date</t>
        </is>
      </c>
      <c r="B1" s="10" t="inlineStr">
        <is>
          <t>Type</t>
        </is>
      </c>
      <c r="C1" s="10" t="inlineStr">
        <is>
          <t>Amount</t>
        </is>
      </c>
      <c r="D1" s="10" t="inlineStr">
        <is>
          <t>Notes</t>
        </is>
      </c>
      <c r="E1" s="2" t="n"/>
      <c r="F1" s="2" t="n"/>
    </row>
    <row r="2">
      <c r="A2" s="10" t="inlineStr">
        <is>
          <t>21-7-2026</t>
        </is>
      </c>
      <c r="B2" s="10" t="inlineStr">
        <is>
          <t>DEPOSIT</t>
        </is>
      </c>
      <c r="C2" s="12" t="n">
        <v>10000</v>
      </c>
      <c r="D2" s="2" t="n"/>
      <c r="E2" s="2" t="n"/>
      <c r="F2" s="2" t="n"/>
    </row>
    <row r="3">
      <c r="A3" s="10" t="inlineStr">
        <is>
          <t>2026-07-22</t>
        </is>
      </c>
      <c r="B3" s="10" t="inlineStr">
        <is>
          <t>WITHDRAWAL</t>
        </is>
      </c>
      <c r="C3" s="12" t="n">
        <v>1.76</v>
      </c>
      <c r="D3" s="10" t="inlineStr">
        <is>
          <t>Brokerage &amp; taxes on SONACOMS BUY (2 qty @ 734.70)</t>
        </is>
      </c>
      <c r="E3" s="2" t="n"/>
      <c r="F3" s="2" t="n"/>
    </row>
    <row r="4">
      <c r="A4" s="10" t="inlineStr">
        <is>
          <t>2026-07-22</t>
        </is>
      </c>
      <c r="B4" s="10" t="inlineStr">
        <is>
          <t>WITHDRAWAL</t>
        </is>
      </c>
      <c r="C4" s="12" t="n">
        <v>1.52</v>
      </c>
      <c r="D4" s="10" t="inlineStr">
        <is>
          <t>Brokerage &amp; taxes on JSWSTEEL BUY (1 qty @ 1265.10)</t>
        </is>
      </c>
      <c r="E4" s="2" t="n"/>
      <c r="F4" s="2" t="n"/>
    </row>
    <row r="5">
      <c r="A5" s="10" t="inlineStr">
        <is>
          <t>2026-07-24</t>
        </is>
      </c>
      <c r="B5" s="10" t="inlineStr">
        <is>
          <t>WITHDRAWAL</t>
        </is>
      </c>
      <c r="C5" s="12" t="n">
        <v>181.62</v>
      </c>
      <c r="D5" s="10" t="inlineStr">
        <is>
          <t>Adjustment: Brokerage &amp; taxes on past completed trades (SUNPHARMA, JSWSTEEL, TECHM)</t>
        </is>
      </c>
      <c r="E5" s="2" t="n"/>
      <c r="F5" s="2" t="n"/>
    </row>
    <row r="6">
      <c r="A6" s="10" t="inlineStr">
        <is>
          <t>2026-07-27</t>
        </is>
      </c>
      <c r="B6" s="10" t="inlineStr">
        <is>
          <t>WITHDRAWAL</t>
        </is>
      </c>
      <c r="C6" s="12" t="n">
        <v>1.89</v>
      </c>
      <c r="D6" s="10" t="inlineStr">
        <is>
          <t>Brokerage &amp; taxes on TECHM BUY (1 qty @ 1579.00)</t>
        </is>
      </c>
      <c r="E6" s="2" t="n"/>
      <c r="F6" s="2" t="n"/>
    </row>
    <row r="7">
      <c r="A7" s="10" t="inlineStr">
        <is>
          <t>2026-07-31</t>
        </is>
      </c>
      <c r="B7" s="10" t="inlineStr">
        <is>
          <t>WITHDRAWAL</t>
        </is>
      </c>
      <c r="C7" s="12" t="n">
        <v>1.76</v>
      </c>
      <c r="D7" s="10" t="inlineStr">
        <is>
          <t>Brokerage &amp; taxes on BERGEPAINT BUY</t>
        </is>
      </c>
      <c r="E7" s="2" t="n"/>
      <c r="F7" s="2" t="n"/>
    </row>
    <row r="8">
      <c r="A8" s="10" t="inlineStr">
        <is>
          <t>2026-08-03</t>
        </is>
      </c>
      <c r="B8" s="10" t="inlineStr">
        <is>
          <t>WITHDRAWAL</t>
        </is>
      </c>
      <c r="C8" s="12" t="n">
        <v>0.61</v>
      </c>
      <c r="D8" s="10" t="inlineStr">
        <is>
          <t>Brokerage &amp; taxes on ADVANCE BUY (4 qty @ 127.80)</t>
        </is>
      </c>
      <c r="E8" s="2" t="n"/>
      <c r="F8" s="2" t="n"/>
    </row>
    <row r="9">
      <c r="A9" s="10" t="inlineStr">
        <is>
          <t>2026-08-03</t>
        </is>
      </c>
      <c r="B9" s="10" t="inlineStr">
        <is>
          <t>WITHDRAWAL</t>
        </is>
      </c>
      <c r="C9" s="12" t="n">
        <v>0.12</v>
      </c>
      <c r="D9" s="10" t="inlineStr">
        <is>
          <t>Brokerage &amp; taxes on ADVANCE BUY (1 qty @ 100.00)</t>
        </is>
      </c>
      <c r="E9" s="2" t="n"/>
      <c r="F9" s="2" t="n"/>
    </row>
    <row r="10">
      <c r="A10" s="10" t="inlineStr">
        <is>
          <t>2026-08-04</t>
        </is>
      </c>
      <c r="B10" s="10" t="inlineStr">
        <is>
          <t>WITHDRAWAL</t>
        </is>
      </c>
      <c r="C10" s="12" t="n">
        <v>1.84</v>
      </c>
      <c r="D10" s="10" t="inlineStr">
        <is>
          <t>Brokerage &amp; taxes on NESTLEIND BUY (1 qty @ 1530.00)</t>
        </is>
      </c>
      <c r="E10" s="2" t="n"/>
      <c r="F10" s="2" t="n"/>
    </row>
    <row r="11">
      <c r="A11" s="10" t="inlineStr">
        <is>
          <t>2026-08-04</t>
        </is>
      </c>
      <c r="B11" s="10" t="inlineStr">
        <is>
          <t>WITHDRAWAL</t>
        </is>
      </c>
      <c r="C11" s="12" t="n">
        <v>1.97</v>
      </c>
      <c r="D11" s="10" t="inlineStr">
        <is>
          <t>Brokerage &amp; taxes on PIDILITIND BUY (1 qty @ 1642.50)</t>
        </is>
      </c>
      <c r="E11" s="2" t="n"/>
      <c r="F11" s="2" t="n"/>
    </row>
    <row r="12">
      <c r="A12" s="10" t="inlineStr">
        <is>
          <t>2026-08-04</t>
        </is>
      </c>
      <c r="B12" s="10" t="inlineStr">
        <is>
          <t>WITHDRAWAL</t>
        </is>
      </c>
      <c r="C12" s="12" t="n">
        <v>1.83</v>
      </c>
      <c r="D12" s="10" t="inlineStr">
        <is>
          <t>Brokerage &amp; taxes on NESTLEIND SELL (1 qty @ 1520.10)</t>
        </is>
      </c>
      <c r="E12" s="2" t="n"/>
      <c r="F12" s="2" t="n"/>
    </row>
    <row r="13">
      <c r="A13" s="10" t="inlineStr">
        <is>
          <t>2026-08-04</t>
        </is>
      </c>
      <c r="B13" s="10" t="inlineStr">
        <is>
          <t>WITHDRAWAL</t>
        </is>
      </c>
      <c r="C13" s="12" t="n">
        <v>1.96</v>
      </c>
      <c r="D13" s="10" t="inlineStr">
        <is>
          <t>Brokerage &amp; taxes on PIDILITIND SELL (1 qty @ 1634.50)</t>
        </is>
      </c>
      <c r="E13" s="2" t="n"/>
      <c r="F13" s="2" t="n"/>
    </row>
    <row r="14">
      <c r="A14" s="10" t="inlineStr">
        <is>
          <t>2026-08-05</t>
        </is>
      </c>
      <c r="B14" s="10" t="inlineStr">
        <is>
          <t>WITHDRAWAL</t>
        </is>
      </c>
      <c r="C14" s="12" t="n">
        <v>0.84</v>
      </c>
      <c r="D14" s="10" t="inlineStr">
        <is>
          <t>Brokerage &amp; taxes on VISAKAIND BUY (8 qty @ 86.99)</t>
        </is>
      </c>
      <c r="E14" s="2" t="n"/>
      <c r="F14" s="2" t="n"/>
    </row>
    <row r="15">
      <c r="A15" s="10" t="inlineStr">
        <is>
          <t>2026-08-05</t>
        </is>
      </c>
      <c r="B15" s="10" t="inlineStr">
        <is>
          <t>WITHDRAWAL</t>
        </is>
      </c>
      <c r="C15" s="12" t="n">
        <v>0.8</v>
      </c>
      <c r="D15" s="10" t="inlineStr">
        <is>
          <t>Brokerage &amp; taxes on EXCELSOFT BUY (8 qty @ 82.99)</t>
        </is>
      </c>
      <c r="E15" s="2" t="n"/>
      <c r="F15" s="2" t="n"/>
    </row>
    <row r="16">
      <c r="A16" s="10" t="inlineStr">
        <is>
          <t>2026-08-05</t>
        </is>
      </c>
      <c r="B16" s="10" t="inlineStr">
        <is>
          <t>WITHDRAWAL</t>
        </is>
      </c>
      <c r="C16" s="12" t="n">
        <v>0.79</v>
      </c>
      <c r="D16" s="10" t="inlineStr">
        <is>
          <t>Brokerage &amp; taxes on EXCELSOFT BUY (8 qty @ 82.50)</t>
        </is>
      </c>
      <c r="E16" s="2" t="n"/>
      <c r="F16" s="2" t="n"/>
    </row>
    <row r="17">
      <c r="A17" s="10" t="inlineStr">
        <is>
          <t>2026-08-05</t>
        </is>
      </c>
      <c r="B17" s="10" t="inlineStr">
        <is>
          <t>WITHDRAWAL</t>
        </is>
      </c>
      <c r="C17" s="12" t="n">
        <v>17.59</v>
      </c>
      <c r="D17" s="10" t="inlineStr">
        <is>
          <t>Brokerage &amp; taxes on SONACOMS SELL (2 qty @ 798.25)</t>
        </is>
      </c>
      <c r="E17" s="2" t="n"/>
      <c r="F17" s="2" t="n"/>
    </row>
    <row r="18">
      <c r="A18" s="10" t="inlineStr">
        <is>
          <t>2026-08-05</t>
        </is>
      </c>
      <c r="B18" s="10" t="inlineStr">
        <is>
          <t>WITHDRAWAL</t>
        </is>
      </c>
      <c r="C18" s="12" t="n">
        <v>1.23</v>
      </c>
      <c r="D18" s="10" t="inlineStr">
        <is>
          <t>Brokerage &amp; taxes on SONATSOFTW BUY (3 qty @ 341.20)</t>
        </is>
      </c>
      <c r="E18" s="2" t="n"/>
      <c r="F18" s="2" t="n"/>
    </row>
    <row r="19">
      <c r="A19" s="10" t="inlineStr">
        <is>
          <t>2026-08-05</t>
        </is>
      </c>
      <c r="B19" s="10" t="inlineStr">
        <is>
          <t>WITHDRAWAL</t>
        </is>
      </c>
      <c r="C19" s="12" t="n">
        <v>1.23</v>
      </c>
      <c r="D19" s="10" t="inlineStr">
        <is>
          <t>Brokerage &amp; taxes on SONATSOFTW BUY (3 qty @ 341.15)</t>
        </is>
      </c>
      <c r="E19" s="2" t="n"/>
      <c r="F19" s="2" t="n"/>
    </row>
    <row r="20">
      <c r="A20" s="10" t="inlineStr">
        <is>
          <t>2026-08-05</t>
        </is>
      </c>
      <c r="B20" s="10" t="inlineStr">
        <is>
          <t>WITHDRAWAL</t>
        </is>
      </c>
      <c r="C20" s="12" t="n">
        <v>1.05</v>
      </c>
      <c r="D20" s="10" t="inlineStr">
        <is>
          <t>Brokerage &amp; taxes on IFGLEXPOR BUY (4 qty @ 219.60)</t>
        </is>
      </c>
      <c r="E20" s="2" t="n"/>
      <c r="F20" s="2" t="n"/>
    </row>
    <row r="21" ht="15.75" customHeight="1" s="61">
      <c r="A21" s="10" t="inlineStr">
        <is>
          <t>2026-08-05</t>
        </is>
      </c>
      <c r="B21" s="10" t="inlineStr">
        <is>
          <t>WITHDRAWAL</t>
        </is>
      </c>
      <c r="C21" s="12" t="n">
        <v>0.97</v>
      </c>
      <c r="D21" s="10" t="inlineStr">
        <is>
          <t>Brokerage &amp; taxes on SAPPHIRE BUY (4 qty @ 202.50)</t>
        </is>
      </c>
      <c r="E21" s="2" t="n"/>
      <c r="F21" s="2" t="n"/>
    </row>
    <row r="22" ht="15.75" customHeight="1" s="61">
      <c r="A22" s="10" t="inlineStr">
        <is>
          <t>2026-08-05</t>
        </is>
      </c>
      <c r="B22" s="10" t="inlineStr">
        <is>
          <t>WITHDRAWAL</t>
        </is>
      </c>
      <c r="C22" s="12" t="n">
        <v>1.27</v>
      </c>
      <c r="D22" s="10" t="inlineStr">
        <is>
          <t>Brokerage &amp; taxes on AEROENTER BUY (8 qty @ 132.15)</t>
        </is>
      </c>
      <c r="E22" s="2" t="n"/>
      <c r="F22" s="2" t="n"/>
    </row>
    <row r="23" ht="15.75" customHeight="1" s="61">
      <c r="A23" s="10" t="inlineStr">
        <is>
          <t>2026-08-05</t>
        </is>
      </c>
      <c r="B23" s="10" t="inlineStr">
        <is>
          <t>WITHDRAWAL</t>
        </is>
      </c>
      <c r="C23" s="12" t="n">
        <v>0.6899999999999999</v>
      </c>
      <c r="D23" s="10" t="inlineStr">
        <is>
          <t>Brokerage &amp; taxes on TATASTEEL BUY (3 qty @ 193.00)</t>
        </is>
      </c>
      <c r="E23" s="2" t="n"/>
      <c r="F23" s="2" t="n"/>
    </row>
    <row r="24" ht="15.75" customHeight="1" s="61">
      <c r="A24" s="10" t="inlineStr">
        <is>
          <t>2026-08-06</t>
        </is>
      </c>
      <c r="B24" s="10" t="inlineStr">
        <is>
          <t>WITHDRAWAL</t>
        </is>
      </c>
      <c r="C24" s="12" t="n">
        <v>1.27</v>
      </c>
      <c r="D24" s="10" t="inlineStr">
        <is>
          <t>Brokerage &amp; taxes on AEROENTER BUY (8 qty @ 132.01)</t>
        </is>
      </c>
      <c r="E24" s="2" t="n"/>
      <c r="F24" s="2" t="n"/>
    </row>
    <row r="25" ht="15.75" customHeight="1" s="61">
      <c r="A25" s="10" t="inlineStr">
        <is>
          <t>2026-08-06</t>
        </is>
      </c>
      <c r="B25" s="10" t="inlineStr">
        <is>
          <t>WITHDRAWAL</t>
        </is>
      </c>
      <c r="C25" s="12" t="n">
        <v>0.23</v>
      </c>
      <c r="D25" s="10" t="inlineStr">
        <is>
          <t>Brokerage &amp; taxes on TATASTEEL BUY (1 qty @ 192.60)</t>
        </is>
      </c>
      <c r="E25" s="2" t="n"/>
      <c r="F25" s="2" t="n"/>
    </row>
    <row r="26" ht="15.75" customHeight="1" s="61">
      <c r="A26" s="10" t="inlineStr">
        <is>
          <t>2026-08-06</t>
        </is>
      </c>
      <c r="B26" s="10" t="inlineStr">
        <is>
          <t>WITHDRAWAL</t>
        </is>
      </c>
      <c r="C26" s="12" t="n">
        <v>16.13</v>
      </c>
      <c r="D26" s="10" t="inlineStr">
        <is>
          <t>Brokerage &amp; taxes on TATASTEEL SELL (1 qty @ 191.65)</t>
        </is>
      </c>
      <c r="E26" s="2" t="n"/>
      <c r="F26" s="2" t="n"/>
    </row>
    <row r="27" ht="15.75" customHeight="1" s="61">
      <c r="A27" s="10" t="inlineStr">
        <is>
          <t>2026-08-10</t>
        </is>
      </c>
      <c r="B27" s="10" t="inlineStr">
        <is>
          <t>WITHDRAWAL</t>
        </is>
      </c>
      <c r="C27" s="12" t="n">
        <v>16.79</v>
      </c>
      <c r="D27" s="10" t="inlineStr">
        <is>
          <t>Brokerage &amp; taxes on VISAKAIND SELL (8 qty @ 103.24)</t>
        </is>
      </c>
      <c r="E27" s="2" t="n"/>
      <c r="F27" s="2" t="n"/>
    </row>
    <row r="28" ht="15.75" customHeight="1" s="61">
      <c r="A28" s="10" t="inlineStr">
        <is>
          <t>2026-08-10</t>
        </is>
      </c>
      <c r="B28" s="10" t="inlineStr">
        <is>
          <t>WITHDRAWAL</t>
        </is>
      </c>
      <c r="C28" s="12" t="n">
        <v>16.92</v>
      </c>
      <c r="D28" s="10" t="inlineStr">
        <is>
          <t>Brokerage &amp; taxes on SONATSOFTW SELL (3 qty @ 316.20)</t>
        </is>
      </c>
      <c r="E28" s="2" t="n"/>
      <c r="F28" s="2" t="n"/>
    </row>
    <row r="29" ht="15.75" customHeight="1" s="61">
      <c r="A29" s="10" t="inlineStr">
        <is>
          <t>2026-08-10</t>
        </is>
      </c>
      <c r="B29" s="10" t="inlineStr">
        <is>
          <t>WITHDRAWAL</t>
        </is>
      </c>
      <c r="C29" s="12" t="n">
        <v>16.58</v>
      </c>
      <c r="D29" s="10" t="inlineStr">
        <is>
          <t>Brokerage &amp; taxes on EXCELSOFT SELL (8 qty @ 77.58)</t>
        </is>
      </c>
      <c r="E29" s="2" t="n"/>
      <c r="F29" s="2" t="n"/>
    </row>
    <row r="30" ht="15.75" customHeight="1" s="61">
      <c r="A30" s="10" t="inlineStr">
        <is>
          <t>2026-08-11</t>
        </is>
      </c>
      <c r="B30" s="10" t="inlineStr">
        <is>
          <t>WITHDRAWAL</t>
        </is>
      </c>
      <c r="C30" s="12" t="n">
        <v>1.56</v>
      </c>
      <c r="D30" s="10" t="inlineStr">
        <is>
          <t>Brokerage &amp; taxes on HARSHA BUY (3 qty @ 432.60)</t>
        </is>
      </c>
      <c r="E30" s="2" t="n"/>
      <c r="F30" s="2" t="n"/>
    </row>
    <row r="31" ht="15.75" customHeight="1" s="61">
      <c r="A31" s="10" t="inlineStr">
        <is>
          <t>2026-08-11</t>
        </is>
      </c>
      <c r="B31" s="10" t="inlineStr">
        <is>
          <t>WITHDRAWAL</t>
        </is>
      </c>
      <c r="C31" s="12" t="n">
        <v>0.99</v>
      </c>
      <c r="D31" s="10" t="inlineStr">
        <is>
          <t>Brokerage &amp; taxes on CONFIPET BUY (10 qty @ 82.74)</t>
        </is>
      </c>
      <c r="E31" s="2" t="n"/>
      <c r="F31" s="2" t="n"/>
    </row>
    <row r="32" ht="15.75" customHeight="1" s="61">
      <c r="A32" s="2" t="inlineStr">
        <is>
          <t>2026-08-12</t>
        </is>
      </c>
      <c r="B32" s="2" t="inlineStr">
        <is>
          <t>WITHDRAWAL</t>
        </is>
      </c>
      <c r="C32" s="12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61">
      <c r="A33" s="2" t="inlineStr">
        <is>
          <t>2026-08-12</t>
        </is>
      </c>
      <c r="B33" s="2" t="inlineStr">
        <is>
          <t>WITHDRAWAL</t>
        </is>
      </c>
      <c r="C33" s="12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61">
      <c r="A34" s="2" t="inlineStr">
        <is>
          <t>2026-08-12</t>
        </is>
      </c>
      <c r="B34" s="2" t="inlineStr">
        <is>
          <t>WITHDRAWAL</t>
        </is>
      </c>
      <c r="C34" s="12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61">
      <c r="A35" s="2" t="inlineStr">
        <is>
          <t>2026-08-12</t>
        </is>
      </c>
      <c r="B35" s="2" t="inlineStr">
        <is>
          <t>WITHDRAWAL</t>
        </is>
      </c>
      <c r="C35" s="12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61">
      <c r="A36" s="2" t="n"/>
      <c r="B36" s="2" t="n"/>
      <c r="C36" s="2" t="n"/>
      <c r="D36" s="2" t="n"/>
      <c r="E36" s="2" t="n"/>
      <c r="F36" s="2" t="n"/>
    </row>
    <row r="37" ht="15.75" customHeight="1" s="61">
      <c r="A37" s="2" t="n"/>
      <c r="B37" s="2" t="n"/>
      <c r="C37" s="2" t="n"/>
      <c r="D37" s="2" t="n"/>
      <c r="E37" s="2" t="n"/>
      <c r="F37" s="2" t="n"/>
    </row>
    <row r="38" ht="15.75" customHeight="1" s="61">
      <c r="A38" s="2" t="n"/>
      <c r="B38" s="2" t="n"/>
      <c r="C38" s="2" t="n"/>
      <c r="D38" s="2" t="n"/>
      <c r="E38" s="2" t="n"/>
      <c r="F38" s="2" t="n"/>
    </row>
    <row r="39" ht="15.75" customHeight="1" s="61">
      <c r="A39" s="2" t="n"/>
      <c r="B39" s="2" t="n"/>
      <c r="C39" s="2" t="n"/>
      <c r="D39" s="2" t="n"/>
      <c r="E39" s="2" t="n"/>
      <c r="F39" s="2" t="n"/>
    </row>
    <row r="40" ht="15.75" customHeight="1" s="61">
      <c r="A40" s="2" t="n"/>
      <c r="B40" s="2" t="n"/>
      <c r="C40" s="2" t="n"/>
      <c r="D40" s="2" t="n"/>
      <c r="E40" s="2" t="n"/>
      <c r="F40" s="2" t="n"/>
    </row>
    <row r="41" ht="15.75" customHeight="1" s="61">
      <c r="A41" s="2" t="n"/>
      <c r="B41" s="2" t="n"/>
      <c r="C41" s="2" t="n"/>
      <c r="D41" s="2" t="n"/>
      <c r="E41" s="2" t="n"/>
      <c r="F41" s="2" t="n"/>
    </row>
    <row r="42" ht="15.75" customHeight="1" s="61">
      <c r="A42" s="2" t="n"/>
      <c r="B42" s="2" t="n"/>
      <c r="C42" s="2" t="n"/>
      <c r="D42" s="2" t="n"/>
      <c r="E42" s="2" t="n"/>
      <c r="F42" s="2" t="n"/>
    </row>
    <row r="43" ht="15.75" customHeight="1" s="61">
      <c r="A43" s="2" t="n"/>
      <c r="B43" s="2" t="n"/>
      <c r="C43" s="2" t="n"/>
      <c r="D43" s="2" t="n"/>
      <c r="E43" s="2" t="n"/>
      <c r="F43" s="2" t="n"/>
    </row>
    <row r="44" ht="15.75" customHeight="1" s="61">
      <c r="A44" s="2" t="n"/>
      <c r="B44" s="2" t="n"/>
      <c r="C44" s="2" t="n"/>
      <c r="D44" s="2" t="n"/>
      <c r="E44" s="2" t="n"/>
      <c r="F44" s="2" t="n"/>
    </row>
    <row r="45" ht="15.75" customHeight="1" s="61">
      <c r="A45" s="2" t="n"/>
      <c r="B45" s="2" t="n"/>
      <c r="C45" s="2" t="n"/>
      <c r="D45" s="2" t="n"/>
      <c r="E45" s="2" t="n"/>
      <c r="F45" s="2" t="n"/>
    </row>
    <row r="46" ht="15.75" customHeight="1" s="61">
      <c r="A46" s="2" t="n"/>
      <c r="B46" s="2" t="n"/>
      <c r="C46" s="2" t="n"/>
      <c r="D46" s="2" t="n"/>
      <c r="E46" s="2" t="n"/>
      <c r="F46" s="2" t="n"/>
    </row>
    <row r="47" ht="15.75" customHeight="1" s="61">
      <c r="A47" s="2" t="n"/>
      <c r="B47" s="2" t="n"/>
      <c r="C47" s="2" t="n"/>
      <c r="D47" s="2" t="n"/>
      <c r="E47" s="2" t="n"/>
      <c r="F47" s="2" t="n"/>
    </row>
    <row r="48" ht="15.75" customHeight="1" s="61">
      <c r="A48" s="2" t="n"/>
      <c r="B48" s="2" t="n"/>
      <c r="C48" s="2" t="n"/>
      <c r="D48" s="2" t="n"/>
      <c r="E48" s="2" t="n"/>
      <c r="F48" s="2" t="n"/>
    </row>
    <row r="49" ht="15.75" customHeight="1" s="61">
      <c r="A49" s="2" t="n"/>
      <c r="B49" s="2" t="n"/>
      <c r="C49" s="2" t="n"/>
      <c r="D49" s="2" t="n"/>
      <c r="E49" s="2" t="n"/>
      <c r="F49" s="2" t="n"/>
    </row>
    <row r="50" ht="15.75" customHeight="1" s="61">
      <c r="A50" s="2" t="n"/>
      <c r="B50" s="2" t="n"/>
      <c r="C50" s="2" t="n"/>
      <c r="D50" s="2" t="n"/>
      <c r="E50" s="2" t="n"/>
      <c r="F50" s="2" t="n"/>
    </row>
    <row r="51" ht="15.75" customHeight="1" s="61">
      <c r="A51" s="2" t="n"/>
      <c r="B51" s="2" t="n"/>
      <c r="C51" s="2" t="n"/>
      <c r="D51" s="2" t="n"/>
      <c r="E51" s="2" t="n"/>
      <c r="F51" s="2" t="n"/>
    </row>
    <row r="52" ht="15.75" customHeight="1" s="61">
      <c r="A52" s="2" t="n"/>
      <c r="B52" s="2" t="n"/>
      <c r="C52" s="2" t="n"/>
      <c r="D52" s="2" t="n"/>
      <c r="E52" s="2" t="n"/>
      <c r="F52" s="2" t="n"/>
    </row>
    <row r="53" ht="15.75" customHeight="1" s="61">
      <c r="A53" s="2" t="n"/>
      <c r="B53" s="2" t="n"/>
      <c r="C53" s="2" t="n"/>
      <c r="D53" s="2" t="n"/>
      <c r="E53" s="2" t="n"/>
      <c r="F53" s="2" t="n"/>
    </row>
    <row r="54" ht="15.75" customHeight="1" s="61">
      <c r="A54" s="2" t="n"/>
      <c r="B54" s="2" t="n"/>
      <c r="C54" s="2" t="n"/>
      <c r="D54" s="2" t="n"/>
      <c r="E54" s="2" t="n"/>
      <c r="F54" s="2" t="n"/>
    </row>
    <row r="55" ht="15.75" customHeight="1" s="61">
      <c r="A55" s="2" t="n"/>
      <c r="B55" s="2" t="n"/>
      <c r="C55" s="2" t="n"/>
      <c r="D55" s="2" t="n"/>
      <c r="E55" s="2" t="n"/>
      <c r="F55" s="2" t="n"/>
    </row>
    <row r="56" ht="15.75" customHeight="1" s="61">
      <c r="A56" s="2" t="n"/>
      <c r="B56" s="2" t="n"/>
      <c r="C56" s="2" t="n"/>
      <c r="D56" s="2" t="n"/>
      <c r="E56" s="2" t="n"/>
      <c r="F56" s="2" t="n"/>
    </row>
    <row r="57" ht="15.75" customHeight="1" s="61">
      <c r="A57" s="2" t="n"/>
      <c r="B57" s="2" t="n"/>
      <c r="C57" s="2" t="n"/>
      <c r="D57" s="2" t="n"/>
      <c r="E57" s="2" t="n"/>
      <c r="F57" s="2" t="n"/>
    </row>
    <row r="58" ht="15.75" customHeight="1" s="61">
      <c r="A58" s="2" t="n"/>
      <c r="B58" s="2" t="n"/>
      <c r="C58" s="2" t="n"/>
      <c r="D58" s="2" t="n"/>
      <c r="E58" s="2" t="n"/>
      <c r="F58" s="2" t="n"/>
    </row>
    <row r="59" ht="15.75" customHeight="1" s="61">
      <c r="A59" s="2" t="n"/>
      <c r="B59" s="2" t="n"/>
      <c r="C59" s="2" t="n"/>
      <c r="D59" s="2" t="n"/>
      <c r="E59" s="2" t="n"/>
      <c r="F59" s="2" t="n"/>
    </row>
    <row r="60" ht="15.75" customHeight="1" s="61">
      <c r="A60" s="2" t="n"/>
      <c r="B60" s="2" t="n"/>
      <c r="C60" s="2" t="n"/>
      <c r="D60" s="2" t="n"/>
      <c r="E60" s="2" t="n"/>
      <c r="F60" s="2" t="n"/>
    </row>
    <row r="61" ht="15.75" customHeight="1" s="61">
      <c r="A61" s="2" t="n"/>
      <c r="B61" s="2" t="n"/>
      <c r="C61" s="2" t="n"/>
      <c r="D61" s="2" t="n"/>
      <c r="E61" s="2" t="n"/>
      <c r="F61" s="2" t="n"/>
    </row>
    <row r="62" ht="15.75" customHeight="1" s="61">
      <c r="A62" s="2" t="n"/>
      <c r="B62" s="2" t="n"/>
      <c r="C62" s="2" t="n"/>
      <c r="D62" s="2" t="n"/>
      <c r="E62" s="2" t="n"/>
      <c r="F62" s="2" t="n"/>
    </row>
    <row r="63" ht="15.75" customHeight="1" s="61">
      <c r="A63" s="2" t="n"/>
      <c r="B63" s="2" t="n"/>
      <c r="C63" s="2" t="n"/>
      <c r="D63" s="2" t="n"/>
      <c r="E63" s="2" t="n"/>
      <c r="F63" s="2" t="n"/>
    </row>
    <row r="64" ht="15.75" customHeight="1" s="61">
      <c r="A64" s="2" t="n"/>
      <c r="B64" s="2" t="n"/>
      <c r="C64" s="2" t="n"/>
      <c r="D64" s="2" t="n"/>
      <c r="E64" s="2" t="n"/>
      <c r="F64" s="2" t="n"/>
    </row>
    <row r="65" ht="15.75" customHeight="1" s="61">
      <c r="A65" s="2" t="n"/>
      <c r="B65" s="2" t="n"/>
      <c r="C65" s="2" t="n"/>
      <c r="D65" s="2" t="n"/>
      <c r="E65" s="2" t="n"/>
      <c r="F65" s="2" t="n"/>
    </row>
    <row r="66" ht="15.75" customHeight="1" s="61">
      <c r="A66" s="2" t="n"/>
      <c r="B66" s="2" t="n"/>
      <c r="C66" s="2" t="n"/>
      <c r="D66" s="2" t="n"/>
      <c r="E66" s="2" t="n"/>
      <c r="F66" s="2" t="n"/>
    </row>
    <row r="67" ht="15.75" customHeight="1" s="61">
      <c r="A67" s="2" t="n"/>
      <c r="B67" s="2" t="n"/>
      <c r="C67" s="2" t="n"/>
      <c r="D67" s="2" t="n"/>
      <c r="E67" s="2" t="n"/>
      <c r="F67" s="2" t="n"/>
    </row>
    <row r="68" ht="15.75" customHeight="1" s="61">
      <c r="A68" s="2" t="n"/>
      <c r="B68" s="2" t="n"/>
      <c r="C68" s="2" t="n"/>
      <c r="D68" s="2" t="n"/>
      <c r="E68" s="2" t="n"/>
      <c r="F68" s="2" t="n"/>
    </row>
    <row r="69" ht="15.75" customHeight="1" s="61">
      <c r="A69" s="2" t="n"/>
      <c r="B69" s="2" t="n"/>
      <c r="C69" s="2" t="n"/>
      <c r="D69" s="2" t="n"/>
      <c r="E69" s="2" t="n"/>
      <c r="F69" s="2" t="n"/>
    </row>
    <row r="70" ht="15.75" customHeight="1" s="61">
      <c r="A70" s="2" t="n"/>
      <c r="B70" s="2" t="n"/>
      <c r="C70" s="2" t="n"/>
      <c r="D70" s="2" t="n"/>
      <c r="E70" s="2" t="n"/>
      <c r="F70" s="2" t="n"/>
    </row>
    <row r="71" ht="15.75" customHeight="1" s="61">
      <c r="A71" s="2" t="n"/>
      <c r="B71" s="2" t="n"/>
      <c r="C71" s="2" t="n"/>
      <c r="D71" s="2" t="n"/>
      <c r="E71" s="2" t="n"/>
      <c r="F71" s="2" t="n"/>
    </row>
    <row r="72" ht="15.75" customHeight="1" s="61">
      <c r="A72" s="2" t="n"/>
      <c r="B72" s="2" t="n"/>
      <c r="C72" s="2" t="n"/>
      <c r="D72" s="2" t="n"/>
      <c r="E72" s="2" t="n"/>
      <c r="F72" s="2" t="n"/>
    </row>
    <row r="73" ht="15.75" customHeight="1" s="61">
      <c r="A73" s="2" t="n"/>
      <c r="B73" s="2" t="n"/>
      <c r="C73" s="2" t="n"/>
      <c r="D73" s="2" t="n"/>
      <c r="E73" s="2" t="n"/>
      <c r="F73" s="2" t="n"/>
    </row>
    <row r="74" ht="15.75" customHeight="1" s="61">
      <c r="A74" s="2" t="n"/>
      <c r="B74" s="2" t="n"/>
      <c r="C74" s="2" t="n"/>
      <c r="D74" s="2" t="n"/>
      <c r="E74" s="2" t="n"/>
      <c r="F74" s="2" t="n"/>
    </row>
    <row r="75" ht="15.75" customHeight="1" s="61">
      <c r="A75" s="2" t="n"/>
      <c r="B75" s="2" t="n"/>
      <c r="C75" s="2" t="n"/>
      <c r="D75" s="2" t="n"/>
      <c r="E75" s="2" t="n"/>
      <c r="F75" s="2" t="n"/>
    </row>
    <row r="76" ht="15.75" customHeight="1" s="61">
      <c r="A76" s="2" t="n"/>
      <c r="B76" s="2" t="n"/>
      <c r="C76" s="2" t="n"/>
      <c r="D76" s="2" t="n"/>
      <c r="E76" s="2" t="n"/>
      <c r="F76" s="2" t="n"/>
    </row>
    <row r="77" ht="15.75" customHeight="1" s="61">
      <c r="A77" s="2" t="n"/>
      <c r="B77" s="2" t="n"/>
      <c r="C77" s="2" t="n"/>
      <c r="D77" s="2" t="n"/>
      <c r="E77" s="2" t="n"/>
      <c r="F77" s="2" t="n"/>
    </row>
    <row r="78" ht="15.75" customHeight="1" s="61">
      <c r="A78" s="2" t="n"/>
      <c r="B78" s="2" t="n"/>
      <c r="C78" s="2" t="n"/>
      <c r="D78" s="2" t="n"/>
      <c r="E78" s="2" t="n"/>
      <c r="F78" s="2" t="n"/>
    </row>
    <row r="79" ht="15.75" customHeight="1" s="61">
      <c r="A79" s="2" t="n"/>
      <c r="B79" s="2" t="n"/>
      <c r="C79" s="2" t="n"/>
      <c r="D79" s="2" t="n"/>
      <c r="E79" s="2" t="n"/>
      <c r="F79" s="2" t="n"/>
    </row>
    <row r="80" ht="15.75" customHeight="1" s="61">
      <c r="A80" s="2" t="n"/>
      <c r="B80" s="2" t="n"/>
      <c r="C80" s="2" t="n"/>
      <c r="D80" s="2" t="n"/>
      <c r="E80" s="2" t="n"/>
      <c r="F80" s="2" t="n"/>
    </row>
    <row r="81" ht="15.75" customHeight="1" s="61">
      <c r="A81" s="2" t="n"/>
      <c r="B81" s="2" t="n"/>
      <c r="C81" s="2" t="n"/>
      <c r="D81" s="2" t="n"/>
      <c r="E81" s="2" t="n"/>
      <c r="F81" s="2" t="n"/>
    </row>
    <row r="82" ht="15.75" customHeight="1" s="61">
      <c r="A82" s="2" t="n"/>
      <c r="B82" s="2" t="n"/>
      <c r="C82" s="2" t="n"/>
      <c r="D82" s="2" t="n"/>
      <c r="E82" s="2" t="n"/>
      <c r="F82" s="2" t="n"/>
    </row>
    <row r="83" ht="15.75" customHeight="1" s="61">
      <c r="A83" s="2" t="n"/>
      <c r="B83" s="2" t="n"/>
      <c r="C83" s="2" t="n"/>
      <c r="D83" s="2" t="n"/>
      <c r="E83" s="2" t="n"/>
      <c r="F83" s="2" t="n"/>
    </row>
    <row r="84" ht="15.75" customHeight="1" s="61">
      <c r="A84" s="2" t="n"/>
      <c r="B84" s="2" t="n"/>
      <c r="C84" s="2" t="n"/>
      <c r="D84" s="2" t="n"/>
      <c r="E84" s="2" t="n"/>
      <c r="F84" s="2" t="n"/>
    </row>
    <row r="85" ht="15.75" customHeight="1" s="61">
      <c r="A85" s="2" t="n"/>
      <c r="B85" s="2" t="n"/>
      <c r="C85" s="2" t="n"/>
      <c r="D85" s="2" t="n"/>
      <c r="E85" s="2" t="n"/>
      <c r="F85" s="2" t="n"/>
    </row>
    <row r="86" ht="15.75" customHeight="1" s="61">
      <c r="A86" s="2" t="n"/>
      <c r="B86" s="2" t="n"/>
      <c r="C86" s="2" t="n"/>
      <c r="D86" s="2" t="n"/>
      <c r="E86" s="2" t="n"/>
      <c r="F86" s="2" t="n"/>
    </row>
    <row r="87" ht="15.75" customHeight="1" s="61">
      <c r="A87" s="2" t="n"/>
      <c r="B87" s="2" t="n"/>
      <c r="C87" s="2" t="n"/>
      <c r="D87" s="2" t="n"/>
      <c r="E87" s="2" t="n"/>
      <c r="F87" s="2" t="n"/>
    </row>
    <row r="88" ht="15.75" customHeight="1" s="61">
      <c r="A88" s="2" t="n"/>
      <c r="B88" s="2" t="n"/>
      <c r="C88" s="2" t="n"/>
      <c r="D88" s="2" t="n"/>
      <c r="E88" s="2" t="n"/>
      <c r="F88" s="2" t="n"/>
    </row>
    <row r="89" ht="15.75" customHeight="1" s="61">
      <c r="A89" s="2" t="n"/>
      <c r="B89" s="2" t="n"/>
      <c r="C89" s="2" t="n"/>
      <c r="D89" s="2" t="n"/>
      <c r="E89" s="2" t="n"/>
      <c r="F89" s="2" t="n"/>
    </row>
    <row r="90" ht="15.75" customHeight="1" s="61">
      <c r="A90" s="2" t="n"/>
      <c r="B90" s="2" t="n"/>
      <c r="C90" s="2" t="n"/>
      <c r="D90" s="2" t="n"/>
      <c r="E90" s="2" t="n"/>
      <c r="F90" s="2" t="n"/>
    </row>
    <row r="91" ht="15.75" customHeight="1" s="61">
      <c r="A91" s="2" t="n"/>
      <c r="B91" s="2" t="n"/>
      <c r="C91" s="2" t="n"/>
      <c r="D91" s="2" t="n"/>
      <c r="E91" s="2" t="n"/>
      <c r="F91" s="2" t="n"/>
    </row>
    <row r="92" ht="15.75" customHeight="1" s="61">
      <c r="A92" s="2" t="n"/>
      <c r="B92" s="2" t="n"/>
      <c r="C92" s="2" t="n"/>
      <c r="D92" s="2" t="n"/>
      <c r="E92" s="2" t="n"/>
      <c r="F92" s="2" t="n"/>
    </row>
    <row r="93" ht="15.75" customHeight="1" s="61">
      <c r="A93" s="2" t="n"/>
      <c r="B93" s="2" t="n"/>
      <c r="C93" s="2" t="n"/>
      <c r="D93" s="2" t="n"/>
      <c r="E93" s="2" t="n"/>
      <c r="F93" s="2" t="n"/>
    </row>
    <row r="94" ht="15.75" customHeight="1" s="61">
      <c r="A94" s="2" t="n"/>
      <c r="B94" s="2" t="n"/>
      <c r="C94" s="2" t="n"/>
      <c r="D94" s="2" t="n"/>
      <c r="E94" s="2" t="n"/>
      <c r="F94" s="2" t="n"/>
    </row>
    <row r="95" ht="15.75" customHeight="1" s="61">
      <c r="A95" s="2" t="n"/>
      <c r="B95" s="2" t="n"/>
      <c r="C95" s="2" t="n"/>
      <c r="D95" s="2" t="n"/>
      <c r="E95" s="2" t="n"/>
      <c r="F95" s="2" t="n"/>
    </row>
    <row r="96" ht="15.75" customHeight="1" s="61">
      <c r="A96" s="2" t="n"/>
      <c r="B96" s="2" t="n"/>
      <c r="C96" s="2" t="n"/>
      <c r="D96" s="2" t="n"/>
      <c r="E96" s="2" t="n"/>
      <c r="F96" s="2" t="n"/>
    </row>
    <row r="97" ht="15.75" customHeight="1" s="61">
      <c r="A97" s="2" t="n"/>
      <c r="B97" s="2" t="n"/>
      <c r="C97" s="2" t="n"/>
      <c r="D97" s="2" t="n"/>
      <c r="E97" s="2" t="n"/>
      <c r="F97" s="2" t="n"/>
    </row>
    <row r="98" ht="15.75" customHeight="1" s="61">
      <c r="A98" s="2" t="n"/>
      <c r="B98" s="2" t="n"/>
      <c r="C98" s="2" t="n"/>
      <c r="D98" s="2" t="n"/>
      <c r="E98" s="2" t="n"/>
      <c r="F98" s="2" t="n"/>
    </row>
    <row r="99" ht="15.75" customHeight="1" s="61">
      <c r="A99" s="2" t="n"/>
      <c r="B99" s="2" t="n"/>
      <c r="C99" s="2" t="n"/>
      <c r="D99" s="2" t="n"/>
      <c r="E99" s="2" t="n"/>
      <c r="F99" s="2" t="n"/>
    </row>
    <row r="100" ht="15.75" customHeight="1" s="61">
      <c r="A100" s="2" t="n"/>
      <c r="B100" s="2" t="n"/>
      <c r="C100" s="2" t="n"/>
      <c r="D100" s="2" t="n"/>
      <c r="E100" s="2" t="n"/>
      <c r="F100" s="2" t="n"/>
    </row>
    <row r="101" ht="15.75" customHeight="1" s="61">
      <c r="A101" s="2" t="n"/>
      <c r="B101" s="2" t="n"/>
      <c r="C101" s="2" t="n"/>
      <c r="D101" s="2" t="n"/>
      <c r="E101" s="2" t="n"/>
      <c r="F101" s="2" t="n"/>
    </row>
    <row r="102" ht="15.75" customHeight="1" s="61">
      <c r="A102" s="2" t="n"/>
      <c r="B102" s="2" t="n"/>
      <c r="C102" s="2" t="n"/>
      <c r="D102" s="2" t="n"/>
      <c r="E102" s="2" t="n"/>
      <c r="F102" s="2" t="n"/>
    </row>
    <row r="103" ht="15.75" customHeight="1" s="61">
      <c r="A103" s="2" t="n"/>
      <c r="B103" s="2" t="n"/>
      <c r="C103" s="2" t="n"/>
      <c r="D103" s="2" t="n"/>
      <c r="E103" s="2" t="n"/>
      <c r="F103" s="2" t="n"/>
    </row>
    <row r="104" ht="15.75" customHeight="1" s="61">
      <c r="A104" s="2" t="n"/>
      <c r="B104" s="2" t="n"/>
      <c r="C104" s="2" t="n"/>
      <c r="D104" s="2" t="n"/>
      <c r="E104" s="2" t="n"/>
      <c r="F104" s="2" t="n"/>
    </row>
    <row r="105" ht="15.75" customHeight="1" s="61">
      <c r="A105" s="2" t="n"/>
      <c r="B105" s="2" t="n"/>
      <c r="C105" s="2" t="n"/>
      <c r="D105" s="2" t="n"/>
      <c r="E105" s="2" t="n"/>
      <c r="F105" s="2" t="n"/>
    </row>
    <row r="106" ht="15.75" customHeight="1" s="61">
      <c r="A106" s="2" t="n"/>
      <c r="B106" s="2" t="n"/>
      <c r="C106" s="2" t="n"/>
      <c r="D106" s="2" t="n"/>
      <c r="E106" s="2" t="n"/>
      <c r="F106" s="2" t="n"/>
    </row>
    <row r="107" ht="15.75" customHeight="1" s="61">
      <c r="A107" s="2" t="n"/>
      <c r="B107" s="2" t="n"/>
      <c r="C107" s="2" t="n"/>
      <c r="D107" s="2" t="n"/>
      <c r="E107" s="2" t="n"/>
      <c r="F107" s="2" t="n"/>
    </row>
    <row r="108" ht="15.75" customHeight="1" s="61">
      <c r="A108" s="2" t="n"/>
      <c r="B108" s="2" t="n"/>
      <c r="C108" s="2" t="n"/>
      <c r="D108" s="2" t="n"/>
      <c r="E108" s="2" t="n"/>
      <c r="F108" s="2" t="n"/>
    </row>
    <row r="109" ht="15.75" customHeight="1" s="61">
      <c r="A109" s="2" t="n"/>
      <c r="B109" s="2" t="n"/>
      <c r="C109" s="2" t="n"/>
      <c r="D109" s="2" t="n"/>
      <c r="E109" s="2" t="n"/>
      <c r="F109" s="2" t="n"/>
    </row>
    <row r="110" ht="15.75" customHeight="1" s="61">
      <c r="A110" s="2" t="n"/>
      <c r="B110" s="2" t="n"/>
      <c r="C110" s="2" t="n"/>
      <c r="D110" s="2" t="n"/>
      <c r="E110" s="2" t="n"/>
      <c r="F110" s="2" t="n"/>
    </row>
    <row r="111" ht="15.75" customHeight="1" s="61">
      <c r="A111" s="2" t="n"/>
      <c r="B111" s="2" t="n"/>
      <c r="C111" s="2" t="n"/>
      <c r="D111" s="2" t="n"/>
      <c r="E111" s="2" t="n"/>
      <c r="F111" s="2" t="n"/>
    </row>
    <row r="112" ht="15.75" customHeight="1" s="61">
      <c r="A112" s="2" t="n"/>
      <c r="B112" s="2" t="n"/>
      <c r="C112" s="2" t="n"/>
      <c r="D112" s="2" t="n"/>
      <c r="E112" s="2" t="n"/>
      <c r="F112" s="2" t="n"/>
    </row>
    <row r="113" ht="15.75" customHeight="1" s="61">
      <c r="A113" s="2" t="n"/>
      <c r="B113" s="2" t="n"/>
      <c r="C113" s="2" t="n"/>
      <c r="D113" s="2" t="n"/>
      <c r="E113" s="2" t="n"/>
      <c r="F113" s="2" t="n"/>
    </row>
    <row r="114" ht="15.75" customHeight="1" s="61">
      <c r="A114" s="2" t="n"/>
      <c r="B114" s="2" t="n"/>
      <c r="C114" s="2" t="n"/>
      <c r="D114" s="2" t="n"/>
      <c r="E114" s="2" t="n"/>
      <c r="F114" s="2" t="n"/>
    </row>
    <row r="115" ht="15.75" customHeight="1" s="61">
      <c r="A115" s="2" t="n"/>
      <c r="B115" s="2" t="n"/>
      <c r="C115" s="2" t="n"/>
      <c r="D115" s="2" t="n"/>
      <c r="E115" s="2" t="n"/>
      <c r="F115" s="2" t="n"/>
    </row>
    <row r="116" ht="15.75" customHeight="1" s="61">
      <c r="A116" s="2" t="n"/>
      <c r="B116" s="2" t="n"/>
      <c r="C116" s="2" t="n"/>
      <c r="D116" s="2" t="n"/>
      <c r="E116" s="2" t="n"/>
      <c r="F116" s="2" t="n"/>
    </row>
    <row r="117" ht="15.75" customHeight="1" s="61">
      <c r="A117" s="2" t="n"/>
      <c r="B117" s="2" t="n"/>
      <c r="C117" s="2" t="n"/>
      <c r="D117" s="2" t="n"/>
      <c r="E117" s="2" t="n"/>
      <c r="F117" s="2" t="n"/>
    </row>
    <row r="118" ht="15.75" customHeight="1" s="61">
      <c r="A118" s="2" t="n"/>
      <c r="B118" s="2" t="n"/>
      <c r="C118" s="2" t="n"/>
      <c r="D118" s="2" t="n"/>
      <c r="E118" s="2" t="n"/>
      <c r="F118" s="2" t="n"/>
    </row>
    <row r="119" ht="15.75" customHeight="1" s="61">
      <c r="A119" s="2" t="n"/>
      <c r="B119" s="2" t="n"/>
      <c r="C119" s="2" t="n"/>
      <c r="D119" s="2" t="n"/>
      <c r="E119" s="2" t="n"/>
      <c r="F119" s="2" t="n"/>
    </row>
    <row r="120" ht="15.75" customHeight="1" s="61">
      <c r="A120" s="2" t="n"/>
      <c r="B120" s="2" t="n"/>
      <c r="C120" s="2" t="n"/>
      <c r="D120" s="2" t="n"/>
      <c r="E120" s="2" t="n"/>
      <c r="F120" s="2" t="n"/>
    </row>
    <row r="121" ht="15.75" customHeight="1" s="61">
      <c r="A121" s="2" t="n"/>
      <c r="B121" s="2" t="n"/>
      <c r="C121" s="2" t="n"/>
      <c r="D121" s="2" t="n"/>
      <c r="E121" s="2" t="n"/>
      <c r="F121" s="2" t="n"/>
    </row>
    <row r="122" ht="15.75" customHeight="1" s="61">
      <c r="A122" s="2" t="n"/>
      <c r="B122" s="2" t="n"/>
      <c r="C122" s="2" t="n"/>
      <c r="D122" s="2" t="n"/>
      <c r="E122" s="2" t="n"/>
      <c r="F122" s="2" t="n"/>
    </row>
    <row r="123" ht="15.75" customHeight="1" s="61">
      <c r="A123" s="2" t="n"/>
      <c r="B123" s="2" t="n"/>
      <c r="C123" s="2" t="n"/>
      <c r="D123" s="2" t="n"/>
      <c r="E123" s="2" t="n"/>
      <c r="F123" s="2" t="n"/>
    </row>
    <row r="124" ht="15.75" customHeight="1" s="61">
      <c r="A124" s="2" t="n"/>
      <c r="B124" s="2" t="n"/>
      <c r="C124" s="2" t="n"/>
      <c r="D124" s="2" t="n"/>
      <c r="E124" s="2" t="n"/>
      <c r="F124" s="2" t="n"/>
    </row>
    <row r="125" ht="15.75" customHeight="1" s="61">
      <c r="A125" s="2" t="n"/>
      <c r="B125" s="2" t="n"/>
      <c r="C125" s="2" t="n"/>
      <c r="D125" s="2" t="n"/>
      <c r="E125" s="2" t="n"/>
      <c r="F125" s="2" t="n"/>
    </row>
    <row r="126" ht="15.75" customHeight="1" s="61">
      <c r="A126" s="2" t="n"/>
      <c r="B126" s="2" t="n"/>
      <c r="C126" s="2" t="n"/>
      <c r="D126" s="2" t="n"/>
      <c r="E126" s="2" t="n"/>
      <c r="F126" s="2" t="n"/>
    </row>
    <row r="127" ht="15.75" customHeight="1" s="61">
      <c r="A127" s="2" t="n"/>
      <c r="B127" s="2" t="n"/>
      <c r="C127" s="2" t="n"/>
      <c r="D127" s="2" t="n"/>
      <c r="E127" s="2" t="n"/>
      <c r="F127" s="2" t="n"/>
    </row>
    <row r="128" ht="15.75" customHeight="1" s="61">
      <c r="A128" s="2" t="n"/>
      <c r="B128" s="2" t="n"/>
      <c r="C128" s="2" t="n"/>
      <c r="D128" s="2" t="n"/>
      <c r="E128" s="2" t="n"/>
      <c r="F128" s="2" t="n"/>
    </row>
    <row r="129" ht="15.75" customHeight="1" s="61">
      <c r="A129" s="2" t="n"/>
      <c r="B129" s="2" t="n"/>
      <c r="C129" s="2" t="n"/>
      <c r="D129" s="2" t="n"/>
      <c r="E129" s="2" t="n"/>
      <c r="F129" s="2" t="n"/>
    </row>
    <row r="130" ht="15.75" customHeight="1" s="61">
      <c r="A130" s="2" t="n"/>
      <c r="B130" s="2" t="n"/>
      <c r="C130" s="2" t="n"/>
      <c r="D130" s="2" t="n"/>
      <c r="E130" s="2" t="n"/>
      <c r="F130" s="2" t="n"/>
    </row>
    <row r="131" ht="15.75" customHeight="1" s="61">
      <c r="A131" s="2" t="n"/>
      <c r="B131" s="2" t="n"/>
      <c r="C131" s="2" t="n"/>
      <c r="D131" s="2" t="n"/>
      <c r="E131" s="2" t="n"/>
      <c r="F131" s="2" t="n"/>
    </row>
    <row r="132" ht="15.75" customHeight="1" s="61">
      <c r="A132" s="2" t="n"/>
      <c r="B132" s="2" t="n"/>
      <c r="C132" s="2" t="n"/>
      <c r="D132" s="2" t="n"/>
      <c r="E132" s="2" t="n"/>
      <c r="F132" s="2" t="n"/>
    </row>
    <row r="133" ht="15.75" customHeight="1" s="61">
      <c r="A133" s="2" t="n"/>
      <c r="B133" s="2" t="n"/>
      <c r="C133" s="2" t="n"/>
      <c r="D133" s="2" t="n"/>
      <c r="E133" s="2" t="n"/>
      <c r="F133" s="2" t="n"/>
    </row>
    <row r="134" ht="15.75" customHeight="1" s="61">
      <c r="A134" s="2" t="n"/>
      <c r="B134" s="2" t="n"/>
      <c r="C134" s="2" t="n"/>
      <c r="D134" s="2" t="n"/>
      <c r="E134" s="2" t="n"/>
      <c r="F134" s="2" t="n"/>
    </row>
    <row r="135" ht="15.75" customHeight="1" s="61">
      <c r="A135" s="2" t="n"/>
      <c r="B135" s="2" t="n"/>
      <c r="C135" s="2" t="n"/>
      <c r="D135" s="2" t="n"/>
      <c r="E135" s="2" t="n"/>
      <c r="F135" s="2" t="n"/>
    </row>
    <row r="136" ht="15.75" customHeight="1" s="61">
      <c r="A136" s="2" t="n"/>
      <c r="B136" s="2" t="n"/>
      <c r="C136" s="2" t="n"/>
      <c r="D136" s="2" t="n"/>
      <c r="E136" s="2" t="n"/>
      <c r="F136" s="2" t="n"/>
    </row>
    <row r="137" ht="15.75" customHeight="1" s="61">
      <c r="A137" s="2" t="n"/>
      <c r="B137" s="2" t="n"/>
      <c r="C137" s="2" t="n"/>
      <c r="D137" s="2" t="n"/>
      <c r="E137" s="2" t="n"/>
      <c r="F137" s="2" t="n"/>
    </row>
    <row r="138" ht="15.75" customHeight="1" s="61">
      <c r="A138" s="2" t="n"/>
      <c r="B138" s="2" t="n"/>
      <c r="C138" s="2" t="n"/>
      <c r="D138" s="2" t="n"/>
      <c r="E138" s="2" t="n"/>
      <c r="F138" s="2" t="n"/>
    </row>
    <row r="139" ht="15.75" customHeight="1" s="61">
      <c r="A139" s="2" t="n"/>
      <c r="B139" s="2" t="n"/>
      <c r="C139" s="2" t="n"/>
      <c r="D139" s="2" t="n"/>
      <c r="E139" s="2" t="n"/>
      <c r="F139" s="2" t="n"/>
    </row>
    <row r="140" ht="15.75" customHeight="1" s="61">
      <c r="A140" s="2" t="n"/>
      <c r="B140" s="2" t="n"/>
      <c r="C140" s="2" t="n"/>
      <c r="D140" s="2" t="n"/>
      <c r="E140" s="2" t="n"/>
      <c r="F140" s="2" t="n"/>
    </row>
    <row r="141" ht="15.75" customHeight="1" s="61">
      <c r="A141" s="2" t="n"/>
      <c r="B141" s="2" t="n"/>
      <c r="C141" s="2" t="n"/>
      <c r="D141" s="2" t="n"/>
      <c r="E141" s="2" t="n"/>
      <c r="F141" s="2" t="n"/>
    </row>
    <row r="142" ht="15.75" customHeight="1" s="61">
      <c r="A142" s="2" t="n"/>
      <c r="B142" s="2" t="n"/>
      <c r="C142" s="2" t="n"/>
      <c r="D142" s="2" t="n"/>
      <c r="E142" s="2" t="n"/>
      <c r="F142" s="2" t="n"/>
    </row>
    <row r="143" ht="15.75" customHeight="1" s="61">
      <c r="A143" s="2" t="n"/>
      <c r="B143" s="2" t="n"/>
      <c r="C143" s="2" t="n"/>
      <c r="D143" s="2" t="n"/>
      <c r="E143" s="2" t="n"/>
      <c r="F143" s="2" t="n"/>
    </row>
    <row r="144" ht="15.75" customHeight="1" s="61">
      <c r="A144" s="2" t="n"/>
      <c r="B144" s="2" t="n"/>
      <c r="C144" s="2" t="n"/>
      <c r="D144" s="2" t="n"/>
      <c r="E144" s="2" t="n"/>
      <c r="F144" s="2" t="n"/>
    </row>
    <row r="145" ht="15.75" customHeight="1" s="61">
      <c r="A145" s="2" t="n"/>
      <c r="B145" s="2" t="n"/>
      <c r="C145" s="2" t="n"/>
      <c r="D145" s="2" t="n"/>
      <c r="E145" s="2" t="n"/>
      <c r="F145" s="2" t="n"/>
    </row>
    <row r="146" ht="15.75" customHeight="1" s="61">
      <c r="A146" s="2" t="n"/>
      <c r="B146" s="2" t="n"/>
      <c r="C146" s="2" t="n"/>
      <c r="D146" s="2" t="n"/>
      <c r="E146" s="2" t="n"/>
      <c r="F146" s="2" t="n"/>
    </row>
    <row r="147" ht="15.75" customHeight="1" s="61">
      <c r="A147" s="2" t="n"/>
      <c r="B147" s="2" t="n"/>
      <c r="C147" s="2" t="n"/>
      <c r="D147" s="2" t="n"/>
      <c r="E147" s="2" t="n"/>
      <c r="F147" s="2" t="n"/>
    </row>
    <row r="148" ht="15.75" customHeight="1" s="61">
      <c r="A148" s="2" t="n"/>
      <c r="B148" s="2" t="n"/>
      <c r="C148" s="2" t="n"/>
      <c r="D148" s="2" t="n"/>
      <c r="E148" s="2" t="n"/>
      <c r="F148" s="2" t="n"/>
    </row>
    <row r="149" ht="15.75" customHeight="1" s="61">
      <c r="A149" s="2" t="n"/>
      <c r="B149" s="2" t="n"/>
      <c r="C149" s="2" t="n"/>
      <c r="D149" s="2" t="n"/>
      <c r="E149" s="2" t="n"/>
      <c r="F149" s="2" t="n"/>
    </row>
    <row r="150" ht="15.75" customHeight="1" s="61">
      <c r="A150" s="2" t="n"/>
      <c r="B150" s="2" t="n"/>
      <c r="C150" s="2" t="n"/>
      <c r="D150" s="2" t="n"/>
      <c r="E150" s="2" t="n"/>
      <c r="F150" s="2" t="n"/>
    </row>
    <row r="151" ht="15.75" customHeight="1" s="61">
      <c r="A151" s="2" t="n"/>
      <c r="B151" s="2" t="n"/>
      <c r="C151" s="2" t="n"/>
      <c r="D151" s="2" t="n"/>
      <c r="E151" s="2" t="n"/>
      <c r="F151" s="2" t="n"/>
    </row>
    <row r="152" ht="15.75" customHeight="1" s="61">
      <c r="A152" s="2" t="n"/>
      <c r="B152" s="2" t="n"/>
      <c r="C152" s="2" t="n"/>
      <c r="D152" s="2" t="n"/>
      <c r="E152" s="2" t="n"/>
      <c r="F152" s="2" t="n"/>
    </row>
    <row r="153" ht="15.75" customHeight="1" s="61">
      <c r="A153" s="2" t="n"/>
      <c r="B153" s="2" t="n"/>
      <c r="C153" s="2" t="n"/>
      <c r="D153" s="2" t="n"/>
      <c r="E153" s="2" t="n"/>
      <c r="F153" s="2" t="n"/>
    </row>
    <row r="154" ht="15.75" customHeight="1" s="61">
      <c r="A154" s="2" t="n"/>
      <c r="B154" s="2" t="n"/>
      <c r="C154" s="2" t="n"/>
      <c r="D154" s="2" t="n"/>
      <c r="E154" s="2" t="n"/>
      <c r="F154" s="2" t="n"/>
    </row>
    <row r="155" ht="15.75" customHeight="1" s="61">
      <c r="A155" s="2" t="n"/>
      <c r="B155" s="2" t="n"/>
      <c r="C155" s="2" t="n"/>
      <c r="D155" s="2" t="n"/>
      <c r="E155" s="2" t="n"/>
      <c r="F155" s="2" t="n"/>
    </row>
    <row r="156" ht="15.75" customHeight="1" s="61">
      <c r="A156" s="2" t="n"/>
      <c r="B156" s="2" t="n"/>
      <c r="C156" s="2" t="n"/>
      <c r="D156" s="2" t="n"/>
      <c r="E156" s="2" t="n"/>
      <c r="F156" s="2" t="n"/>
    </row>
    <row r="157" ht="15.75" customHeight="1" s="61">
      <c r="A157" s="2" t="n"/>
      <c r="B157" s="2" t="n"/>
      <c r="C157" s="2" t="n"/>
      <c r="D157" s="2" t="n"/>
      <c r="E157" s="2" t="n"/>
      <c r="F157" s="2" t="n"/>
    </row>
    <row r="158" ht="15.75" customHeight="1" s="61">
      <c r="A158" s="2" t="n"/>
      <c r="B158" s="2" t="n"/>
      <c r="C158" s="2" t="n"/>
      <c r="D158" s="2" t="n"/>
      <c r="E158" s="2" t="n"/>
      <c r="F158" s="2" t="n"/>
    </row>
    <row r="159" ht="15.75" customHeight="1" s="61">
      <c r="A159" s="2" t="n"/>
      <c r="B159" s="2" t="n"/>
      <c r="C159" s="2" t="n"/>
      <c r="D159" s="2" t="n"/>
      <c r="E159" s="2" t="n"/>
      <c r="F159" s="2" t="n"/>
    </row>
    <row r="160" ht="15.75" customHeight="1" s="61">
      <c r="A160" s="2" t="n"/>
      <c r="B160" s="2" t="n"/>
      <c r="C160" s="2" t="n"/>
      <c r="D160" s="2" t="n"/>
      <c r="E160" s="2" t="n"/>
      <c r="F160" s="2" t="n"/>
    </row>
    <row r="161" ht="15.75" customHeight="1" s="61">
      <c r="A161" s="2" t="n"/>
      <c r="B161" s="2" t="n"/>
      <c r="C161" s="2" t="n"/>
      <c r="D161" s="2" t="n"/>
      <c r="E161" s="2" t="n"/>
      <c r="F161" s="2" t="n"/>
    </row>
    <row r="162" ht="15.75" customHeight="1" s="61">
      <c r="A162" s="2" t="n"/>
      <c r="B162" s="2" t="n"/>
      <c r="C162" s="2" t="n"/>
      <c r="D162" s="2" t="n"/>
      <c r="E162" s="2" t="n"/>
      <c r="F162" s="2" t="n"/>
    </row>
    <row r="163" ht="15.75" customHeight="1" s="61">
      <c r="A163" s="2" t="n"/>
      <c r="B163" s="2" t="n"/>
      <c r="C163" s="2" t="n"/>
      <c r="D163" s="2" t="n"/>
      <c r="E163" s="2" t="n"/>
      <c r="F163" s="2" t="n"/>
    </row>
    <row r="164" ht="15.75" customHeight="1" s="61">
      <c r="A164" s="2" t="n"/>
      <c r="B164" s="2" t="n"/>
      <c r="C164" s="2" t="n"/>
      <c r="D164" s="2" t="n"/>
      <c r="E164" s="2" t="n"/>
      <c r="F164" s="2" t="n"/>
    </row>
    <row r="165" ht="15.75" customHeight="1" s="61">
      <c r="A165" s="2" t="n"/>
      <c r="B165" s="2" t="n"/>
      <c r="C165" s="2" t="n"/>
      <c r="D165" s="2" t="n"/>
      <c r="E165" s="2" t="n"/>
      <c r="F165" s="2" t="n"/>
    </row>
    <row r="166" ht="15.75" customHeight="1" s="61">
      <c r="A166" s="2" t="n"/>
      <c r="B166" s="2" t="n"/>
      <c r="C166" s="2" t="n"/>
      <c r="D166" s="2" t="n"/>
      <c r="E166" s="2" t="n"/>
      <c r="F166" s="2" t="n"/>
    </row>
    <row r="167" ht="15.75" customHeight="1" s="61">
      <c r="A167" s="2" t="n"/>
      <c r="B167" s="2" t="n"/>
      <c r="C167" s="2" t="n"/>
      <c r="D167" s="2" t="n"/>
      <c r="E167" s="2" t="n"/>
      <c r="F167" s="2" t="n"/>
    </row>
    <row r="168" ht="15.75" customHeight="1" s="61">
      <c r="A168" s="2" t="n"/>
      <c r="B168" s="2" t="n"/>
      <c r="C168" s="2" t="n"/>
      <c r="D168" s="2" t="n"/>
      <c r="E168" s="2" t="n"/>
      <c r="F168" s="2" t="n"/>
    </row>
    <row r="169" ht="15.75" customHeight="1" s="61">
      <c r="A169" s="2" t="n"/>
      <c r="B169" s="2" t="n"/>
      <c r="C169" s="2" t="n"/>
      <c r="D169" s="2" t="n"/>
      <c r="E169" s="2" t="n"/>
      <c r="F169" s="2" t="n"/>
    </row>
    <row r="170" ht="15.75" customHeight="1" s="61">
      <c r="A170" s="2" t="n"/>
      <c r="B170" s="2" t="n"/>
      <c r="C170" s="2" t="n"/>
      <c r="D170" s="2" t="n"/>
      <c r="E170" s="2" t="n"/>
      <c r="F170" s="2" t="n"/>
    </row>
    <row r="171" ht="15.75" customHeight="1" s="61">
      <c r="A171" s="2" t="n"/>
      <c r="B171" s="2" t="n"/>
      <c r="C171" s="2" t="n"/>
      <c r="D171" s="2" t="n"/>
      <c r="E171" s="2" t="n"/>
      <c r="F171" s="2" t="n"/>
    </row>
    <row r="172" ht="15.75" customHeight="1" s="61">
      <c r="A172" s="2" t="n"/>
      <c r="B172" s="2" t="n"/>
      <c r="C172" s="2" t="n"/>
      <c r="D172" s="2" t="n"/>
      <c r="E172" s="2" t="n"/>
      <c r="F172" s="2" t="n"/>
    </row>
    <row r="173" ht="15.75" customHeight="1" s="61">
      <c r="A173" s="2" t="n"/>
      <c r="B173" s="2" t="n"/>
      <c r="C173" s="2" t="n"/>
      <c r="D173" s="2" t="n"/>
      <c r="E173" s="2" t="n"/>
      <c r="F173" s="2" t="n"/>
    </row>
    <row r="174" ht="15.75" customHeight="1" s="61">
      <c r="A174" s="2" t="n"/>
      <c r="B174" s="2" t="n"/>
      <c r="C174" s="2" t="n"/>
      <c r="D174" s="2" t="n"/>
      <c r="E174" s="2" t="n"/>
      <c r="F174" s="2" t="n"/>
    </row>
    <row r="175" ht="15.75" customHeight="1" s="61">
      <c r="A175" s="2" t="n"/>
      <c r="B175" s="2" t="n"/>
      <c r="C175" s="2" t="n"/>
      <c r="D175" s="2" t="n"/>
      <c r="E175" s="2" t="n"/>
      <c r="F175" s="2" t="n"/>
    </row>
    <row r="176" ht="15.75" customHeight="1" s="61">
      <c r="A176" s="2" t="n"/>
      <c r="B176" s="2" t="n"/>
      <c r="C176" s="2" t="n"/>
      <c r="D176" s="2" t="n"/>
      <c r="E176" s="2" t="n"/>
      <c r="F176" s="2" t="n"/>
    </row>
    <row r="177" ht="15.75" customHeight="1" s="61">
      <c r="A177" s="2" t="n"/>
      <c r="B177" s="2" t="n"/>
      <c r="C177" s="2" t="n"/>
      <c r="D177" s="2" t="n"/>
      <c r="E177" s="2" t="n"/>
      <c r="F177" s="2" t="n"/>
    </row>
    <row r="178" ht="15.75" customHeight="1" s="61">
      <c r="A178" s="2" t="n"/>
      <c r="B178" s="2" t="n"/>
      <c r="C178" s="2" t="n"/>
      <c r="D178" s="2" t="n"/>
      <c r="E178" s="2" t="n"/>
      <c r="F178" s="2" t="n"/>
    </row>
    <row r="179" ht="15.75" customHeight="1" s="61">
      <c r="A179" s="2" t="n"/>
      <c r="B179" s="2" t="n"/>
      <c r="C179" s="2" t="n"/>
      <c r="D179" s="2" t="n"/>
      <c r="E179" s="2" t="n"/>
      <c r="F179" s="2" t="n"/>
    </row>
    <row r="180" ht="15.75" customHeight="1" s="61">
      <c r="A180" s="2" t="n"/>
      <c r="B180" s="2" t="n"/>
      <c r="C180" s="2" t="n"/>
      <c r="D180" s="2" t="n"/>
      <c r="E180" s="2" t="n"/>
      <c r="F180" s="2" t="n"/>
    </row>
    <row r="181" ht="15.75" customHeight="1" s="61">
      <c r="A181" s="2" t="n"/>
      <c r="B181" s="2" t="n"/>
      <c r="C181" s="2" t="n"/>
      <c r="D181" s="2" t="n"/>
      <c r="E181" s="2" t="n"/>
      <c r="F181" s="2" t="n"/>
    </row>
    <row r="182" ht="15.75" customHeight="1" s="61">
      <c r="A182" s="2" t="n"/>
      <c r="B182" s="2" t="n"/>
      <c r="C182" s="2" t="n"/>
      <c r="D182" s="2" t="n"/>
      <c r="E182" s="2" t="n"/>
      <c r="F182" s="2" t="n"/>
    </row>
    <row r="183" ht="15.75" customHeight="1" s="61">
      <c r="A183" s="2" t="n"/>
      <c r="B183" s="2" t="n"/>
      <c r="C183" s="2" t="n"/>
      <c r="D183" s="2" t="n"/>
      <c r="E183" s="2" t="n"/>
      <c r="F183" s="2" t="n"/>
    </row>
    <row r="184" ht="15.75" customHeight="1" s="61">
      <c r="A184" s="2" t="n"/>
      <c r="B184" s="2" t="n"/>
      <c r="C184" s="2" t="n"/>
      <c r="D184" s="2" t="n"/>
      <c r="E184" s="2" t="n"/>
      <c r="F184" s="2" t="n"/>
    </row>
    <row r="185" ht="15.75" customHeight="1" s="61">
      <c r="A185" s="2" t="n"/>
      <c r="B185" s="2" t="n"/>
      <c r="C185" s="2" t="n"/>
      <c r="D185" s="2" t="n"/>
      <c r="E185" s="2" t="n"/>
      <c r="F185" s="2" t="n"/>
    </row>
    <row r="186" ht="15.75" customHeight="1" s="61">
      <c r="A186" s="2" t="n"/>
      <c r="B186" s="2" t="n"/>
      <c r="C186" s="2" t="n"/>
      <c r="D186" s="2" t="n"/>
      <c r="E186" s="2" t="n"/>
      <c r="F186" s="2" t="n"/>
    </row>
    <row r="187" ht="15.75" customHeight="1" s="61">
      <c r="A187" s="2" t="n"/>
      <c r="B187" s="2" t="n"/>
      <c r="C187" s="2" t="n"/>
      <c r="D187" s="2" t="n"/>
      <c r="E187" s="2" t="n"/>
      <c r="F187" s="2" t="n"/>
    </row>
    <row r="188" ht="15.75" customHeight="1" s="61">
      <c r="A188" s="2" t="n"/>
      <c r="B188" s="2" t="n"/>
      <c r="C188" s="2" t="n"/>
      <c r="D188" s="2" t="n"/>
      <c r="E188" s="2" t="n"/>
      <c r="F188" s="2" t="n"/>
    </row>
    <row r="189" ht="15.75" customHeight="1" s="61">
      <c r="A189" s="2" t="n"/>
      <c r="B189" s="2" t="n"/>
      <c r="C189" s="2" t="n"/>
      <c r="D189" s="2" t="n"/>
      <c r="E189" s="2" t="n"/>
      <c r="F189" s="2" t="n"/>
    </row>
    <row r="190" ht="15.75" customHeight="1" s="61">
      <c r="A190" s="2" t="n"/>
      <c r="B190" s="2" t="n"/>
      <c r="C190" s="2" t="n"/>
      <c r="D190" s="2" t="n"/>
      <c r="E190" s="2" t="n"/>
      <c r="F190" s="2" t="n"/>
    </row>
    <row r="191" ht="15.75" customHeight="1" s="61">
      <c r="A191" s="2" t="n"/>
      <c r="B191" s="2" t="n"/>
      <c r="C191" s="2" t="n"/>
      <c r="D191" s="2" t="n"/>
      <c r="E191" s="2" t="n"/>
      <c r="F191" s="2" t="n"/>
    </row>
    <row r="192" ht="15.75" customHeight="1" s="61">
      <c r="A192" s="2" t="n"/>
      <c r="B192" s="2" t="n"/>
      <c r="C192" s="2" t="n"/>
      <c r="D192" s="2" t="n"/>
      <c r="E192" s="2" t="n"/>
      <c r="F192" s="2" t="n"/>
    </row>
    <row r="193" ht="15.75" customHeight="1" s="61">
      <c r="A193" s="2" t="n"/>
      <c r="B193" s="2" t="n"/>
      <c r="C193" s="2" t="n"/>
      <c r="D193" s="2" t="n"/>
      <c r="E193" s="2" t="n"/>
      <c r="F193" s="2" t="n"/>
    </row>
    <row r="194" ht="15.75" customHeight="1" s="61">
      <c r="A194" s="2" t="n"/>
      <c r="B194" s="2" t="n"/>
      <c r="C194" s="2" t="n"/>
      <c r="D194" s="2" t="n"/>
      <c r="E194" s="2" t="n"/>
      <c r="F194" s="2" t="n"/>
    </row>
    <row r="195" ht="15.75" customHeight="1" s="61">
      <c r="A195" s="2" t="n"/>
      <c r="B195" s="2" t="n"/>
      <c r="C195" s="2" t="n"/>
      <c r="D195" s="2" t="n"/>
      <c r="E195" s="2" t="n"/>
      <c r="F195" s="2" t="n"/>
    </row>
    <row r="196" ht="15.75" customHeight="1" s="61">
      <c r="A196" s="2" t="n"/>
      <c r="B196" s="2" t="n"/>
      <c r="C196" s="2" t="n"/>
      <c r="D196" s="2" t="n"/>
      <c r="E196" s="2" t="n"/>
      <c r="F196" s="2" t="n"/>
    </row>
    <row r="197" ht="15.75" customHeight="1" s="61">
      <c r="A197" s="2" t="n"/>
      <c r="B197" s="2" t="n"/>
      <c r="C197" s="2" t="n"/>
      <c r="D197" s="2" t="n"/>
      <c r="E197" s="2" t="n"/>
      <c r="F197" s="2" t="n"/>
    </row>
    <row r="198" ht="15.75" customHeight="1" s="61">
      <c r="A198" s="2" t="n"/>
      <c r="B198" s="2" t="n"/>
      <c r="C198" s="2" t="n"/>
      <c r="D198" s="2" t="n"/>
      <c r="E198" s="2" t="n"/>
      <c r="F198" s="2" t="n"/>
    </row>
    <row r="199" ht="15.75" customHeight="1" s="61">
      <c r="A199" s="2" t="n"/>
      <c r="B199" s="2" t="n"/>
      <c r="C199" s="2" t="n"/>
      <c r="D199" s="2" t="n"/>
      <c r="E199" s="2" t="n"/>
      <c r="F199" s="2" t="n"/>
    </row>
    <row r="200" ht="15.75" customHeight="1" s="61">
      <c r="A200" s="2" t="n"/>
      <c r="B200" s="2" t="n"/>
      <c r="C200" s="2" t="n"/>
      <c r="D200" s="2" t="n"/>
      <c r="E200" s="2" t="n"/>
      <c r="F200" s="2" t="n"/>
    </row>
    <row r="201" ht="15.75" customHeight="1" s="61">
      <c r="A201" s="2" t="n"/>
      <c r="B201" s="2" t="n"/>
      <c r="C201" s="2" t="n"/>
      <c r="D201" s="2" t="n"/>
      <c r="E201" s="2" t="n"/>
      <c r="F201" s="2" t="n"/>
    </row>
    <row r="202" ht="15.75" customHeight="1" s="61">
      <c r="A202" s="2" t="n"/>
      <c r="B202" s="2" t="n"/>
      <c r="C202" s="2" t="n"/>
      <c r="D202" s="2" t="n"/>
      <c r="E202" s="2" t="n"/>
      <c r="F202" s="2" t="n"/>
    </row>
    <row r="203" ht="15.75" customHeight="1" s="61">
      <c r="A203" s="2" t="n"/>
      <c r="B203" s="2" t="n"/>
      <c r="C203" s="2" t="n"/>
      <c r="D203" s="2" t="n"/>
      <c r="E203" s="2" t="n"/>
      <c r="F203" s="2" t="n"/>
    </row>
    <row r="204" ht="15.75" customHeight="1" s="61">
      <c r="A204" s="2" t="n"/>
      <c r="B204" s="2" t="n"/>
      <c r="C204" s="2" t="n"/>
      <c r="D204" s="2" t="n"/>
      <c r="E204" s="2" t="n"/>
      <c r="F204" s="2" t="n"/>
    </row>
    <row r="205" ht="15.75" customHeight="1" s="61">
      <c r="A205" s="2" t="n"/>
      <c r="B205" s="2" t="n"/>
      <c r="C205" s="2" t="n"/>
      <c r="D205" s="2" t="n"/>
      <c r="E205" s="2" t="n"/>
      <c r="F205" s="2" t="n"/>
    </row>
    <row r="206" ht="15.75" customHeight="1" s="61">
      <c r="A206" s="2" t="n"/>
      <c r="B206" s="2" t="n"/>
      <c r="C206" s="2" t="n"/>
      <c r="D206" s="2" t="n"/>
      <c r="E206" s="2" t="n"/>
      <c r="F206" s="2" t="n"/>
    </row>
    <row r="207" ht="15.75" customHeight="1" s="61">
      <c r="A207" s="2" t="n"/>
      <c r="B207" s="2" t="n"/>
      <c r="C207" s="2" t="n"/>
      <c r="D207" s="2" t="n"/>
      <c r="E207" s="2" t="n"/>
      <c r="F207" s="2" t="n"/>
    </row>
    <row r="208" ht="15.75" customHeight="1" s="61">
      <c r="A208" s="2" t="n"/>
      <c r="B208" s="2" t="n"/>
      <c r="C208" s="2" t="n"/>
      <c r="D208" s="2" t="n"/>
      <c r="E208" s="2" t="n"/>
      <c r="F208" s="2" t="n"/>
    </row>
    <row r="209" ht="15.75" customHeight="1" s="61">
      <c r="A209" s="2" t="n"/>
      <c r="B209" s="2" t="n"/>
      <c r="C209" s="2" t="n"/>
      <c r="D209" s="2" t="n"/>
      <c r="E209" s="2" t="n"/>
      <c r="F209" s="2" t="n"/>
    </row>
    <row r="210" ht="15.75" customHeight="1" s="61">
      <c r="A210" s="2" t="n"/>
      <c r="B210" s="2" t="n"/>
      <c r="C210" s="2" t="n"/>
      <c r="D210" s="2" t="n"/>
      <c r="E210" s="2" t="n"/>
      <c r="F210" s="2" t="n"/>
    </row>
    <row r="211" ht="15.75" customHeight="1" s="61">
      <c r="A211" s="2" t="n"/>
      <c r="B211" s="2" t="n"/>
      <c r="C211" s="2" t="n"/>
      <c r="D211" s="2" t="n"/>
      <c r="E211" s="2" t="n"/>
      <c r="F211" s="2" t="n"/>
    </row>
    <row r="212" ht="15.75" customHeight="1" s="61">
      <c r="A212" s="2" t="n"/>
      <c r="B212" s="2" t="n"/>
      <c r="C212" s="2" t="n"/>
      <c r="D212" s="2" t="n"/>
      <c r="E212" s="2" t="n"/>
      <c r="F212" s="2" t="n"/>
    </row>
    <row r="213" ht="15.75" customHeight="1" s="61">
      <c r="A213" s="2" t="n"/>
      <c r="B213" s="2" t="n"/>
      <c r="C213" s="2" t="n"/>
      <c r="D213" s="2" t="n"/>
      <c r="E213" s="2" t="n"/>
      <c r="F213" s="2" t="n"/>
    </row>
    <row r="214" ht="15.75" customHeight="1" s="61">
      <c r="A214" s="2" t="n"/>
      <c r="B214" s="2" t="n"/>
      <c r="C214" s="2" t="n"/>
      <c r="D214" s="2" t="n"/>
      <c r="E214" s="2" t="n"/>
      <c r="F214" s="2" t="n"/>
    </row>
    <row r="215" ht="15.75" customHeight="1" s="61">
      <c r="A215" s="2" t="n"/>
      <c r="B215" s="2" t="n"/>
      <c r="C215" s="2" t="n"/>
      <c r="D215" s="2" t="n"/>
      <c r="E215" s="2" t="n"/>
      <c r="F215" s="2" t="n"/>
    </row>
    <row r="216" ht="15.75" customHeight="1" s="61">
      <c r="A216" s="2" t="n"/>
      <c r="B216" s="2" t="n"/>
      <c r="C216" s="2" t="n"/>
      <c r="D216" s="2" t="n"/>
      <c r="E216" s="2" t="n"/>
      <c r="F216" s="2" t="n"/>
    </row>
    <row r="217" ht="15.75" customHeight="1" s="61">
      <c r="A217" s="2" t="n"/>
      <c r="B217" s="2" t="n"/>
      <c r="C217" s="2" t="n"/>
      <c r="D217" s="2" t="n"/>
      <c r="E217" s="2" t="n"/>
      <c r="F217" s="2" t="n"/>
    </row>
    <row r="218" ht="15.75" customHeight="1" s="61">
      <c r="A218" s="2" t="n"/>
      <c r="B218" s="2" t="n"/>
      <c r="C218" s="2" t="n"/>
      <c r="D218" s="2" t="n"/>
      <c r="E218" s="2" t="n"/>
      <c r="F218" s="2" t="n"/>
    </row>
    <row r="219" ht="15.75" customHeight="1" s="61">
      <c r="A219" s="2" t="n"/>
      <c r="B219" s="2" t="n"/>
      <c r="C219" s="2" t="n"/>
      <c r="D219" s="2" t="n"/>
      <c r="E219" s="2" t="n"/>
      <c r="F219" s="2" t="n"/>
    </row>
    <row r="220" ht="15.75" customHeight="1" s="61">
      <c r="A220" s="2" t="n"/>
      <c r="B220" s="2" t="n"/>
      <c r="C220" s="2" t="n"/>
      <c r="D220" s="2" t="n"/>
      <c r="E220" s="2" t="n"/>
      <c r="F220" s="2" t="n"/>
    </row>
    <row r="221" ht="15.75" customHeight="1" s="61">
      <c r="A221" s="2" t="n"/>
      <c r="B221" s="2" t="n"/>
      <c r="C221" s="2" t="n"/>
      <c r="D221" s="2" t="n"/>
      <c r="E221" s="2" t="n"/>
      <c r="F221" s="2" t="n"/>
    </row>
    <row r="222" ht="15.75" customHeight="1" s="61">
      <c r="A222" s="2" t="n"/>
      <c r="B222" s="2" t="n"/>
      <c r="C222" s="2" t="n"/>
      <c r="D222" s="2" t="n"/>
      <c r="E222" s="2" t="n"/>
      <c r="F222" s="2" t="n"/>
    </row>
    <row r="223" ht="15.75" customHeight="1" s="61">
      <c r="A223" s="2" t="n"/>
      <c r="B223" s="2" t="n"/>
      <c r="C223" s="2" t="n"/>
      <c r="D223" s="2" t="n"/>
      <c r="E223" s="2" t="n"/>
      <c r="F223" s="2" t="n"/>
    </row>
    <row r="224" ht="15.75" customHeight="1" s="61">
      <c r="A224" s="2" t="n"/>
      <c r="B224" s="2" t="n"/>
      <c r="C224" s="2" t="n"/>
      <c r="D224" s="2" t="n"/>
      <c r="E224" s="2" t="n"/>
      <c r="F224" s="2" t="n"/>
    </row>
    <row r="225" ht="15.75" customHeight="1" s="61">
      <c r="A225" s="2" t="n"/>
      <c r="B225" s="2" t="n"/>
      <c r="C225" s="2" t="n"/>
      <c r="D225" s="2" t="n"/>
      <c r="E225" s="2" t="n"/>
      <c r="F225" s="2" t="n"/>
    </row>
    <row r="226" ht="15.75" customHeight="1" s="61">
      <c r="A226" s="2" t="n"/>
      <c r="B226" s="2" t="n"/>
      <c r="C226" s="2" t="n"/>
      <c r="D226" s="2" t="n"/>
      <c r="E226" s="2" t="n"/>
      <c r="F226" s="2" t="n"/>
    </row>
    <row r="227" ht="15.75" customHeight="1" s="61">
      <c r="A227" s="2" t="n"/>
      <c r="B227" s="2" t="n"/>
      <c r="C227" s="2" t="n"/>
      <c r="D227" s="2" t="n"/>
      <c r="E227" s="2" t="n"/>
      <c r="F227" s="2" t="n"/>
    </row>
    <row r="228" ht="15.75" customHeight="1" s="61">
      <c r="A228" s="2" t="n"/>
      <c r="B228" s="2" t="n"/>
      <c r="C228" s="2" t="n"/>
      <c r="D228" s="2" t="n"/>
      <c r="E228" s="2" t="n"/>
      <c r="F228" s="2" t="n"/>
    </row>
    <row r="229" ht="15.75" customHeight="1" s="61">
      <c r="A229" s="2" t="n"/>
      <c r="B229" s="2" t="n"/>
      <c r="C229" s="2" t="n"/>
      <c r="D229" s="2" t="n"/>
      <c r="E229" s="2" t="n"/>
      <c r="F229" s="2" t="n"/>
    </row>
    <row r="230" ht="15.75" customHeight="1" s="61">
      <c r="A230" s="2" t="n"/>
      <c r="B230" s="2" t="n"/>
      <c r="C230" s="2" t="n"/>
      <c r="D230" s="2" t="n"/>
      <c r="E230" s="2" t="n"/>
      <c r="F230" s="2" t="n"/>
    </row>
    <row r="231" ht="15.75" customHeight="1" s="61">
      <c r="A231" s="2" t="n"/>
      <c r="B231" s="2" t="n"/>
      <c r="C231" s="2" t="n"/>
      <c r="D231" s="2" t="n"/>
      <c r="E231" s="2" t="n"/>
      <c r="F231" s="2" t="n"/>
    </row>
    <row r="232" ht="15.75" customHeight="1" s="61">
      <c r="A232" s="2" t="n"/>
      <c r="B232" s="2" t="n"/>
      <c r="C232" s="2" t="n"/>
      <c r="D232" s="2" t="n"/>
      <c r="E232" s="2" t="n"/>
      <c r="F232" s="2" t="n"/>
    </row>
    <row r="233" ht="15.75" customHeight="1" s="61">
      <c r="A233" s="2" t="n"/>
      <c r="B233" s="2" t="n"/>
      <c r="C233" s="2" t="n"/>
      <c r="D233" s="2" t="n"/>
      <c r="E233" s="2" t="n"/>
      <c r="F233" s="2" t="n"/>
    </row>
    <row r="234" ht="15.75" customHeight="1" s="61">
      <c r="A234" s="2" t="n"/>
      <c r="B234" s="2" t="n"/>
      <c r="C234" s="2" t="n"/>
      <c r="D234" s="2" t="n"/>
      <c r="E234" s="2" t="n"/>
      <c r="F234" s="2" t="n"/>
    </row>
    <row r="235" ht="15.75" customHeight="1" s="61">
      <c r="A235" s="2" t="n"/>
      <c r="B235" s="2" t="n"/>
      <c r="C235" s="2" t="n"/>
      <c r="D235" s="2" t="n"/>
      <c r="E235" s="2" t="n"/>
      <c r="F235" s="2" t="n"/>
    </row>
    <row r="236" ht="15.75" customHeight="1" s="61">
      <c r="A236" s="2" t="n"/>
      <c r="B236" s="2" t="n"/>
      <c r="C236" s="2" t="n"/>
      <c r="D236" s="2" t="n"/>
      <c r="E236" s="2" t="n"/>
      <c r="F236" s="2" t="n"/>
    </row>
    <row r="237" ht="15.75" customHeight="1" s="61">
      <c r="A237" s="2" t="n"/>
      <c r="B237" s="2" t="n"/>
      <c r="C237" s="2" t="n"/>
      <c r="D237" s="2" t="n"/>
      <c r="E237" s="2" t="n"/>
      <c r="F237" s="2" t="n"/>
    </row>
    <row r="238" ht="15.75" customHeight="1" s="61">
      <c r="A238" s="2" t="n"/>
      <c r="B238" s="2" t="n"/>
      <c r="C238" s="2" t="n"/>
      <c r="D238" s="2" t="n"/>
      <c r="E238" s="2" t="n"/>
      <c r="F238" s="2" t="n"/>
    </row>
    <row r="239" ht="15.75" customHeight="1" s="61">
      <c r="A239" s="2" t="n"/>
      <c r="B239" s="2" t="n"/>
      <c r="C239" s="2" t="n"/>
      <c r="D239" s="2" t="n"/>
      <c r="E239" s="2" t="n"/>
      <c r="F239" s="2" t="n"/>
    </row>
    <row r="240" ht="15.75" customHeight="1" s="61">
      <c r="A240" s="2" t="n"/>
      <c r="B240" s="2" t="n"/>
      <c r="C240" s="2" t="n"/>
      <c r="D240" s="2" t="n"/>
      <c r="E240" s="2" t="n"/>
      <c r="F240" s="2" t="n"/>
    </row>
    <row r="241" ht="15.75" customHeight="1" s="61">
      <c r="A241" s="2" t="n"/>
      <c r="B241" s="2" t="n"/>
      <c r="C241" s="2" t="n"/>
      <c r="D241" s="2" t="n"/>
      <c r="E241" s="2" t="n"/>
      <c r="F241" s="2" t="n"/>
    </row>
    <row r="242" ht="15.75" customHeight="1" s="61">
      <c r="A242" s="2" t="n"/>
      <c r="B242" s="2" t="n"/>
      <c r="C242" s="2" t="n"/>
      <c r="D242" s="2" t="n"/>
      <c r="E242" s="2" t="n"/>
      <c r="F242" s="2" t="n"/>
    </row>
    <row r="243" ht="15.75" customHeight="1" s="61">
      <c r="A243" s="2" t="n"/>
      <c r="B243" s="2" t="n"/>
      <c r="C243" s="2" t="n"/>
      <c r="D243" s="2" t="n"/>
      <c r="E243" s="2" t="n"/>
      <c r="F243" s="2" t="n"/>
    </row>
    <row r="244" ht="15.75" customHeight="1" s="61">
      <c r="A244" s="2" t="n"/>
      <c r="B244" s="2" t="n"/>
      <c r="C244" s="2" t="n"/>
      <c r="D244" s="2" t="n"/>
      <c r="E244" s="2" t="n"/>
      <c r="F244" s="2" t="n"/>
    </row>
    <row r="245" ht="15.75" customHeight="1" s="61">
      <c r="A245" s="2" t="n"/>
      <c r="B245" s="2" t="n"/>
      <c r="C245" s="2" t="n"/>
      <c r="D245" s="2" t="n"/>
      <c r="E245" s="2" t="n"/>
      <c r="F245" s="2" t="n"/>
    </row>
    <row r="246" ht="15.75" customHeight="1" s="61">
      <c r="A246" s="2" t="n"/>
      <c r="B246" s="2" t="n"/>
      <c r="C246" s="2" t="n"/>
      <c r="D246" s="2" t="n"/>
      <c r="E246" s="2" t="n"/>
      <c r="F246" s="2" t="n"/>
    </row>
    <row r="247" ht="15.75" customHeight="1" s="61">
      <c r="A247" s="2" t="n"/>
      <c r="B247" s="2" t="n"/>
      <c r="C247" s="2" t="n"/>
      <c r="D247" s="2" t="n"/>
      <c r="E247" s="2" t="n"/>
      <c r="F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  <row r="1001" ht="15.75" customHeight="1" s="61">
      <c r="A1001" s="10" t="inlineStr">
        <is>
          <t>2026-08-12</t>
        </is>
      </c>
      <c r="B1001" s="10" t="inlineStr">
        <is>
          <t>DEPOSIT</t>
        </is>
      </c>
      <c r="C1001" s="10" t="n">
        <v>10000</v>
      </c>
      <c r="D1001" s="10" t="inlineStr">
        <is>
          <t>Zerodha funds addition</t>
        </is>
      </c>
      <c r="E1001" s="2" t="n"/>
      <c r="F1001" s="2" t="n"/>
    </row>
    <row r="1002" ht="15.75" customHeight="1" s="61">
      <c r="A1002" s="10" t="inlineStr">
        <is>
          <t>2026-08-12</t>
        </is>
      </c>
      <c r="B1002" s="10" t="inlineStr">
        <is>
          <t>WITHDRAWAL</t>
        </is>
      </c>
      <c r="C1002" s="12" t="n">
        <v>18.01</v>
      </c>
      <c r="D1002" s="10" t="inlineStr">
        <is>
          <t>Brokerage &amp; taxes on BEL SELL (5 qty @ 399.40)</t>
        </is>
      </c>
      <c r="E1002" s="2" t="n"/>
      <c r="F1002" s="2" t="n"/>
    </row>
    <row r="1003" ht="15.75" customHeight="1" s="61">
      <c r="A1003" s="10" t="inlineStr">
        <is>
          <t>2026-08-12</t>
        </is>
      </c>
      <c r="B1003" s="10" t="inlineStr">
        <is>
          <t>WITHDRAWAL</t>
        </is>
      </c>
      <c r="C1003" s="12" t="n">
        <v>17.1</v>
      </c>
      <c r="D1003" s="10" t="inlineStr">
        <is>
          <t>Brokerage &amp; taxes on BERGEPAINT SELL (2 qty @ 561.20)</t>
        </is>
      </c>
      <c r="E1003" s="2" t="n"/>
      <c r="F1003" s="2" t="n"/>
    </row>
    <row r="1004" ht="15.75" customHeight="1" s="61">
      <c r="A1004" s="10" t="inlineStr">
        <is>
          <t>2026-08-12</t>
        </is>
      </c>
      <c r="B1004" s="10" t="inlineStr">
        <is>
          <t>WITHDRAWAL</t>
        </is>
      </c>
      <c r="C1004" s="12" t="n">
        <v>16.42</v>
      </c>
      <c r="D1004" s="10" t="inlineStr">
        <is>
          <t>Brokerage &amp; taxes on ADVANCE SELL (4 qty @ 118.24)</t>
        </is>
      </c>
      <c r="E1004" s="2" t="n"/>
      <c r="F1004" s="2" t="n"/>
    </row>
    <row r="1005" ht="15.75" customHeight="1" s="61">
      <c r="A1005" s="10" t="inlineStr">
        <is>
          <t>2026-08-13</t>
        </is>
      </c>
      <c r="B1005" s="10" t="inlineStr">
        <is>
          <t>WITHDRAWAL</t>
        </is>
      </c>
      <c r="C1005" s="12" t="n">
        <v>17.25</v>
      </c>
      <c r="D1005" s="10" t="inlineStr">
        <is>
          <t>Brokerage &amp; taxes on JSWSTEEL SELL (1 qty @ 1269.10)</t>
        </is>
      </c>
      <c r="E1005" s="2" t="n"/>
      <c r="F1005" s="2" t="n"/>
    </row>
    <row r="1006" ht="15.75" customHeight="1" s="61">
      <c r="A1006" s="10" t="inlineStr">
        <is>
          <t>2026-08-13</t>
        </is>
      </c>
      <c r="B1006" s="10" t="inlineStr">
        <is>
          <t>WITHDRAWAL</t>
        </is>
      </c>
      <c r="C1006" s="12" t="n">
        <v>2.1</v>
      </c>
      <c r="D1006" s="10" t="inlineStr">
        <is>
          <t>Brokerage &amp; taxes on MRPL BUY (10 qty @ 174.70)</t>
        </is>
      </c>
      <c r="E1006" s="2" t="n"/>
      <c r="F1006" s="2" t="n"/>
    </row>
    <row r="1007" ht="15.75" customHeight="1" s="61">
      <c r="A1007" s="10" t="inlineStr">
        <is>
          <t>2026-08-13</t>
        </is>
      </c>
      <c r="B1007" s="10" t="inlineStr">
        <is>
          <t>WITHDRAWAL</t>
        </is>
      </c>
      <c r="C1007" s="12" t="n">
        <v>2.9</v>
      </c>
      <c r="D1007" s="10" t="inlineStr">
        <is>
          <t>Brokerage &amp; taxes on LENSKART BUY (4 qty @ 605.00)</t>
        </is>
      </c>
      <c r="E1007" s="2" t="n"/>
      <c r="F1007" s="2" t="n"/>
    </row>
    <row r="1008" ht="15.75" customHeight="1" s="61">
      <c r="A1008" s="10" t="inlineStr">
        <is>
          <t>2026-08-13</t>
        </is>
      </c>
      <c r="B1008" s="10" t="inlineStr">
        <is>
          <t>WITHDRAWAL</t>
        </is>
      </c>
      <c r="C1008" s="12" t="n">
        <v>2.57</v>
      </c>
      <c r="D1008" s="10" t="inlineStr">
        <is>
          <t>Brokerage &amp; taxes on AARTIIND BUY (4 qty @ 536.00)</t>
        </is>
      </c>
      <c r="E1008" s="2" t="n"/>
      <c r="F1008" s="2" t="n"/>
    </row>
    <row r="1009" ht="15.75" customHeight="1" s="61">
      <c r="A1009" s="10" t="inlineStr">
        <is>
          <t>2026-08-13</t>
        </is>
      </c>
      <c r="B1009" s="10" t="inlineStr">
        <is>
          <t>WITHDRAWAL</t>
        </is>
      </c>
      <c r="C1009" s="12" t="n">
        <v>2.27</v>
      </c>
      <c r="D1009" s="10" t="inlineStr">
        <is>
          <t>Brokerage &amp; taxes on OIL BUY (4 qty @ 473.00)</t>
        </is>
      </c>
      <c r="E1009" s="2" t="n"/>
      <c r="F1009" s="2" t="n"/>
    </row>
    <row r="1010" ht="15.75" customHeight="1" s="61">
      <c r="A1010" s="10" t="inlineStr">
        <is>
          <t>2026-08-13</t>
        </is>
      </c>
      <c r="B1010" s="10" t="inlineStr">
        <is>
          <t>WITHDRAWAL</t>
        </is>
      </c>
      <c r="C1010" s="12" t="n">
        <v>3.42</v>
      </c>
      <c r="D1010" s="10" t="inlineStr">
        <is>
          <t>Brokerage &amp; taxes on SCHNEIDER BUY (2 qty @ 1425.00)</t>
        </is>
      </c>
      <c r="E1010" s="2" t="n"/>
      <c r="F1010" s="2" t="n"/>
    </row>
    <row r="1011" ht="15.75" customHeight="1" s="61">
      <c r="A1011" s="10" t="inlineStr">
        <is>
          <t>2026-08-13</t>
        </is>
      </c>
      <c r="B1011" s="10" t="inlineStr">
        <is>
          <t>WITHDRAWAL</t>
        </is>
      </c>
      <c r="C1011" s="12" t="n">
        <v>17.63</v>
      </c>
      <c r="D1011" s="10" t="inlineStr">
        <is>
          <t>Brokerage &amp; taxes on TECHM SELL (1 qty @ 1634.70)</t>
        </is>
      </c>
      <c r="E1011" s="2" t="n"/>
      <c r="F1011" s="2" t="n"/>
    </row>
    <row r="1012" ht="15.75" customHeight="1" s="61">
      <c r="A1012" s="10" t="inlineStr">
        <is>
          <t>2026-08-14</t>
        </is>
      </c>
      <c r="B1012" s="10" t="inlineStr">
        <is>
          <t>WITHDRAWAL</t>
        </is>
      </c>
      <c r="C1012" s="12" t="n">
        <v>18.84</v>
      </c>
      <c r="D1012" s="10" t="inlineStr">
        <is>
          <t>Brokerage &amp; taxes on SCHNEIDER SELL (2 qty @ 1401.00)</t>
        </is>
      </c>
      <c r="E1012" s="2" t="n"/>
      <c r="F1012" s="2" t="n"/>
    </row>
    <row r="1013" ht="15.75" customHeight="1" s="61">
      <c r="A1013" s="10" t="inlineStr">
        <is>
          <t>2026-08-14</t>
        </is>
      </c>
      <c r="B1013" s="10" t="inlineStr">
        <is>
          <t>WITHDRAWAL</t>
        </is>
      </c>
      <c r="C1013" s="12" t="n">
        <v>16.49</v>
      </c>
      <c r="D1013" s="10" t="inlineStr">
        <is>
          <t>Brokerage &amp; taxes on AARTIIND SELL (1 qty @ 539.25)</t>
        </is>
      </c>
      <c r="E1013" s="2" t="n"/>
      <c r="F1013" s="2" t="n"/>
    </row>
    <row r="1014" ht="15.75" customHeight="1" s="61">
      <c r="A1014" s="10" t="inlineStr">
        <is>
          <t>2026-08-14</t>
        </is>
      </c>
      <c r="B1014" s="10" t="inlineStr">
        <is>
          <t>WITHDRAWAL</t>
        </is>
      </c>
      <c r="C1014" s="12" t="n">
        <v>17.61</v>
      </c>
      <c r="D1014" s="10" t="inlineStr">
        <is>
          <t>Brokerage &amp; taxes on AARTIIND SELL (3 qty @ 537.55)</t>
        </is>
      </c>
      <c r="E1014" s="2" t="n"/>
      <c r="F1014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3" t="inlineStr">
        <is>
          <t>Timestamp</t>
        </is>
      </c>
      <c r="B1" s="53" t="inlineStr">
        <is>
          <t>Level</t>
        </is>
      </c>
      <c r="C1" s="53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0" t="inlineStr">
        <is>
          <t>2026-07-21 12:48:41</t>
        </is>
      </c>
      <c r="B2" s="10" t="inlineStr">
        <is>
          <t>INFO</t>
        </is>
      </c>
      <c r="C2" s="10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0" t="inlineStr">
        <is>
          <t>2026-07-21 12:48:42</t>
        </is>
      </c>
      <c r="B3" s="10" t="inlineStr">
        <is>
          <t>INFO</t>
        </is>
      </c>
      <c r="C3" s="10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0" t="inlineStr">
        <is>
          <t>2026-07-21 12:48:42</t>
        </is>
      </c>
      <c r="B4" s="10" t="inlineStr">
        <is>
          <t>INFO</t>
        </is>
      </c>
      <c r="C4" s="10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0" t="inlineStr">
        <is>
          <t>2026-07-21 15:33:36</t>
        </is>
      </c>
      <c r="B5" s="10" t="inlineStr">
        <is>
          <t>INFO</t>
        </is>
      </c>
      <c r="C5" s="10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0" t="inlineStr">
        <is>
          <t>2026-07-21 15:33:37</t>
        </is>
      </c>
      <c r="B6" s="10" t="inlineStr">
        <is>
          <t>INFO</t>
        </is>
      </c>
      <c r="C6" s="10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0" t="inlineStr">
        <is>
          <t>2026-07-21 15:33:38</t>
        </is>
      </c>
      <c r="B7" s="10" t="inlineStr">
        <is>
          <t>INFO</t>
        </is>
      </c>
      <c r="C7" s="10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0" t="inlineStr">
        <is>
          <t>2026-07-22 11:27:23</t>
        </is>
      </c>
      <c r="B8" s="10" t="inlineStr">
        <is>
          <t>INFO</t>
        </is>
      </c>
      <c r="C8" s="10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0" t="inlineStr">
        <is>
          <t>2026-07-22 11:27:25</t>
        </is>
      </c>
      <c r="B9" s="10" t="inlineStr">
        <is>
          <t>INFO</t>
        </is>
      </c>
      <c r="C9" s="10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0" t="inlineStr">
        <is>
          <t>2026-07-22 11:28:22</t>
        </is>
      </c>
      <c r="B10" s="10" t="inlineStr">
        <is>
          <t>INFO</t>
        </is>
      </c>
      <c r="C10" s="10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0" t="inlineStr">
        <is>
          <t>2026-07-22 11:28:24</t>
        </is>
      </c>
      <c r="B11" s="10" t="inlineStr">
        <is>
          <t>INFO</t>
        </is>
      </c>
      <c r="C11" s="10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4" t="inlineStr">
        <is>
          <t>2026-07-28 09:08:00</t>
        </is>
      </c>
      <c r="B14" s="54" t="inlineStr">
        <is>
          <t>ADVISORY</t>
        </is>
      </c>
      <c r="C14" s="55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</row>
    <row r="222" ht="15.75" customHeight="1" s="61">
      <c r="A222" s="2" t="n"/>
      <c r="B222" s="2" t="n"/>
      <c r="C222" s="2" t="n"/>
      <c r="D222" s="2" t="n"/>
      <c r="E222" s="2" t="n"/>
      <c r="F222" s="2" t="n"/>
    </row>
    <row r="223" ht="15.75" customHeight="1" s="61">
      <c r="A223" s="2" t="n"/>
      <c r="B223" s="2" t="n"/>
      <c r="C223" s="2" t="n"/>
      <c r="D223" s="2" t="n"/>
      <c r="E223" s="2" t="n"/>
      <c r="F223" s="2" t="n"/>
    </row>
    <row r="224" ht="15.75" customHeight="1" s="61">
      <c r="A224" s="2" t="n"/>
      <c r="B224" s="2" t="n"/>
      <c r="C224" s="2" t="n"/>
      <c r="D224" s="2" t="n"/>
      <c r="E224" s="2" t="n"/>
      <c r="F224" s="2" t="n"/>
    </row>
    <row r="225" ht="15.75" customHeight="1" s="61">
      <c r="A225" s="2" t="n"/>
      <c r="B225" s="2" t="n"/>
      <c r="C225" s="2" t="n"/>
      <c r="D225" s="2" t="n"/>
      <c r="E225" s="2" t="n"/>
      <c r="F225" s="2" t="n"/>
    </row>
    <row r="226" ht="15.75" customHeight="1" s="61">
      <c r="A226" s="2" t="n"/>
      <c r="B226" s="2" t="n"/>
      <c r="C226" s="2" t="n"/>
      <c r="D226" s="2" t="n"/>
      <c r="E226" s="2" t="n"/>
      <c r="F226" s="2" t="n"/>
    </row>
    <row r="227" ht="15.75" customHeight="1" s="61">
      <c r="A227" s="2" t="n"/>
      <c r="B227" s="2" t="n"/>
      <c r="C227" s="2" t="n"/>
      <c r="D227" s="2" t="n"/>
      <c r="E227" s="2" t="n"/>
      <c r="F227" s="2" t="n"/>
    </row>
    <row r="228" ht="15.75" customHeight="1" s="61">
      <c r="A228" s="2" t="n"/>
      <c r="B228" s="2" t="n"/>
      <c r="C228" s="2" t="n"/>
      <c r="D228" s="2" t="n"/>
      <c r="E228" s="2" t="n"/>
      <c r="F228" s="2" t="n"/>
    </row>
    <row r="229" ht="15.75" customHeight="1" s="61">
      <c r="A229" s="2" t="n"/>
      <c r="B229" s="2" t="n"/>
      <c r="C229" s="2" t="n"/>
      <c r="D229" s="2" t="n"/>
      <c r="E229" s="2" t="n"/>
      <c r="F229" s="2" t="n"/>
    </row>
    <row r="230" ht="15.75" customHeight="1" s="61">
      <c r="A230" s="2" t="n"/>
      <c r="B230" s="2" t="n"/>
      <c r="C230" s="2" t="n"/>
      <c r="D230" s="2" t="n"/>
      <c r="E230" s="2" t="n"/>
      <c r="F230" s="2" t="n"/>
    </row>
    <row r="231" ht="15.75" customHeight="1" s="61">
      <c r="A231" s="2" t="n"/>
      <c r="B231" s="2" t="n"/>
      <c r="C231" s="2" t="n"/>
      <c r="D231" s="2" t="n"/>
      <c r="E231" s="2" t="n"/>
      <c r="F231" s="2" t="n"/>
    </row>
    <row r="232" ht="15.75" customHeight="1" s="61">
      <c r="A232" s="2" t="n"/>
      <c r="B232" s="2" t="n"/>
      <c r="C232" s="2" t="n"/>
      <c r="D232" s="2" t="n"/>
      <c r="E232" s="2" t="n"/>
      <c r="F232" s="2" t="n"/>
    </row>
    <row r="233" ht="15.75" customHeight="1" s="61">
      <c r="A233" s="2" t="n"/>
      <c r="B233" s="2" t="n"/>
      <c r="C233" s="2" t="n"/>
      <c r="D233" s="2" t="n"/>
      <c r="E233" s="2" t="n"/>
      <c r="F233" s="2" t="n"/>
    </row>
    <row r="234" ht="15.75" customHeight="1" s="61">
      <c r="A234" s="2" t="n"/>
      <c r="B234" s="2" t="n"/>
      <c r="C234" s="2" t="n"/>
      <c r="D234" s="2" t="n"/>
      <c r="E234" s="2" t="n"/>
      <c r="F234" s="2" t="n"/>
    </row>
    <row r="235" ht="15.75" customHeight="1" s="61">
      <c r="A235" s="2" t="n"/>
      <c r="B235" s="2" t="n"/>
      <c r="C235" s="2" t="n"/>
      <c r="D235" s="2" t="n"/>
      <c r="E235" s="2" t="n"/>
      <c r="F235" s="2" t="n"/>
    </row>
    <row r="236" ht="15.75" customHeight="1" s="61">
      <c r="A236" s="2" t="n"/>
      <c r="B236" s="2" t="n"/>
      <c r="C236" s="2" t="n"/>
      <c r="D236" s="2" t="n"/>
      <c r="E236" s="2" t="n"/>
      <c r="F236" s="2" t="n"/>
    </row>
    <row r="237" ht="15.75" customHeight="1" s="61">
      <c r="A237" s="2" t="n"/>
      <c r="B237" s="2" t="n"/>
      <c r="C237" s="2" t="n"/>
      <c r="D237" s="2" t="n"/>
      <c r="E237" s="2" t="n"/>
      <c r="F237" s="2" t="n"/>
    </row>
    <row r="238" ht="15.75" customHeight="1" s="61">
      <c r="A238" s="2" t="n"/>
      <c r="B238" s="2" t="n"/>
      <c r="C238" s="2" t="n"/>
      <c r="D238" s="2" t="n"/>
      <c r="E238" s="2" t="n"/>
      <c r="F238" s="2" t="n"/>
    </row>
    <row r="239" ht="15.75" customHeight="1" s="61">
      <c r="A239" s="2" t="n"/>
      <c r="B239" s="2" t="n"/>
      <c r="C239" s="2" t="n"/>
      <c r="D239" s="2" t="n"/>
      <c r="E239" s="2" t="n"/>
      <c r="F239" s="2" t="n"/>
    </row>
    <row r="240" ht="15.75" customHeight="1" s="61">
      <c r="A240" s="2" t="n"/>
      <c r="B240" s="2" t="n"/>
      <c r="C240" s="2" t="n"/>
      <c r="D240" s="2" t="n"/>
      <c r="E240" s="2" t="n"/>
      <c r="F240" s="2" t="n"/>
    </row>
    <row r="241" ht="15.75" customHeight="1" s="61">
      <c r="A241" s="2" t="n"/>
      <c r="B241" s="2" t="n"/>
      <c r="C241" s="2" t="n"/>
      <c r="D241" s="2" t="n"/>
      <c r="E241" s="2" t="n"/>
      <c r="F241" s="2" t="n"/>
    </row>
    <row r="242" ht="15.75" customHeight="1" s="61">
      <c r="A242" s="2" t="n"/>
      <c r="B242" s="2" t="n"/>
      <c r="C242" s="2" t="n"/>
      <c r="D242" s="2" t="n"/>
      <c r="E242" s="2" t="n"/>
      <c r="F242" s="2" t="n"/>
    </row>
    <row r="243" ht="15.75" customHeight="1" s="61">
      <c r="A243" s="2" t="n"/>
      <c r="B243" s="2" t="n"/>
      <c r="C243" s="2" t="n"/>
      <c r="D243" s="2" t="n"/>
      <c r="E243" s="2" t="n"/>
      <c r="F243" s="2" t="n"/>
    </row>
    <row r="244" ht="15.75" customHeight="1" s="61">
      <c r="A244" s="2" t="n"/>
      <c r="B244" s="2" t="n"/>
      <c r="C244" s="2" t="n"/>
      <c r="D244" s="2" t="n"/>
      <c r="E244" s="2" t="n"/>
      <c r="F244" s="2" t="n"/>
    </row>
    <row r="245" ht="15.75" customHeight="1" s="61">
      <c r="A245" s="2" t="n"/>
      <c r="B245" s="2" t="n"/>
      <c r="C245" s="2" t="n"/>
      <c r="D245" s="2" t="n"/>
      <c r="E245" s="2" t="n"/>
      <c r="F245" s="2" t="n"/>
    </row>
    <row r="246" ht="15.75" customHeight="1" s="61">
      <c r="A246" s="2" t="n"/>
      <c r="B246" s="2" t="n"/>
      <c r="C246" s="2" t="n"/>
      <c r="D246" s="2" t="n"/>
      <c r="E246" s="2" t="n"/>
      <c r="F246" s="2" t="n"/>
    </row>
    <row r="247" ht="15.75" customHeight="1" s="61">
      <c r="A247" s="2" t="n"/>
      <c r="B247" s="2" t="n"/>
      <c r="C247" s="2" t="n"/>
      <c r="D247" s="2" t="n"/>
      <c r="E247" s="2" t="n"/>
      <c r="F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2026-08-14T02:41:26Z</dcterms:modified>
</cp:coreProperties>
</file>