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2026-08-12 10:10:21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1280.5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1644.900024414062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85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547.5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86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122.4599990844727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218.1300048828125</v>
      </c>
      <c r="H8" s="81">
        <f>E8*G8</f>
        <v/>
      </c>
      <c r="I8" s="87">
        <f>H8-(E8*F8)</f>
        <v/>
      </c>
      <c r="J8" s="88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AEROENTER</t>
        </is>
      </c>
      <c r="E9" s="80" t="n">
        <v>8</v>
      </c>
      <c r="F9" s="81" t="n">
        <v>132.01</v>
      </c>
      <c r="G9" s="81" t="n">
        <v>131.3399963378906</v>
      </c>
      <c r="H9" s="81">
        <f>E9*G9</f>
        <v/>
      </c>
      <c r="I9" s="87">
        <f>H9-(E9*F9)</f>
        <v/>
      </c>
      <c r="J9" s="88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HARSHA</t>
        </is>
      </c>
      <c r="E10" s="80" t="n">
        <v>3</v>
      </c>
      <c r="F10" s="81" t="n">
        <v>432.6</v>
      </c>
      <c r="G10" s="81" t="n">
        <v>405.5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BEL</t>
        </is>
      </c>
      <c r="E11" s="80" t="n">
        <v>5</v>
      </c>
      <c r="F11" s="81" t="n">
        <v>405.85</v>
      </c>
      <c r="G11" s="81" t="n">
        <v>401.3500061035156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100" t="n">
        <v>14869.48007202148</v>
      </c>
      <c r="C12" s="77" t="n"/>
      <c r="D12" s="79" t="inlineStr">
        <is>
          <t>BEL</t>
        </is>
      </c>
      <c r="E12" s="80" t="n">
        <v>5</v>
      </c>
      <c r="F12" s="81" t="n">
        <v>405.85</v>
      </c>
      <c r="G12" s="81" t="n">
        <v>401.3500061035156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 t="n">
        <v>7394.6</v>
      </c>
      <c r="C13" s="77" t="n"/>
      <c r="D13" s="79" t="inlineStr">
        <is>
          <t>CLEAN</t>
        </is>
      </c>
      <c r="E13" s="80" t="n">
        <v>4</v>
      </c>
      <c r="F13" s="81" t="n">
        <v>806.25</v>
      </c>
      <c r="G13" s="81" t="n">
        <v>801.5</v>
      </c>
      <c r="H13" s="81">
        <f>E13*G13</f>
        <v/>
      </c>
      <c r="I13" s="87">
        <f>H13-(E13*F13)</f>
        <v/>
      </c>
      <c r="J13" s="88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4.863636363636363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2.2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5.705882352941177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3" t="inlineStr">
        <is>
          <t>SAPPHIRE</t>
        </is>
      </c>
      <c r="B16" s="73" t="inlineStr">
        <is>
          <t>SAPPHIRE</t>
        </is>
      </c>
      <c r="C16" s="73" t="inlineStr">
        <is>
          <t>2026-08-06</t>
        </is>
      </c>
      <c r="D16" s="73" t="n">
        <v>4</v>
      </c>
      <c r="E16" s="72" t="n">
        <v>202.5</v>
      </c>
      <c r="F16" s="72" t="n">
        <v>202.5</v>
      </c>
      <c r="G16" s="72" t="n">
        <v>0</v>
      </c>
      <c r="H16" s="72" t="n">
        <v>238.85</v>
      </c>
      <c r="I16" s="72" t="n">
        <v>184.35</v>
      </c>
      <c r="J16" s="73" t="inlineStr">
        <is>
          <t>1:2.0</t>
        </is>
      </c>
      <c r="K16" s="73" t="inlineStr">
        <is>
          <t>2026-08-12</t>
        </is>
      </c>
      <c r="L16" s="72" t="n">
        <v>236.75</v>
      </c>
      <c r="M16" s="72">
        <f>IF(OR(N17="WIN", N17="LOSS"), (L17-E17)*D17, 0)</f>
        <v/>
      </c>
      <c r="N16" s="73" t="inlineStr">
        <is>
          <t>WIN</t>
        </is>
      </c>
      <c r="O16" s="73" t="inlineStr">
        <is>
          <t>Swing AMO placement. GTT Trigger: 330580530 | Auto-synced sell from Zerodha account</t>
        </is>
      </c>
      <c r="P16" s="73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76" t="inlineStr">
        <is>
          <t>CONFIPET</t>
        </is>
      </c>
      <c r="B20" s="76" t="inlineStr">
        <is>
          <t>Confidence Petroleum India Limited</t>
        </is>
      </c>
      <c r="C20" s="76" t="inlineStr">
        <is>
          <t>2026-08-11</t>
        </is>
      </c>
      <c r="D20" s="76" t="n">
        <v>10</v>
      </c>
      <c r="E20" s="75" t="n">
        <v>82.73999999999999</v>
      </c>
      <c r="F20" s="75" t="n">
        <v>82.73999999999999</v>
      </c>
      <c r="G20" s="75" t="n">
        <v>0</v>
      </c>
      <c r="H20" s="75" t="n">
        <v>99.31</v>
      </c>
      <c r="I20" s="75" t="n">
        <v>74.45</v>
      </c>
      <c r="J20" s="76" t="inlineStr">
        <is>
          <t>1:2.0</t>
        </is>
      </c>
      <c r="K20" s="76" t="inlineStr">
        <is>
          <t>2026-08-12</t>
        </is>
      </c>
      <c r="L20" s="75" t="n">
        <v>74.45</v>
      </c>
      <c r="M20" s="75">
        <f>IF(OR(N20="WIN", N20="LOSS"), (L20-E20)*D20, 0)</f>
        <v/>
      </c>
      <c r="N20" s="76" t="inlineStr">
        <is>
          <t>LOSS</t>
        </is>
      </c>
      <c r="O20" s="76" t="inlineStr">
        <is>
          <t>AMO Swing Trade. GTT Trigger: 10002 | Auto-synced sell from Zerodha account</t>
        </is>
      </c>
      <c r="P20" s="76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BEL</t>
        </is>
      </c>
      <c r="B22" s="4" t="inlineStr">
        <is>
          <t>BEL</t>
        </is>
      </c>
      <c r="C22" s="4" t="inlineStr">
        <is>
          <t>2026-08-12</t>
        </is>
      </c>
      <c r="D22" s="4" t="n">
        <v>5</v>
      </c>
      <c r="E22" s="6" t="n">
        <v>405.85</v>
      </c>
      <c r="F22" s="6" t="n">
        <v>401.3500061035156</v>
      </c>
      <c r="G22" s="6" t="n">
        <v>4.499993896484398</v>
      </c>
      <c r="H22" s="6" t="n">
        <v>429.2642865862165</v>
      </c>
      <c r="I22" s="6" t="n">
        <v>387.3928658621652</v>
      </c>
      <c r="J22" s="4" t="inlineStr">
        <is>
          <t>1:1.3</t>
        </is>
      </c>
      <c r="K22" s="4" t="inlineStr"/>
      <c r="L22" s="4" t="inlineStr"/>
      <c r="M22" s="6">
        <f>IF(OR(N22="WIN", N22="LOSS"), (L22-E22)*D22,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CLEAN</t>
        </is>
      </c>
      <c r="B23" s="4" t="inlineStr">
        <is>
          <t>CLEAN</t>
        </is>
      </c>
      <c r="C23" s="4" t="inlineStr">
        <is>
          <t>2026-08-12</t>
        </is>
      </c>
      <c r="D23" s="4" t="n">
        <v>4</v>
      </c>
      <c r="E23" s="6" t="n">
        <v>806.25</v>
      </c>
      <c r="F23" s="6" t="n">
        <v>802</v>
      </c>
      <c r="G23" s="6" t="n">
        <v>4.25</v>
      </c>
      <c r="H23" s="6" t="n">
        <v>896.2857142857143</v>
      </c>
      <c r="I23" s="6" t="n">
        <v>754.8571428571429</v>
      </c>
      <c r="J23" s="4" t="inlineStr">
        <is>
          <t>1:1.8</t>
        </is>
      </c>
      <c r="K23" s="4" t="inlineStr"/>
      <c r="L23" s="4" t="inlineStr"/>
      <c r="M23" s="6">
        <f>IF(OR(N23="WIN", N23="LOSS"), (L23-E23)*D23, 0)</f>
        <v/>
      </c>
      <c r="N23" s="4" t="inlineStr">
        <is>
          <t>OPEN</t>
        </is>
      </c>
      <c r="O23" s="4" t="inlineStr">
        <is>
          <t>Auto-synced from Zerodha account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inlineStr">
        <is>
          <t>2026-08-12</t>
        </is>
      </c>
      <c r="B33" s="4" t="inlineStr">
        <is>
          <t>WITHDRAWAL</t>
        </is>
      </c>
      <c r="C33" s="6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57">
      <c r="A34" s="4" t="inlineStr">
        <is>
          <t>2026-08-12</t>
        </is>
      </c>
      <c r="B34" s="4" t="inlineStr">
        <is>
          <t>WITHDRAWAL</t>
        </is>
      </c>
      <c r="C34" s="6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57">
      <c r="A35" s="4" t="inlineStr">
        <is>
          <t>2026-08-12</t>
        </is>
      </c>
      <c r="B35" s="4" t="inlineStr">
        <is>
          <t>WITHDRAWAL</t>
        </is>
      </c>
      <c r="C35" s="6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173.7399999999998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2026-08-12T04:40:21Z</dcterms:modified>
</cp:coreProperties>
</file>