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</fills>
  <borders count="13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9" borderId="5" applyAlignment="1" pivotButton="0" quotePrefix="0" xfId="0">
      <alignment horizontal="center" vertical="center"/>
    </xf>
    <xf numFmtId="0" fontId="18" fillId="10" borderId="5" pivotButton="0" quotePrefix="0" xfId="0"/>
    <xf numFmtId="164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8" fillId="10" borderId="0" pivotButton="0" quotePrefix="0" xfId="0"/>
    <xf numFmtId="0" fontId="17" fillId="11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64" fontId="20" fillId="0" borderId="8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8" t="n"/>
      <c r="D43" s="29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8" t="n"/>
      <c r="D44" s="29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8" t="n"/>
      <c r="D45" s="29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8" t="n"/>
      <c r="D46" s="29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8" t="n"/>
      <c r="D47" s="29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30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31" t="inlineStr">
        <is>
          <t>Metric</t>
        </is>
      </c>
      <c r="B3" s="31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2" t="inlineStr">
        <is>
          <t>Total Net Capital Deposited</t>
        </is>
      </c>
      <c r="B4" s="33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2" t="inlineStr">
        <is>
          <t>Lifetime Realized PnL</t>
        </is>
      </c>
      <c r="B5" s="33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2" t="inlineStr">
        <is>
          <t>Current Total Portfolio Value</t>
        </is>
      </c>
      <c r="B6" s="33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2" t="inlineStr">
        <is>
          <t>Capital Deployed in Open Trades</t>
        </is>
      </c>
      <c r="B7" s="33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2" t="inlineStr">
        <is>
          <t>Capital Available for Trading</t>
        </is>
      </c>
      <c r="B8" s="33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2" t="inlineStr">
        <is>
          <t>Win Rate</t>
        </is>
      </c>
      <c r="B9" s="34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2" t="inlineStr">
        <is>
          <t>Total Completed Trades</t>
        </is>
      </c>
      <c r="B10" s="35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2" t="inlineStr">
        <is>
          <t>Active Open Positions</t>
        </is>
      </c>
      <c r="B11" s="35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6" t="inlineStr">
        <is>
          <t>Win Trades</t>
        </is>
      </c>
      <c r="B12" s="35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6" t="inlineStr">
        <is>
          <t>Loss Trades</t>
        </is>
      </c>
      <c r="B13" s="35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IF(OR(N2='WIN', N2='LOSS'), (L2-E2)*D2, 0)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IF(OR(N3='WIN', N3='LOSS'), (L3-E3)*D3, 0)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IF(OR(N4='WIN', N4='LOSS'), (L4-E4)*D4, 0)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IF(OR(N5='WIN', N5='LOSS'), (L5-E5)*D5, 0)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1" t="inlineStr">
        <is>
          <t>JSWSTEEL</t>
        </is>
      </c>
      <c r="B6" s="41" t="inlineStr">
        <is>
          <t>JSW Steel Limited</t>
        </is>
      </c>
      <c r="C6" s="41" t="inlineStr">
        <is>
          <t>2026-07-22</t>
        </is>
      </c>
      <c r="D6" s="42" t="n">
        <v>1</v>
      </c>
      <c r="E6" s="43" t="n">
        <v>1265.1</v>
      </c>
      <c r="F6" s="43" t="n">
        <v>1265.1</v>
      </c>
      <c r="G6" s="43" t="n">
        <v>0</v>
      </c>
      <c r="H6" s="43" t="n">
        <v>1368.16</v>
      </c>
      <c r="I6" s="43" t="n">
        <v>1217.31</v>
      </c>
      <c r="J6" s="41" t="inlineStr">
        <is>
          <t>1:2.1</t>
        </is>
      </c>
      <c r="K6" s="42" t="n"/>
      <c r="L6" s="43" t="n"/>
      <c r="M6" s="43">
        <f>IF(OR(N6='WIN', N6='LOSS'), (L6-E6)*D6, 0)</f>
        <v/>
      </c>
      <c r="N6" s="41" t="inlineStr">
        <is>
          <t>OPEN</t>
        </is>
      </c>
      <c r="O6" s="44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>
        <f>IF(OR(N7='WIN', N7='LOSS'), (L7-E7)*D7, 0)</f>
        <v/>
      </c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>
        <f>IF(OR(N8='WIN', N8='LOSS'), (L8-E8)*D8, 0)</f>
        <v/>
      </c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>
        <f>IF(OR(N9='WIN', N9='LOSS'), (L9-E9)*D9, 0)</f>
        <v/>
      </c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>
        <f>IF(OR(N10='WIN', N10='LOSS'), (L10-E10)*D10, 0)</f>
        <v/>
      </c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>
        <f>IF(OR(N11='WIN', N11='LOSS'), (L11-E11)*D11, 0)</f>
        <v/>
      </c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>
        <f>IF(OR(N12='WIN', N12='LOSS'), (L12-E12)*D12, 0)</f>
        <v/>
      </c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>
        <f>IF(OR(N13='WIN', N13='LOSS'), (L13-E13)*D13, 0)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>
        <f>IF(OR(N14='WIN', N14='LOSS'), (L14-E14)*D14, 0)</f>
        <v/>
      </c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>
        <f>IF(OR(N15='WIN', N15='LOSS'), (L15-E15)*D15, 0)</f>
        <v/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>
        <f>IF(OR(N16='WIN', N16='LOSS'), (L16-E16)*D16, 0)</f>
        <v/>
      </c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>
        <f>IF(OR(N17='WIN', N17='LOSS'), (L17-E17)*D17, 0)</f>
        <v/>
      </c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>
        <f>IF(OR(N18='WIN', N18='LOSS'), (L18-E18)*D18, 0)</f>
        <v/>
      </c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>
        <f>IF(OR(N19='WIN', N19='LOSS'), (L19-E19)*D19, 0)</f>
        <v/>
      </c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>
        <f>IF(OR(N20='WIN', N20='LOSS'), (L20-E20)*D20, 0)</f>
        <v/>
      </c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>
        <f>IF(OR(N21='WIN', N21='LOSS'), (L21-E21)*D21, 0)</f>
        <v/>
      </c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>
        <f>IF(OR(N22='WIN', N22='LOSS'), (L22-E22)*D22, 0)</f>
        <v/>
      </c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IF(OR(N23='WIN', N23='LOSS'), (L23-E23)*D23,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IF(OR(N24='WIN', N24='LOSS'), (L24-E24)*D24,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IF(OR(N25='WIN', N25='LOSS'), (L25-E25)*D25,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IF(OR(N26='WIN', N26='LOSS'), (L26-E26)*D26,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IF(OR(N27='WIN', N27='LOSS'), (L27-E27)*D27,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IF(OR(N28='WIN', N28='LOSS'), (L28-E28)*D28,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IF(OR(N29='WIN', N29='LOSS'), (L29-E29)*D29,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IF(OR(N30='WIN', N30='LOSS'), (L30-E30)*D30,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IF(OR(N31='WIN', N31='LOSS'), (L31-E31)*D31,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IF(OR(N32='WIN', N32='LOSS'), (L32-E32)*D32,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IF(OR(N33='WIN', N33='LOSS'), (L33-E33)*D33,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IF(OR(N34='WIN', N34='LOSS'), (L34-E34)*D34,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IF(OR(N35='WIN', N35='LOSS'), (L35-E35)*D35,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IF(OR(N36='WIN', N36='LOSS'), (L36-E36)*D36,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IF(OR(N37='WIN', N37='LOSS'), (L37-E37)*D37,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IF(OR(N38='WIN', N38='LOSS'), (L38-E38)*D38,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IF(OR(N39='WIN', N39='LOSS'), (L39-E39)*D39,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IF(OR(N40='WIN', N40='LOSS'), (L40-E40)*D40,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IF(OR(N41='WIN', N41='LOSS'), (L41-E41)*D41,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IF(OR(N42='WIN', N42='LOSS'), (L42-E42)*D42,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IF(OR(N43='WIN', N43='LOSS'), (L43-E43)*D43,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IF(OR(N44='WIN', N44='LOSS'), (L44-E44)*D44,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IF(OR(N45='WIN', N45='LOSS'), (L45-E45)*D45,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IF(OR(N46='WIN', N46='LOSS'), (L46-E46)*D46,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IF(OR(N47='WIN', N47='LOSS'), (L47-E47)*D47,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IF(OR(N48='WIN', N48='LOSS'), (L48-E48)*D48,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IF(OR(N49='WIN', N49='LOSS'), (L49-E49)*D49,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IF(OR(N50='WIN', N50='LOSS'), (L50-E50)*D50,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IF(OR(N51='WIN', N51='LOSS'), (L51-E51)*D51,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IF(OR(N52='WIN', N52='LOSS'), (L52-E52)*D52,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IF(OR(N53='WIN', N53='LOSS'), (L53-E53)*D53,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IF(OR(N54='WIN', N54='LOSS'), (L54-E54)*D54,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IF(OR(N55='WIN', N55='LOSS'), (L55-E55)*D55,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IF(OR(N56='WIN', N56='LOSS'), (L56-E56)*D56,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IF(OR(N57='WIN', N57='LOSS'), (L57-E57)*D57,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IF(OR(N58='WIN', N58='LOSS'), (L58-E58)*D58,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IF(OR(N59='WIN', N59='LOSS'), (L59-E59)*D59,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IF(OR(N60='WIN', N60='LOSS'), (L60-E60)*D60,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IF(OR(N61='WIN', N61='LOSS'), (L61-E61)*D61,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IF(OR(N62='WIN', N62='LOSS'), (L62-E62)*D62,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IF(OR(N63='WIN', N63='LOSS'), (L63-E63)*D63,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IF(OR(N64='WIN', N64='LOSS'), (L64-E64)*D64,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IF(OR(N65='WIN', N65='LOSS'), (L65-E65)*D65,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IF(OR(N66='WIN', N66='LOSS'), (L66-E66)*D66,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IF(OR(N67='WIN', N67='LOSS'), (L67-E67)*D67,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IF(OR(N68='WIN', N68='LOSS'), (L68-E68)*D68,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IF(OR(N69='WIN', N69='LOSS'), (L69-E69)*D69,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IF(OR(N70='WIN', N70='LOSS'), (L70-E70)*D70,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IF(OR(N71='WIN', N71='LOSS'), (L71-E71)*D71,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IF(OR(N72='WIN', N72='LOSS'), (L72-E72)*D72,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IF(OR(N73='WIN', N73='LOSS'), (L73-E73)*D73,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IF(OR(N74='WIN', N74='LOSS'), (L74-E74)*D74,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IF(OR(N75='WIN', N75='LOSS'), (L75-E75)*D75,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IF(OR(N76='WIN', N76='LOSS'), (L76-E76)*D76,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IF(OR(N77='WIN', N77='LOSS'), (L77-E77)*D77,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IF(OR(N78='WIN', N78='LOSS'), (L78-E78)*D78,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IF(OR(N79='WIN', N79='LOSS'), (L79-E79)*D79,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IF(OR(N80='WIN', N80='LOSS'), (L80-E80)*D80,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IF(OR(N81='WIN', N81='LOSS'), (L81-E81)*D81,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IF(OR(N82='WIN', N82='LOSS'), (L82-E82)*D82,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IF(OR(N83='WIN', N83='LOSS'), (L83-E83)*D83,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IF(OR(N84='WIN', N84='LOSS'), (L84-E84)*D84,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IF(OR(N85='WIN', N85='LOSS'), (L85-E85)*D85,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IF(OR(N86='WIN', N86='LOSS'), (L86-E86)*D86,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IF(OR(N87='WIN', N87='LOSS'), (L87-E87)*D87,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IF(OR(N88='WIN', N88='LOSS'), (L88-E88)*D88,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IF(OR(N89='WIN', N89='LOSS'), (L89-E89)*D89,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IF(OR(N90='WIN', N90='LOSS'), (L90-E90)*D90,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IF(OR(N91='WIN', N91='LOSS'), (L91-E91)*D91,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IF(OR(N92='WIN', N92='LOSS'), (L92-E92)*D92,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IF(OR(N93='WIN', N93='LOSS'), (L93-E93)*D93,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IF(OR(N94='WIN', N94='LOSS'), (L94-E94)*D94,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IF(OR(N95='WIN', N95='LOSS'), (L95-E95)*D95,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IF(OR(N96='WIN', N96='LOSS'), (L96-E96)*D96,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IF(OR(N97='WIN', N97='LOSS'), (L97-E97)*D97,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IF(OR(N98='WIN', N98='LOSS'), (L98-E98)*D98,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IF(OR(N99='WIN', N99='LOSS'), (L99-E99)*D99,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IF(OR(N100='WIN', N100='LOSS'), (L100-E100)*D100,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IF(OR(N101='WIN', N101='LOSS'), (L101-E101)*D101,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IF(OR(N102='WIN', N102='LOSS'), (L102-E102)*D102,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IF(OR(N103='WIN', N103='LOSS'), (L103-E103)*D103,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IF(OR(N104='WIN', N104='LOSS'), (L104-E104)*D104,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IF(OR(N105='WIN', N105='LOSS'), (L105-E105)*D105,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IF(OR(N106='WIN', N106='LOSS'), (L106-E106)*D106,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IF(OR(N107='WIN', N107='LOSS'), (L107-E107)*D107,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IF(OR(N108='WIN', N108='LOSS'), (L108-E108)*D108,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IF(OR(N109='WIN', N109='LOSS'), (L109-E109)*D109,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IF(OR(N110='WIN', N110='LOSS'), (L110-E110)*D110,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IF(OR(N111='WIN', N111='LOSS'), (L111-E111)*D111,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IF(OR(N112='WIN', N112='LOSS'), (L112-E112)*D112,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IF(OR(N113='WIN', N113='LOSS'), (L113-E113)*D113,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IF(OR(N114='WIN', N114='LOSS'), (L114-E114)*D114,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IF(OR(N115='WIN', N115='LOSS'), (L115-E115)*D115,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IF(OR(N116='WIN', N116='LOSS'), (L116-E116)*D116,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IF(OR(N117='WIN', N117='LOSS'), (L117-E117)*D117,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IF(OR(N118='WIN', N118='LOSS'), (L118-E118)*D118,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IF(OR(N119='WIN', N119='LOSS'), (L119-E119)*D119,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IF(OR(N120='WIN', N120='LOSS'), (L120-E120)*D120,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IF(OR(N121='WIN', N121='LOSS'), (L121-E121)*D121,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IF(OR(N122='WIN', N122='LOSS'), (L122-E122)*D122,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IF(OR(N123='WIN', N123='LOSS'), (L123-E123)*D123,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IF(OR(N124='WIN', N124='LOSS'), (L124-E124)*D124,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IF(OR(N125='WIN', N125='LOSS'), (L125-E125)*D125,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IF(OR(N126='WIN', N126='LOSS'), (L126-E126)*D126,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IF(OR(N127='WIN', N127='LOSS'), (L127-E127)*D127,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IF(OR(N128='WIN', N128='LOSS'), (L128-E128)*D128,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IF(OR(N129='WIN', N129='LOSS'), (L129-E129)*D129,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IF(OR(N130='WIN', N130='LOSS'), (L130-E130)*D130,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IF(OR(N131='WIN', N131='LOSS'), (L131-E131)*D131,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IF(OR(N132='WIN', N132='LOSS'), (L132-E132)*D132,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IF(OR(N133='WIN', N133='LOSS'), (L133-E133)*D133,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IF(OR(N134='WIN', N134='LOSS'), (L134-E134)*D134,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IF(OR(N135='WIN', N135='LOSS'), (L135-E135)*D135,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IF(OR(N136='WIN', N136='LOSS'), (L136-E136)*D136,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IF(OR(N137='WIN', N137='LOSS'), (L137-E137)*D137,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IF(OR(N138='WIN', N138='LOSS'), (L138-E138)*D138,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IF(OR(N139='WIN', N139='LOSS'), (L139-E139)*D139,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IF(OR(N140='WIN', N140='LOSS'), (L140-E140)*D140,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IF(OR(N141='WIN', N141='LOSS'), (L141-E141)*D141,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IF(OR(N142='WIN', N142='LOSS'), (L142-E142)*D142,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IF(OR(N143='WIN', N143='LOSS'), (L143-E143)*D143,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IF(OR(N144='WIN', N144='LOSS'), (L144-E144)*D144,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IF(OR(N145='WIN', N145='LOSS'), (L145-E145)*D145,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IF(OR(N146='WIN', N146='LOSS'), (L146-E146)*D146,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IF(OR(N147='WIN', N147='LOSS'), (L147-E147)*D147,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IF(OR(N148='WIN', N148='LOSS'), (L148-E148)*D148,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IF(OR(N149='WIN', N149='LOSS'), (L149-E149)*D149,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IF(OR(N150='WIN', N150='LOSS'), (L150-E150)*D150,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IF(OR(N151='WIN', N151='LOSS'), (L151-E151)*D151,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IF(OR(N152='WIN', N152='LOSS'), (L152-E152)*D152,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IF(OR(N153='WIN', N153='LOSS'), (L153-E153)*D153,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IF(OR(N154='WIN', N154='LOSS'), (L154-E154)*D154,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IF(OR(N155='WIN', N155='LOSS'), (L155-E155)*D155,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IF(OR(N156='WIN', N156='LOSS'), (L156-E156)*D156,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IF(OR(N157='WIN', N157='LOSS'), (L157-E157)*D157,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IF(OR(N158='WIN', N158='LOSS'), (L158-E158)*D158,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IF(OR(N159='WIN', N159='LOSS'), (L159-E159)*D159,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IF(OR(N160='WIN', N160='LOSS'), (L160-E160)*D160,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IF(OR(N161='WIN', N161='LOSS'), (L161-E161)*D161,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IF(OR(N162='WIN', N162='LOSS'), (L162-E162)*D162,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IF(OR(N163='WIN', N163='LOSS'), (L163-E163)*D163,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IF(OR(N164='WIN', N164='LOSS'), (L164-E164)*D164,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IF(OR(N165='WIN', N165='LOSS'), (L165-E165)*D165,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IF(OR(N166='WIN', N166='LOSS'), (L166-E166)*D166,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IF(OR(N167='WIN', N167='LOSS'), (L167-E167)*D167,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IF(OR(N168='WIN', N168='LOSS'), (L168-E168)*D168,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IF(OR(N169='WIN', N169='LOSS'), (L169-E169)*D169,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IF(OR(N170='WIN', N170='LOSS'), (L170-E170)*D170,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IF(OR(N171='WIN', N171='LOSS'), (L171-E171)*D171,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IF(OR(N172='WIN', N172='LOSS'), (L172-E172)*D172,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IF(OR(N173='WIN', N173='LOSS'), (L173-E173)*D173,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IF(OR(N174='WIN', N174='LOSS'), (L174-E174)*D174,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IF(OR(N175='WIN', N175='LOSS'), (L175-E175)*D175,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IF(OR(N176='WIN', N176='LOSS'), (L176-E176)*D176,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IF(OR(N177='WIN', N177='LOSS'), (L177-E177)*D177,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IF(OR(N178='WIN', N178='LOSS'), (L178-E178)*D178,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IF(OR(N179='WIN', N179='LOSS'), (L179-E179)*D179,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IF(OR(N180='WIN', N180='LOSS'), (L180-E180)*D180,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IF(OR(N181='WIN', N181='LOSS'), (L181-E181)*D181,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IF(OR(N182='WIN', N182='LOSS'), (L182-E182)*D182,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IF(OR(N183='WIN', N183='LOSS'), (L183-E183)*D183,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IF(OR(N184='WIN', N184='LOSS'), (L184-E184)*D184,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IF(OR(N185='WIN', N185='LOSS'), (L185-E185)*D185,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IF(OR(N186='WIN', N186='LOSS'), (L186-E186)*D186,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IF(OR(N187='WIN', N187='LOSS'), (L187-E187)*D187,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IF(OR(N188='WIN', N188='LOSS'), (L188-E188)*D188,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IF(OR(N189='WIN', N189='LOSS'), (L189-E189)*D189,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IF(OR(N190='WIN', N190='LOSS'), (L190-E190)*D190,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IF(OR(N191='WIN', N191='LOSS'), (L191-E191)*D191,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IF(OR(N192='WIN', N192='LOSS'), (L192-E192)*D192,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IF(OR(N193='WIN', N193='LOSS'), (L193-E193)*D193,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IF(OR(N194='WIN', N194='LOSS'), (L194-E194)*D194,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IF(OR(N195='WIN', N195='LOSS'), (L195-E195)*D195,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IF(OR(N196='WIN', N196='LOSS'), (L196-E196)*D196,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IF(OR(N197='WIN', N197='LOSS'), (L197-E197)*D197,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IF(OR(N198='WIN', N198='LOSS'), (L198-E198)*D198,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IF(OR(N199='WIN', N199='LOSS'), (L199-E199)*D199,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IF(OR(N200='WIN', N200='LOSS'), (L200-E200)*D200,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IF(OR(N201='WIN', N201='LOSS'), (L201-E201)*D201,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IF(OR(N202='WIN', N202='LOSS'), (L202-E202)*D202,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IF(OR(N203='WIN', N203='LOSS'), (L203-E203)*D203,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IF(OR(N204='WIN', N204='LOSS'), (L204-E204)*D204,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IF(OR(N205='WIN', N205='LOSS'), (L205-E205)*D205,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IF(OR(N206='WIN', N206='LOSS'), (L206-E206)*D206,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IF(OR(N207='WIN', N207='LOSS'), (L207-E207)*D207,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IF(OR(N208='WIN', N208='LOSS'), (L208-E208)*D208,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IF(OR(N209='WIN', N209='LOSS'), (L209-E209)*D209,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IF(OR(N210='WIN', N210='LOSS'), (L210-E210)*D210,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IF(OR(N211='WIN', N211='LOSS'), (L211-E211)*D211,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IF(OR(N212='WIN', N212='LOSS'), (L212-E212)*D212,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IF(OR(N213='WIN', N213='LOSS'), (L213-E213)*D213,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IF(OR(N214='WIN', N214='LOSS'), (L214-E214)*D214,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IF(OR(N215='WIN', N215='LOSS'), (L215-E215)*D215,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IF(OR(N216='WIN', N216='LOSS'), (L216-E216)*D216,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IF(OR(N217='WIN', N217='LOSS'), (L217-E217)*D217,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IF(OR(N218='WIN', N218='LOSS'), (L218-E218)*D218,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IF(OR(N219='WIN', N219='LOSS'), (L219-E219)*D219,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IF(OR(N220='WIN', N220='LOSS'), (L220-E220)*D220,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IF(OR(N221='WIN', N221='LOSS'), (L221-E221)*D221,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IF(OR(N222='WIN', N222='LOSS'), (L222-E222)*D222,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IF(OR(N223='WIN', N223='LOSS'), (L223-E223)*D223,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IF(OR(N224='WIN', N224='LOSS'), (L224-E224)*D224,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IF(OR(N225='WIN', N225='LOSS'), (L225-E225)*D225,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IF(OR(N226='WIN', N226='LOSS'), (L226-E226)*D226,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IF(OR(N227='WIN', N227='LOSS'), (L227-E227)*D227,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IF(OR(N228='WIN', N228='LOSS'), (L228-E228)*D228,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IF(OR(N229='WIN', N229='LOSS'), (L229-E229)*D229,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IF(OR(N230='WIN', N230='LOSS'), (L230-E230)*D230,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IF(OR(N231='WIN', N231='LOSS'), (L231-E231)*D231,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IF(OR(N232='WIN', N232='LOSS'), (L232-E232)*D232,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IF(OR(N233='WIN', N233='LOSS'), (L233-E233)*D233,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IF(OR(N234='WIN', N234='LOSS'), (L234-E234)*D234,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IF(OR(N235='WIN', N235='LOSS'), (L235-E235)*D235,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IF(OR(N236='WIN', N236='LOSS'), (L236-E236)*D236,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IF(OR(N237='WIN', N237='LOSS'), (L237-E237)*D237,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IF(OR(N238='WIN', N238='LOSS'), (L238-E238)*D238,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IF(OR(N239='WIN', N239='LOSS'), (L239-E239)*D239,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IF(OR(N240='WIN', N240='LOSS'), (L240-E240)*D240,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IF(OR(N241='WIN', N241='LOSS'), (L241-E241)*D241,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IF(OR(N242='WIN', N242='LOSS'), (L242-E242)*D242,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IF(OR(N243='WIN', N243='LOSS'), (L243-E243)*D243,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IF(OR(N244='WIN', N244='LOSS'), (L244-E244)*D244,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IF(OR(N245='WIN', N245='LOSS'), (L245-E245)*D245,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IF(OR(N246='WIN', N246='LOSS'), (L246-E246)*D246,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IF(OR(N247='WIN', N247='LOSS'), (L247-E247)*D247,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IF(OR(N248='WIN', N248='LOSS'), (L248-E248)*D248,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IF(OR(N249='WIN', N249='LOSS'), (L249-E249)*D249,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IF(OR(N250='WIN', N250='LOSS'), (L250-E250)*D250,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IF(OR(N251='WIN', N251='LOSS'), (L251-E251)*D251,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IF(OR(N252='WIN', N252='LOSS'), (L252-E252)*D252,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IF(OR(N253='WIN', N253='LOSS'), (L253-E253)*D253,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IF(OR(N254='WIN', N254='LOSS'), (L254-E254)*D254,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IF(OR(N255='WIN', N255='LOSS'), (L255-E255)*D255,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IF(OR(N256='WIN', N256='LOSS'), (L256-E256)*D256,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IF(OR(N257='WIN', N257='LOSS'), (L257-E257)*D257,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IF(OR(N258='WIN', N258='LOSS'), (L258-E258)*D258,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IF(OR(N259='WIN', N259='LOSS'), (L259-E259)*D259,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IF(OR(N260='WIN', N260='LOSS'), (L260-E260)*D260,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IF(OR(N261='WIN', N261='LOSS'), (L261-E261)*D261,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IF(OR(N262='WIN', N262='LOSS'), (L262-E262)*D262,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IF(OR(N263='WIN', N263='LOSS'), (L263-E263)*D263,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IF(OR(N264='WIN', N264='LOSS'), (L264-E264)*D264,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IF(OR(N265='WIN', N265='LOSS'), (L265-E265)*D265,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IF(OR(N266='WIN', N266='LOSS'), (L266-E266)*D266,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IF(OR(N267='WIN', N267='LOSS'), (L267-E267)*D267,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IF(OR(N268='WIN', N268='LOSS'), (L268-E268)*D268,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IF(OR(N269='WIN', N269='LOSS'), (L269-E269)*D269,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IF(OR(N270='WIN', N270='LOSS'), (L270-E270)*D270,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IF(OR(N271='WIN', N271='LOSS'), (L271-E271)*D271,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IF(OR(N272='WIN', N272='LOSS'), (L272-E272)*D272,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IF(OR(N273='WIN', N273='LOSS'), (L273-E273)*D273,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IF(OR(N274='WIN', N274='LOSS'), (L274-E274)*D274,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IF(OR(N275='WIN', N275='LOSS'), (L275-E275)*D275,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IF(OR(N276='WIN', N276='LOSS'), (L276-E276)*D276,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IF(OR(N277='WIN', N277='LOSS'), (L277-E277)*D277,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IF(OR(N278='WIN', N278='LOSS'), (L278-E278)*D278,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IF(OR(N279='WIN', N279='LOSS'), (L279-E279)*D279,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IF(OR(N280='WIN', N280='LOSS'), (L280-E280)*D280,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IF(OR(N281='WIN', N281='LOSS'), (L281-E281)*D281,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IF(OR(N282='WIN', N282='LOSS'), (L282-E282)*D282,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IF(OR(N283='WIN', N283='LOSS'), (L283-E283)*D283,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IF(OR(N284='WIN', N284='LOSS'), (L284-E284)*D284,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IF(OR(N285='WIN', N285='LOSS'), (L285-E285)*D285,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IF(OR(N286='WIN', N286='LOSS'), (L286-E286)*D286,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IF(OR(N287='WIN', N287='LOSS'), (L287-E287)*D287,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IF(OR(N288='WIN', N288='LOSS'), (L288-E288)*D288,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IF(OR(N289='WIN', N289='LOSS'), (L289-E289)*D289,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IF(OR(N290='WIN', N290='LOSS'), (L290-E290)*D290,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IF(OR(N291='WIN', N291='LOSS'), (L291-E291)*D291,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IF(OR(N292='WIN', N292='LOSS'), (L292-E292)*D292,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IF(OR(N293='WIN', N293='LOSS'), (L293-E293)*D293,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IF(OR(N294='WIN', N294='LOSS'), (L294-E294)*D294,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IF(OR(N295='WIN', N295='LOSS'), (L295-E295)*D295,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IF(OR(N296='WIN', N296='LOSS'), (L296-E296)*D296,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IF(OR(N297='WIN', N297='LOSS'), (L297-E297)*D297,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IF(OR(N298='WIN', N298='LOSS'), (L298-E298)*D298,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IF(OR(N299='WIN', N299='LOSS'), (L299-E299)*D299,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IF(OR(N300='WIN', N300='LOSS'), (L300-E300)*D300,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IF(OR(N301='WIN', N301='LOSS'), (L301-E301)*D301,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IF(OR(N302='WIN', N302='LOSS'), (L302-E302)*D302,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IF(OR(N303='WIN', N303='LOSS'), (L303-E303)*D303,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IF(OR(N304='WIN', N304='LOSS'), (L304-E304)*D304,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IF(OR(N305='WIN', N305='LOSS'), (L305-E305)*D305,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IF(OR(N306='WIN', N306='LOSS'), (L306-E306)*D306,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IF(OR(N307='WIN', N307='LOSS'), (L307-E307)*D307,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IF(OR(N308='WIN', N308='LOSS'), (L308-E308)*D308,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IF(OR(N309='WIN', N309='LOSS'), (L309-E309)*D309,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IF(OR(N310='WIN', N310='LOSS'), (L310-E310)*D310,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IF(OR(N311='WIN', N311='LOSS'), (L311-E311)*D311,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IF(OR(N312='WIN', N312='LOSS'), (L312-E312)*D312,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IF(OR(N313='WIN', N313='LOSS'), (L313-E313)*D313,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IF(OR(N314='WIN', N314='LOSS'), (L314-E314)*D314,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IF(OR(N315='WIN', N315='LOSS'), (L315-E315)*D315,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IF(OR(N316='WIN', N316='LOSS'), (L316-E316)*D316,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IF(OR(N317='WIN', N317='LOSS'), (L317-E317)*D317,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IF(OR(N318='WIN', N318='LOSS'), (L318-E318)*D318,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IF(OR(N319='WIN', N319='LOSS'), (L319-E319)*D319,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IF(OR(N320='WIN', N320='LOSS'), (L320-E320)*D320,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IF(OR(N321='WIN', N321='LOSS'), (L321-E321)*D321,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IF(OR(N322='WIN', N322='LOSS'), (L322-E322)*D322,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IF(OR(N323='WIN', N323='LOSS'), (L323-E323)*D323,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IF(OR(N324='WIN', N324='LOSS'), (L324-E324)*D324,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IF(OR(N325='WIN', N325='LOSS'), (L325-E325)*D325,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IF(OR(N326='WIN', N326='LOSS'), (L326-E326)*D326,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IF(OR(N327='WIN', N327='LOSS'), (L327-E327)*D327,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IF(OR(N328='WIN', N328='LOSS'), (L328-E328)*D328,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IF(OR(N329='WIN', N329='LOSS'), (L329-E329)*D329,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IF(OR(N330='WIN', N330='LOSS'), (L330-E330)*D330,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IF(OR(N331='WIN', N331='LOSS'), (L331-E331)*D331,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IF(OR(N332='WIN', N332='LOSS'), (L332-E332)*D332,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IF(OR(N333='WIN', N333='LOSS'), (L333-E333)*D333,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IF(OR(N334='WIN', N334='LOSS'), (L334-E334)*D334,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IF(OR(N335='WIN', N335='LOSS'), (L335-E335)*D335,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IF(OR(N336='WIN', N336='LOSS'), (L336-E336)*D336,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IF(OR(N337='WIN', N337='LOSS'), (L337-E337)*D337,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IF(OR(N338='WIN', N338='LOSS'), (L338-E338)*D338,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IF(OR(N339='WIN', N339='LOSS'), (L339-E339)*D339,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IF(OR(N340='WIN', N340='LOSS'), (L340-E340)*D340,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IF(OR(N341='WIN', N341='LOSS'), (L341-E341)*D341,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IF(OR(N342='WIN', N342='LOSS'), (L342-E342)*D342,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IF(OR(N343='WIN', N343='LOSS'), (L343-E343)*D343,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IF(OR(N344='WIN', N344='LOSS'), (L344-E344)*D344,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IF(OR(N345='WIN', N345='LOSS'), (L345-E345)*D345,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IF(OR(N346='WIN', N346='LOSS'), (L346-E346)*D346,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IF(OR(N347='WIN', N347='LOSS'), (L347-E347)*D347,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IF(OR(N348='WIN', N348='LOSS'), (L348-E348)*D348,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IF(OR(N349='WIN', N349='LOSS'), (L349-E349)*D349,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IF(OR(N350='WIN', N350='LOSS'), (L350-E350)*D350,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IF(OR(N351='WIN', N351='LOSS'), (L351-E351)*D351,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IF(OR(N352='WIN', N352='LOSS'), (L352-E352)*D352,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IF(OR(N353='WIN', N353='LOSS'), (L353-E353)*D353,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IF(OR(N354='WIN', N354='LOSS'), (L354-E354)*D354,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IF(OR(N355='WIN', N355='LOSS'), (L355-E355)*D355,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IF(OR(N356='WIN', N356='LOSS'), (L356-E356)*D356,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IF(OR(N357='WIN', N357='LOSS'), (L357-E357)*D357,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IF(OR(N358='WIN', N358='LOSS'), (L358-E358)*D358,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IF(OR(N359='WIN', N359='LOSS'), (L359-E359)*D359,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IF(OR(N360='WIN', N360='LOSS'), (L360-E360)*D360,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IF(OR(N361='WIN', N361='LOSS'), (L361-E361)*D361,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IF(OR(N362='WIN', N362='LOSS'), (L362-E362)*D362,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IF(OR(N363='WIN', N363='LOSS'), (L363-E363)*D363,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IF(OR(N364='WIN', N364='LOSS'), (L364-E364)*D364,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IF(OR(N365='WIN', N365='LOSS'), (L365-E365)*D365,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IF(OR(N366='WIN', N366='LOSS'), (L366-E366)*D366,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IF(OR(N367='WIN', N367='LOSS'), (L367-E367)*D367,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IF(OR(N368='WIN', N368='LOSS'), (L368-E368)*D368,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IF(OR(N369='WIN', N369='LOSS'), (L369-E369)*D369,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IF(OR(N370='WIN', N370='LOSS'), (L370-E370)*D370,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IF(OR(N371='WIN', N371='LOSS'), (L371-E371)*D371,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IF(OR(N372='WIN', N372='LOSS'), (L372-E372)*D372,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IF(OR(N373='WIN', N373='LOSS'), (L373-E373)*D373,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IF(OR(N374='WIN', N374='LOSS'), (L374-E374)*D374,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IF(OR(N375='WIN', N375='LOSS'), (L375-E375)*D375,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IF(OR(N376='WIN', N376='LOSS'), (L376-E376)*D376,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IF(OR(N377='WIN', N377='LOSS'), (L377-E377)*D377,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IF(OR(N378='WIN', N378='LOSS'), (L378-E378)*D378,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IF(OR(N379='WIN', N379='LOSS'), (L379-E379)*D379,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IF(OR(N380='WIN', N380='LOSS'), (L380-E380)*D380,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IF(OR(N381='WIN', N381='LOSS'), (L381-E381)*D381,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IF(OR(N382='WIN', N382='LOSS'), (L382-E382)*D382,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IF(OR(N383='WIN', N383='LOSS'), (L383-E383)*D383,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IF(OR(N384='WIN', N384='LOSS'), (L384-E384)*D384,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IF(OR(N385='WIN', N385='LOSS'), (L385-E385)*D385,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IF(OR(N386='WIN', N386='LOSS'), (L386-E386)*D386,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IF(OR(N387='WIN', N387='LOSS'), (L387-E387)*D387,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IF(OR(N388='WIN', N388='LOSS'), (L388-E388)*D388,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IF(OR(N389='WIN', N389='LOSS'), (L389-E389)*D389,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IF(OR(N390='WIN', N390='LOSS'), (L390-E390)*D390,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IF(OR(N391='WIN', N391='LOSS'), (L391-E391)*D391,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IF(OR(N392='WIN', N392='LOSS'), (L392-E392)*D392,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IF(OR(N393='WIN', N393='LOSS'), (L393-E393)*D393,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IF(OR(N394='WIN', N394='LOSS'), (L394-E394)*D394,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IF(OR(N395='WIN', N395='LOSS'), (L395-E395)*D395,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IF(OR(N396='WIN', N396='LOSS'), (L396-E396)*D396,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IF(OR(N397='WIN', N397='LOSS'), (L397-E397)*D397,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IF(OR(N398='WIN', N398='LOSS'), (L398-E398)*D398,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IF(OR(N399='WIN', N399='LOSS'), (L399-E399)*D399,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IF(OR(N400='WIN', N400='LOSS'), (L400-E400)*D400,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IF(OR(N401='WIN', N401='LOSS'), (L401-E401)*D401,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IF(OR(N402='WIN', N402='LOSS'), (L402-E402)*D402,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IF(OR(N403='WIN', N403='LOSS'), (L403-E403)*D403,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IF(OR(N404='WIN', N404='LOSS'), (L404-E404)*D404,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IF(OR(N405='WIN', N405='LOSS'), (L405-E405)*D405,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IF(OR(N406='WIN', N406='LOSS'), (L406-E406)*D406,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IF(OR(N407='WIN', N407='LOSS'), (L407-E407)*D407,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IF(OR(N408='WIN', N408='LOSS'), (L408-E408)*D408,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IF(OR(N409='WIN', N409='LOSS'), (L409-E409)*D409,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IF(OR(N410='WIN', N410='LOSS'), (L410-E410)*D410,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IF(OR(N411='WIN', N411='LOSS'), (L411-E411)*D411,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IF(OR(N412='WIN', N412='LOSS'), (L412-E412)*D412,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IF(OR(N413='WIN', N413='LOSS'), (L413-E413)*D413,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IF(OR(N414='WIN', N414='LOSS'), (L414-E414)*D414,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IF(OR(N415='WIN', N415='LOSS'), (L415-E415)*D415,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IF(OR(N416='WIN', N416='LOSS'), (L416-E416)*D416,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IF(OR(N417='WIN', N417='LOSS'), (L417-E417)*D417,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IF(OR(N418='WIN', N418='LOSS'), (L418-E418)*D418,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IF(OR(N419='WIN', N419='LOSS'), (L419-E419)*D419,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IF(OR(N420='WIN', N420='LOSS'), (L420-E420)*D420,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IF(OR(N421='WIN', N421='LOSS'), (L421-E421)*D421,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IF(OR(N422='WIN', N422='LOSS'), (L422-E422)*D422,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IF(OR(N423='WIN', N423='LOSS'), (L423-E423)*D423,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IF(OR(N424='WIN', N424='LOSS'), (L424-E424)*D424,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IF(OR(N425='WIN', N425='LOSS'), (L425-E425)*D425,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IF(OR(N426='WIN', N426='LOSS'), (L426-E426)*D426,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IF(OR(N427='WIN', N427='LOSS'), (L427-E427)*D427,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IF(OR(N428='WIN', N428='LOSS'), (L428-E428)*D428,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IF(OR(N429='WIN', N429='LOSS'), (L429-E429)*D429,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IF(OR(N430='WIN', N430='LOSS'), (L430-E430)*D430,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IF(OR(N431='WIN', N431='LOSS'), (L431-E431)*D431,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IF(OR(N432='WIN', N432='LOSS'), (L432-E432)*D432,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IF(OR(N433='WIN', N433='LOSS'), (L433-E433)*D433,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IF(OR(N434='WIN', N434='LOSS'), (L434-E434)*D434,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IF(OR(N435='WIN', N435='LOSS'), (L435-E435)*D435,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IF(OR(N436='WIN', N436='LOSS'), (L436-E436)*D436,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IF(OR(N437='WIN', N437='LOSS'), (L437-E437)*D437,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IF(OR(N438='WIN', N438='LOSS'), (L438-E438)*D438,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IF(OR(N439='WIN', N439='LOSS'), (L439-E439)*D439,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IF(OR(N440='WIN', N440='LOSS'), (L440-E440)*D440,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IF(OR(N441='WIN', N441='LOSS'), (L441-E441)*D441,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IF(OR(N442='WIN', N442='LOSS'), (L442-E442)*D442,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IF(OR(N443='WIN', N443='LOSS'), (L443-E443)*D443,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IF(OR(N444='WIN', N444='LOSS'), (L444-E444)*D444,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IF(OR(N445='WIN', N445='LOSS'), (L445-E445)*D445,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IF(OR(N446='WIN', N446='LOSS'), (L446-E446)*D446,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IF(OR(N447='WIN', N447='LOSS'), (L447-E447)*D447,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IF(OR(N448='WIN', N448='LOSS'), (L448-E448)*D448,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IF(OR(N449='WIN', N449='LOSS'), (L449-E449)*D449,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IF(OR(N450='WIN', N450='LOSS'), (L450-E450)*D450,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IF(OR(N451='WIN', N451='LOSS'), (L451-E451)*D451,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IF(OR(N452='WIN', N452='LOSS'), (L452-E452)*D452,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IF(OR(N453='WIN', N453='LOSS'), (L453-E453)*D453,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IF(OR(N454='WIN', N454='LOSS'), (L454-E454)*D454,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IF(OR(N455='WIN', N455='LOSS'), (L455-E455)*D455,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IF(OR(N456='WIN', N456='LOSS'), (L456-E456)*D456,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IF(OR(N457='WIN', N457='LOSS'), (L457-E457)*D457,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IF(OR(N458='WIN', N458='LOSS'), (L458-E458)*D458,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IF(OR(N459='WIN', N459='LOSS'), (L459-E459)*D459,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IF(OR(N460='WIN', N460='LOSS'), (L460-E460)*D460,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IF(OR(N461='WIN', N461='LOSS'), (L461-E461)*D461,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IF(OR(N462='WIN', N462='LOSS'), (L462-E462)*D462,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IF(OR(N463='WIN', N463='LOSS'), (L463-E463)*D463,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IF(OR(N464='WIN', N464='LOSS'), (L464-E464)*D464,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IF(OR(N465='WIN', N465='LOSS'), (L465-E465)*D465,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IF(OR(N466='WIN', N466='LOSS'), (L466-E466)*D466,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IF(OR(N467='WIN', N467='LOSS'), (L467-E467)*D467,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IF(OR(N468='WIN', N468='LOSS'), (L468-E468)*D468,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IF(OR(N469='WIN', N469='LOSS'), (L469-E469)*D469,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IF(OR(N470='WIN', N470='LOSS'), (L470-E470)*D470,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IF(OR(N471='WIN', N471='LOSS'), (L471-E471)*D471,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IF(OR(N472='WIN', N472='LOSS'), (L472-E472)*D472,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IF(OR(N473='WIN', N473='LOSS'), (L473-E473)*D473,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IF(OR(N474='WIN', N474='LOSS'), (L474-E474)*D474,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IF(OR(N475='WIN', N475='LOSS'), (L475-E475)*D475,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IF(OR(N476='WIN', N476='LOSS'), (L476-E476)*D476,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IF(OR(N477='WIN', N477='LOSS'), (L477-E477)*D477,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IF(OR(N478='WIN', N478='LOSS'), (L478-E478)*D478,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IF(OR(N479='WIN', N479='LOSS'), (L479-E479)*D479,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IF(OR(N480='WIN', N480='LOSS'), (L480-E480)*D480,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IF(OR(N481='WIN', N481='LOSS'), (L481-E481)*D481,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IF(OR(N482='WIN', N482='LOSS'), (L482-E482)*D482,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IF(OR(N483='WIN', N483='LOSS'), (L483-E483)*D483,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IF(OR(N484='WIN', N484='LOSS'), (L484-E484)*D484,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IF(OR(N485='WIN', N485='LOSS'), (L485-E485)*D485,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IF(OR(N486='WIN', N486='LOSS'), (L486-E486)*D486,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IF(OR(N487='WIN', N487='LOSS'), (L487-E487)*D487,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IF(OR(N488='WIN', N488='LOSS'), (L488-E488)*D488,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IF(OR(N489='WIN', N489='LOSS'), (L489-E489)*D489,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IF(OR(N490='WIN', N490='LOSS'), (L490-E490)*D490,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IF(OR(N491='WIN', N491='LOSS'), (L491-E491)*D491,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IF(OR(N492='WIN', N492='LOSS'), (L492-E492)*D492,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IF(OR(N493='WIN', N493='LOSS'), (L493-E493)*D493,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IF(OR(N494='WIN', N494='LOSS'), (L494-E494)*D494,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>
        <f>IF(OR(N495='WIN', N495='LOSS'), (L495-E495)*D495, 0)</f>
        <v/>
      </c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>
        <f>IF(OR(N496='WIN', N496='LOSS'), (L496-E496)*D496, 0)</f>
        <v/>
      </c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>
        <f>IF(OR(N497='WIN', N497='LOSS'), (L497-E497)*D497, 0)</f>
        <v/>
      </c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>
        <f>IF(OR(N498='WIN', N498='LOSS'), (L498-E498)*D498, 0)</f>
        <v/>
      </c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>
        <f>IF(OR(N499='WIN', N499='LOSS'), (L499-E499)*D499, 0)</f>
        <v/>
      </c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>
        <f>IF(OR(N500='WIN', N500='LOSS'), (L500-E500)*D500, 0)</f>
        <v/>
      </c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41" t="inlineStr">
        <is>
          <t>2026-07-24</t>
        </is>
      </c>
      <c r="B5" s="41" t="inlineStr">
        <is>
          <t>WITHDRAWAL</t>
        </is>
      </c>
      <c r="C5" s="43" t="n">
        <v>181.62</v>
      </c>
      <c r="D5" s="44" t="inlineStr">
        <is>
          <t>Adjustment: Brokerage &amp; taxes on past completed trades (SUNPHARMA, JSWSTEEL, TECHM)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style="20" min="1" max="1"/>
    <col width="13" customWidth="1" style="20" min="2" max="2"/>
    <col width="24" customWidth="1" style="20" min="3" max="3"/>
    <col width="14" customWidth="1" style="20" min="4" max="4"/>
    <col width="12" customWidth="1" style="20" min="5" max="5"/>
    <col width="12" customWidth="1" style="20" min="6" max="6"/>
    <col width="16" customWidth="1" style="20" min="7" max="7"/>
    <col width="13" customWidth="1" style="20" min="8" max="8"/>
    <col width="16" customWidth="1" style="20" min="9" max="9"/>
    <col width="12" customWidth="1" style="20" min="10" max="10"/>
    <col width="53" customWidth="1" style="20" min="11" max="11"/>
  </cols>
  <sheetData>
    <row r="1" ht="26" customHeight="1" s="20">
      <c r="A1" s="37" t="inlineStr">
        <is>
          <t>Date</t>
        </is>
      </c>
      <c r="B1" s="37" t="inlineStr">
        <is>
          <t>Symbol</t>
        </is>
      </c>
      <c r="C1" s="37" t="inlineStr">
        <is>
          <t>Company Name</t>
        </is>
      </c>
      <c r="D1" s="37" t="inlineStr">
        <is>
          <t>Entry Price</t>
        </is>
      </c>
      <c r="E1" s="37" t="inlineStr">
        <is>
          <t>Stop Loss</t>
        </is>
      </c>
      <c r="F1" s="37" t="inlineStr">
        <is>
          <t>Target</t>
        </is>
      </c>
      <c r="G1" s="37" t="inlineStr">
        <is>
          <t>Initial Alloc</t>
        </is>
      </c>
      <c r="H1" s="37" t="inlineStr">
        <is>
          <t>Status</t>
        </is>
      </c>
      <c r="I1" s="37" t="inlineStr">
        <is>
          <t>Current Price</t>
        </is>
      </c>
      <c r="J1" s="37" t="inlineStr">
        <is>
          <t>P&amp;L (INR)</t>
        </is>
      </c>
      <c r="K1" s="37" t="inlineStr">
        <is>
          <t>Notes</t>
        </is>
      </c>
    </row>
    <row r="2" ht="20" customHeight="1" s="20">
      <c r="A2" s="38" t="inlineStr">
        <is>
          <t>2026-07-24</t>
        </is>
      </c>
      <c r="B2" s="38" t="inlineStr">
        <is>
          <t>SUNPHARMA</t>
        </is>
      </c>
      <c r="C2" s="39" t="inlineStr">
        <is>
          <t>Sun Pharmaceutical</t>
        </is>
      </c>
      <c r="D2" s="40" t="n">
        <v>1954</v>
      </c>
      <c r="E2" s="40" t="n">
        <v>1890.88</v>
      </c>
      <c r="F2" s="40" t="n">
        <v>2080.24</v>
      </c>
      <c r="G2" s="40" t="n">
        <v>2000</v>
      </c>
      <c r="H2" s="38" t="inlineStr">
        <is>
          <t>MONITORING</t>
        </is>
      </c>
      <c r="I2" s="40" t="n">
        <v>1954</v>
      </c>
      <c r="J2" s="40" t="n">
        <v>0</v>
      </c>
      <c r="K2" s="39" t="inlineStr">
        <is>
          <t>Paper trade for momentum score tracking (96.4/100)</t>
        </is>
      </c>
    </row>
    <row r="3" ht="20" customHeight="1" s="20">
      <c r="A3" s="38" t="inlineStr">
        <is>
          <t>2026-07-24</t>
        </is>
      </c>
      <c r="B3" s="38" t="inlineStr">
        <is>
          <t>BAJAJ-AUTO</t>
        </is>
      </c>
      <c r="C3" s="39" t="inlineStr">
        <is>
          <t>Bajaj Auto Limited</t>
        </is>
      </c>
      <c r="D3" s="40" t="n">
        <v>11283.5</v>
      </c>
      <c r="E3" s="40" t="n">
        <v>10780.43</v>
      </c>
      <c r="F3" s="40" t="n">
        <v>12289.64</v>
      </c>
      <c r="G3" s="40" t="n">
        <v>2000</v>
      </c>
      <c r="H3" s="38" t="inlineStr">
        <is>
          <t>MONITORING</t>
        </is>
      </c>
      <c r="I3" s="40" t="n">
        <v>11283.5</v>
      </c>
      <c r="J3" s="40" t="n">
        <v>0</v>
      </c>
      <c r="K3" s="39" t="inlineStr">
        <is>
          <t>Paper trade for momentum score tracking (88.8/100)</t>
        </is>
      </c>
    </row>
    <row r="4" ht="20" customHeight="1" s="20">
      <c r="A4" s="38" t="inlineStr">
        <is>
          <t>2026-07-24</t>
        </is>
      </c>
      <c r="B4" s="38" t="inlineStr">
        <is>
          <t>HEROMOTOCO</t>
        </is>
      </c>
      <c r="C4" s="39" t="inlineStr">
        <is>
          <t>Hero MotoCorp</t>
        </is>
      </c>
      <c r="D4" s="40" t="n">
        <v>5098.8</v>
      </c>
      <c r="E4" s="40" t="n">
        <v>4900.54</v>
      </c>
      <c r="F4" s="40" t="n">
        <v>5495.31</v>
      </c>
      <c r="G4" s="40" t="n">
        <v>2000</v>
      </c>
      <c r="H4" s="38" t="inlineStr">
        <is>
          <t>MONITORING</t>
        </is>
      </c>
      <c r="I4" s="40" t="n">
        <v>5098.8</v>
      </c>
      <c r="J4" s="40" t="n">
        <v>0</v>
      </c>
      <c r="K4" s="39" t="inlineStr">
        <is>
          <t>Paper trade for momentum score tracking (88.8/100)</t>
        </is>
      </c>
    </row>
    <row r="5" ht="20" customHeight="1" s="20">
      <c r="A5" s="38" t="inlineStr">
        <is>
          <t>2026-07-24</t>
        </is>
      </c>
      <c r="B5" s="38" t="inlineStr">
        <is>
          <t>SIEMENS</t>
        </is>
      </c>
      <c r="C5" s="39" t="inlineStr">
        <is>
          <t>Siemens Limited</t>
        </is>
      </c>
      <c r="D5" s="40" t="n">
        <v>3686.3</v>
      </c>
      <c r="E5" s="40" t="n">
        <v>3491.06</v>
      </c>
      <c r="F5" s="40" t="n">
        <v>4076.79</v>
      </c>
      <c r="G5" s="40" t="n">
        <v>2000</v>
      </c>
      <c r="H5" s="38" t="inlineStr">
        <is>
          <t>MONITORING</t>
        </is>
      </c>
      <c r="I5" s="40" t="n">
        <v>3686.3</v>
      </c>
      <c r="J5" s="40" t="n">
        <v>0</v>
      </c>
      <c r="K5" s="39" t="inlineStr">
        <is>
          <t>Paper trade for momentum score tracking (88.2/100)</t>
        </is>
      </c>
    </row>
    <row r="6" ht="20" customHeight="1" s="20">
      <c r="A6" s="38" t="inlineStr">
        <is>
          <t>2026-07-24</t>
        </is>
      </c>
      <c r="B6" s="38" t="inlineStr">
        <is>
          <t>HAL</t>
        </is>
      </c>
      <c r="C6" s="39" t="inlineStr">
        <is>
          <t>Hindustan Aeronautics</t>
        </is>
      </c>
      <c r="D6" s="40" t="n">
        <v>4592.5</v>
      </c>
      <c r="E6" s="40" t="n">
        <v>4418.04</v>
      </c>
      <c r="F6" s="40" t="n">
        <v>4941.41</v>
      </c>
      <c r="G6" s="40" t="n">
        <v>2000</v>
      </c>
      <c r="H6" s="38" t="inlineStr">
        <is>
          <t>MONITORING</t>
        </is>
      </c>
      <c r="I6" s="40" t="n">
        <v>4592.5</v>
      </c>
      <c r="J6" s="40" t="n">
        <v>0</v>
      </c>
      <c r="K6" s="39" t="inlineStr">
        <is>
          <t>Paper trade for momentum score tracking (85.2/100)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2026-07-24T03:24:48Z</dcterms:modified>
</cp:coreProperties>
</file>