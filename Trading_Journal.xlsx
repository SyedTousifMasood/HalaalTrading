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4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B365D"/>
      <sz val="16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9" fillId="0" borderId="5" pivotButton="0" quotePrefix="0" xfId="0"/>
    <xf numFmtId="0" fontId="10" fillId="6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10" fillId="6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4" fontId="13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6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0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0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0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0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0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0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0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0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0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0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0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0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0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0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0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0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0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0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0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0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0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0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0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0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5" t="inlineStr">
        <is>
          <t>jhyu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5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6" t="inlineStr">
        <is>
          <t>Total Net Capital Deposited</t>
        </is>
      </c>
      <c r="B5" s="17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6" t="inlineStr">
        <is>
          <t>Lifetime Realized PnL</t>
        </is>
      </c>
      <c r="B6" s="17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16" t="inlineStr">
        <is>
          <t>Current Total Portfolio Value</t>
        </is>
      </c>
      <c r="B7" s="17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16" t="inlineStr">
        <is>
          <t>Capital Deployed in Open Trades</t>
        </is>
      </c>
      <c r="B8" s="17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16" t="inlineStr">
        <is>
          <t>Capital Available for Trading</t>
        </is>
      </c>
      <c r="B9" s="17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5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16" t="inlineStr">
        <is>
          <t>Swing Win Rate</t>
        </is>
      </c>
      <c r="B11" s="2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23" t="inlineStr">
        <is>
          <t>Swing Realized PnL</t>
        </is>
      </c>
      <c r="B12" s="17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23" t="inlineStr">
        <is>
          <t>Swing Completed Trades</t>
        </is>
      </c>
      <c r="B13" s="24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3" t="inlineStr">
        <is>
          <t>Swing Active Positions</t>
        </is>
      </c>
      <c r="B14" s="24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25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23" t="inlineStr">
        <is>
          <t>Intraday Win Rate</t>
        </is>
      </c>
      <c r="B16" s="2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23" t="inlineStr">
        <is>
          <t>Intraday Realized PnL</t>
        </is>
      </c>
      <c r="B17" s="17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23" t="inlineStr">
        <is>
          <t>Intraday Completed Trades</t>
        </is>
      </c>
      <c r="B18" s="24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23" t="inlineStr">
        <is>
          <t>Intraday Active Positions</t>
        </is>
      </c>
      <c r="B19" s="24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6" customWidth="1" style="31" min="3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SUNPHARMA</t>
        </is>
      </c>
      <c r="B2" s="8" t="inlineStr">
        <is>
          <t>SUNPHARMA</t>
        </is>
      </c>
      <c r="C2" s="8" t="inlineStr">
        <is>
          <t>2026-07-21</t>
        </is>
      </c>
      <c r="D2" s="8" t="n">
        <v>1</v>
      </c>
      <c r="E2" s="9" t="n">
        <v>1951</v>
      </c>
      <c r="F2" s="9" t="n">
        <v>1963.199951171875</v>
      </c>
      <c r="G2" s="9">
        <f>E2-F2</f>
        <v/>
      </c>
      <c r="H2" s="9" t="n">
        <v>2091.543361767483</v>
      </c>
      <c r="I2" s="9" t="n">
        <v>1899.028245874071</v>
      </c>
      <c r="J2" s="8" t="inlineStr">
        <is>
          <t>1:2.7</t>
        </is>
      </c>
      <c r="K2" s="8" t="inlineStr">
        <is>
          <t>2026-07-21</t>
        </is>
      </c>
      <c r="L2" s="9" t="n">
        <v>1960</v>
      </c>
      <c r="M2" s="9">
        <f>IF(OR(N2="WIN", N2="LOSS"), (L2-E2)*D2, 0)</f>
        <v/>
      </c>
      <c r="N2" s="8" t="inlineStr">
        <is>
          <t>WIN</t>
        </is>
      </c>
      <c r="O2" s="8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JSWSTEEL</t>
        </is>
      </c>
      <c r="B3" s="8" t="inlineStr">
        <is>
          <t>JSWSTEEL</t>
        </is>
      </c>
      <c r="C3" s="8" t="inlineStr">
        <is>
          <t>2026-07-21</t>
        </is>
      </c>
      <c r="D3" s="8" t="n">
        <v>1</v>
      </c>
      <c r="E3" s="9" t="n">
        <v>1266.4</v>
      </c>
      <c r="F3" s="9" t="n">
        <v>1268.099975585938</v>
      </c>
      <c r="G3" s="9">
        <f>E3-F3</f>
        <v/>
      </c>
      <c r="H3" s="9" t="n">
        <v>1369.684246737149</v>
      </c>
      <c r="I3" s="9" t="n">
        <v>1217.307840010332</v>
      </c>
      <c r="J3" s="8" t="inlineStr">
        <is>
          <t>1:2.1</t>
        </is>
      </c>
      <c r="K3" s="8" t="inlineStr">
        <is>
          <t>2026-07-21</t>
        </is>
      </c>
      <c r="L3" s="9" t="n">
        <v>1267.1</v>
      </c>
      <c r="M3" s="9">
        <f>IF(OR(N3="WIN", N3="LOSS"), (L3-E3)*D3, 0)</f>
        <v/>
      </c>
      <c r="N3" s="8" t="inlineStr">
        <is>
          <t>WIN</t>
        </is>
      </c>
      <c r="O3" s="8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TECHM</t>
        </is>
      </c>
      <c r="B4" s="8" t="inlineStr">
        <is>
          <t>TECHM</t>
        </is>
      </c>
      <c r="C4" s="8" t="inlineStr">
        <is>
          <t>2026-07-21</t>
        </is>
      </c>
      <c r="D4" s="8" t="n">
        <v>1</v>
      </c>
      <c r="E4" s="9" t="n">
        <v>1589.1</v>
      </c>
      <c r="F4" s="9" t="n">
        <v>1582.699951171875</v>
      </c>
      <c r="G4" s="9">
        <f>E4-F4</f>
        <v/>
      </c>
      <c r="H4" s="9" t="n">
        <v>1785.968673647753</v>
      </c>
      <c r="I4" s="9" t="n">
        <v>1481.065589933936</v>
      </c>
      <c r="J4" s="8" t="inlineStr">
        <is>
          <t>1:1.8</t>
        </is>
      </c>
      <c r="K4" s="8" t="inlineStr">
        <is>
          <t>2026-07-21</t>
        </is>
      </c>
      <c r="L4" s="9" t="n">
        <v>1575</v>
      </c>
      <c r="M4" s="9">
        <f>IF(OR(N4="WIN", N4="LOSS"), (L4-E4)*D4, 0)</f>
        <v/>
      </c>
      <c r="N4" s="8" t="inlineStr">
        <is>
          <t>LOSS</t>
        </is>
      </c>
      <c r="O4" s="8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inlineStr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inlineStr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inlineStr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inlineStr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inlineStr"/>
      <c r="L9" s="9" t="inlineStr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2026-08-03T12:34:52Z</dcterms:modified>
</cp:coreProperties>
</file>