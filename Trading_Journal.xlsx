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wrapText="1"/>
    </xf>
    <xf numFmtId="0" fontId="4" fillId="6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6" borderId="0" pivotButton="0" quotePrefix="0" xfId="0"/>
    <xf numFmtId="0" fontId="3" fillId="6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6" borderId="0" pivotButton="0" quotePrefix="0" xfId="0"/>
    <xf numFmtId="165" fontId="17" fillId="6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741829312"/>
        <axId val="38236507"/>
      </lineChart>
      <catAx>
        <axId val="74182931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236507"/>
        <lblOffset val="100"/>
      </catAx>
      <valAx>
        <axId val="382365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1829312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43526667"/>
        <axId val="1728619547"/>
      </lineChart>
      <catAx>
        <axId val="194352666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28619547"/>
        <lblOffset val="100"/>
      </catAx>
      <valAx>
        <axId val="172861954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352666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10812738"/>
        <axId val="1666547193"/>
      </lineChart>
      <catAx>
        <axId val="18108127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6547193"/>
        <lblOffset val="100"/>
      </catAx>
      <valAx>
        <axId val="166654719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10812738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22319650"/>
        <axId val="1966544836"/>
      </lineChart>
      <catAx>
        <axId val="19223196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6544836"/>
        <lblOffset val="100"/>
      </catAx>
      <valAx>
        <axId val="19665448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231965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688982428"/>
        <axId val="2031575033"/>
      </lineChart>
      <catAx>
        <axId val="16889824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1575033"/>
        <lblOffset val="100"/>
      </catAx>
      <valAx>
        <axId val="20315750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898242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80703023"/>
        <axId val="617725072"/>
      </lineChart>
      <catAx>
        <axId val="188070302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7725072"/>
        <lblOffset val="100"/>
      </catAx>
      <valAx>
        <axId val="6177250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070302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685038709"/>
        <axId val="1549761980"/>
      </lineChart>
      <catAx>
        <axId val="6850387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9761980"/>
        <lblOffset val="100"/>
      </catAx>
      <valAx>
        <axId val="15497619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5038709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8551076"/>
        <axId val="501065860"/>
      </lineChart>
      <catAx>
        <axId val="83855107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1065860"/>
        <lblOffset val="100"/>
      </catAx>
      <valAx>
        <axId val="5010658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8551076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23242171"/>
        <axId val="1170676710"/>
      </lineChart>
      <catAx>
        <axId val="6232421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676710"/>
        <lblOffset val="100"/>
      </catAx>
      <valAx>
        <axId val="117067671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242171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765109511"/>
        <axId val="700857572"/>
      </lineChart>
      <catAx>
        <axId val="17651095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0857572"/>
        <lblOffset val="100"/>
      </catAx>
      <valAx>
        <axId val="7008575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510951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416288285"/>
        <axId val="889875089"/>
      </lineChart>
      <catAx>
        <axId val="14162882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9875089"/>
        <lblOffset val="100"/>
      </catAx>
      <valAx>
        <axId val="88987508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6288285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63076437"/>
        <axId val="574107049"/>
      </lineChart>
      <catAx>
        <axId val="4630764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74107049"/>
        <lblOffset val="100"/>
      </catAx>
      <valAx>
        <axId val="5741070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307643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03211277"/>
        <axId val="1299464933"/>
      </lineChart>
      <catAx>
        <axId val="190321127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99464933"/>
        <lblOffset val="100"/>
      </catAx>
      <valAx>
        <axId val="12994649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3211277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684507786"/>
        <axId val="1403636207"/>
      </lineChart>
      <catAx>
        <axId val="16845077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3636207"/>
        <lblOffset val="100"/>
      </catAx>
      <valAx>
        <axId val="14036362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4507786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62990917"/>
        <axId val="1572295139"/>
      </lineChart>
      <catAx>
        <axId val="1962990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2295139"/>
        <lblOffset val="100"/>
      </catAx>
      <valAx>
        <axId val="157229513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2990917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677803163"/>
        <axId val="1868742670"/>
      </lineChart>
      <catAx>
        <axId val="167780316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68742670"/>
        <lblOffset val="100"/>
      </catAx>
      <valAx>
        <axId val="1868742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7803163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149621443"/>
        <axId val="601935023"/>
      </lineChart>
      <catAx>
        <axId val="114962144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1935023"/>
        <lblOffset val="100"/>
      </catAx>
      <valAx>
        <axId val="60193502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49621443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641189244"/>
        <axId val="119034535"/>
      </lineChart>
      <catAx>
        <axId val="641189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9034535"/>
        <lblOffset val="100"/>
      </catAx>
      <valAx>
        <axId val="11903453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1189244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102715319"/>
        <axId val="403509670"/>
      </lineChart>
      <catAx>
        <axId val="11027153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3509670"/>
        <lblOffset val="100"/>
      </catAx>
      <valAx>
        <axId val="403509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271531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05999260"/>
        <axId val="21482008"/>
      </lineChart>
      <catAx>
        <axId val="1059992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482008"/>
        <lblOffset val="100"/>
      </catAx>
      <valAx>
        <axId val="2148200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999260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4043859"/>
        <axId val="2014922058"/>
      </lineChart>
      <catAx>
        <axId val="3140438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14922058"/>
        <lblOffset val="100"/>
      </catAx>
      <valAx>
        <axId val="20149220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4043859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883306398"/>
        <axId val="623041526"/>
      </lineChart>
      <catAx>
        <axId val="1883306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041526"/>
        <lblOffset val="100"/>
      </catAx>
      <valAx>
        <axId val="6230415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3306398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611350156"/>
        <axId val="1593838336"/>
      </lineChart>
      <catAx>
        <axId val="161135015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3838336"/>
        <lblOffset val="100"/>
      </catAx>
      <valAx>
        <axId val="15938383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1350156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7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9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9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9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9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7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9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9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9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9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9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7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9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9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9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9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9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7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9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9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9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9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9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7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9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9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9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9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9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2026-08-16 07:33:18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IFGLEXPOR</t>
        </is>
      </c>
      <c r="E4" s="88" t="n">
        <v>4</v>
      </c>
      <c r="F4" s="89" t="n">
        <v>219.6</v>
      </c>
      <c r="G4" s="89" t="n">
        <v>225.3099975585938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AEROENTER</t>
        </is>
      </c>
      <c r="E5" s="88" t="n">
        <v>8</v>
      </c>
      <c r="F5" s="89" t="n">
        <v>132.01</v>
      </c>
      <c r="G5" s="89" t="n">
        <v>127.9499969482422</v>
      </c>
      <c r="H5" s="89">
        <f>E5*G5</f>
        <v/>
      </c>
      <c r="I5" s="93">
        <f>H5-(E5*F5)</f>
        <v/>
      </c>
      <c r="J5" s="94">
        <f>IF(F5&gt;0, I5/(E5*F5), 0)</f>
        <v/>
      </c>
      <c r="K5" s="92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5">
        <f>SUM(Ledger!M:M)</f>
        <v/>
      </c>
      <c r="C6" s="85" t="n"/>
      <c r="D6" s="87" t="inlineStr">
        <is>
          <t>CLEAN</t>
        </is>
      </c>
      <c r="E6" s="88" t="n">
        <v>4</v>
      </c>
      <c r="F6" s="89" t="n">
        <v>806.25</v>
      </c>
      <c r="G6" s="89" t="n">
        <v>821.5</v>
      </c>
      <c r="H6" s="89">
        <f>E6*G6</f>
        <v/>
      </c>
      <c r="I6" s="90">
        <f>H6-(E6*F6)</f>
        <v/>
      </c>
      <c r="J6" s="91">
        <f>IF(F6&gt;0, I6/(E6*F6), 0)</f>
        <v/>
      </c>
      <c r="K6" s="92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MRPL</t>
        </is>
      </c>
      <c r="E7" s="88" t="n">
        <v>10</v>
      </c>
      <c r="F7" s="89" t="n">
        <v>174.7</v>
      </c>
      <c r="G7" s="89" t="n">
        <v>170.5399932861328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LENSKART</t>
        </is>
      </c>
      <c r="E8" s="88" t="n">
        <v>4</v>
      </c>
      <c r="F8" s="89" t="n">
        <v>605</v>
      </c>
      <c r="G8" s="89" t="n">
        <v>611.8499755859375</v>
      </c>
      <c r="H8" s="89">
        <f>E8*G8</f>
        <v/>
      </c>
      <c r="I8" s="90">
        <f>H8-(E8*F8)</f>
        <v/>
      </c>
      <c r="J8" s="91">
        <f>IF(F8&gt;0, I8/(E8*F8), 0)</f>
        <v/>
      </c>
      <c r="K8" s="92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OIL</t>
        </is>
      </c>
      <c r="E9" s="88" t="n">
        <v>4</v>
      </c>
      <c r="F9" s="89" t="n">
        <v>473</v>
      </c>
      <c r="G9" s="89" t="n">
        <v>468.5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JAIBALAJI</t>
        </is>
      </c>
      <c r="E10" s="88" t="n">
        <v>8</v>
      </c>
      <c r="F10" s="89" t="n">
        <v>68.87</v>
      </c>
      <c r="G10" s="89" t="n">
        <v>70.59999847412109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IOLCP</t>
        </is>
      </c>
      <c r="E11" s="88" t="n">
        <v>10</v>
      </c>
      <c r="F11" s="89" t="n">
        <v>166.02</v>
      </c>
      <c r="G11" s="89" t="n">
        <v>165.5800018310547</v>
      </c>
      <c r="H11" s="89">
        <f>E11*G11</f>
        <v/>
      </c>
      <c r="I11" s="93">
        <f>H11-(E11*F11)</f>
        <v/>
      </c>
      <c r="J11" s="94">
        <f>IF(F11&gt;0, I11/(E11*F11), 0)</f>
        <v/>
      </c>
      <c r="K11" s="92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5" t="n">
        <v>14946.53982543945</v>
      </c>
      <c r="C12" s="85" t="n"/>
      <c r="D12" s="87" t="inlineStr">
        <is>
          <t>BHARATSE</t>
        </is>
      </c>
      <c r="E12" s="88" t="n">
        <v>6</v>
      </c>
      <c r="F12" s="89" t="n">
        <v>245.25</v>
      </c>
      <c r="G12" s="89" t="n">
        <v>248.0500030517578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4646</v>
      </c>
      <c r="C13" s="85" t="n"/>
      <c r="D13" s="97" t="inlineStr">
        <is>
          <t>Total Portfolio</t>
        </is>
      </c>
      <c r="E13" s="98" t="inlineStr"/>
      <c r="F13" s="99" t="inlineStr"/>
      <c r="G13" s="99" t="inlineStr"/>
      <c r="H13" s="100">
        <f>SUM(H4:H12)</f>
        <v/>
      </c>
      <c r="I13" s="100">
        <f>SUM(I4:I12)</f>
        <v/>
      </c>
      <c r="J13" s="101">
        <f>IF((H13-I13)&gt;0, I13/(H13-I13), 0)</f>
        <v/>
      </c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33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46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4.758620689655173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2.416666666666667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6.157894736842105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-0.0378939015976996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1423.224827586207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8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 t="n">
        <v>0</v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6" t="n">
        <v>806.25</v>
      </c>
      <c r="F22" s="6" t="n">
        <v>802</v>
      </c>
      <c r="G22" s="6" t="n">
        <v>4.25</v>
      </c>
      <c r="H22" s="6" t="n">
        <v>896.2857142857143</v>
      </c>
      <c r="I22" s="6" t="n">
        <v>754.8571428571429</v>
      </c>
      <c r="J22" s="4" t="inlineStr">
        <is>
          <t>1:1.8</t>
        </is>
      </c>
      <c r="K22" s="4" t="n"/>
      <c r="L22" s="4" t="n"/>
      <c r="M22" s="6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6" t="n">
        <v>174.7</v>
      </c>
      <c r="F23" s="6" t="n">
        <v>181.14</v>
      </c>
      <c r="G23" s="6" t="n">
        <v>-6.439999999999998</v>
      </c>
      <c r="H23" s="6" t="n">
        <v>213.09</v>
      </c>
      <c r="I23" s="6" t="n">
        <v>165.17</v>
      </c>
      <c r="J23" s="4" t="inlineStr">
        <is>
          <t>1:2.0</t>
        </is>
      </c>
      <c r="K23" s="4" t="n"/>
      <c r="L23" s="4" t="n"/>
      <c r="M23" s="6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6" t="n">
        <v>605</v>
      </c>
      <c r="F24" s="6" t="n">
        <v>589.2</v>
      </c>
      <c r="G24" s="6" t="n">
        <v>15.79999999999995</v>
      </c>
      <c r="H24" s="6" t="n">
        <v>646.8099999999999</v>
      </c>
      <c r="I24" s="6" t="n">
        <v>560.39</v>
      </c>
      <c r="J24" s="4" t="inlineStr">
        <is>
          <t>1:2.0</t>
        </is>
      </c>
      <c r="K24" s="4" t="n"/>
      <c r="L24" s="4" t="n"/>
      <c r="M24" s="6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6" t="n">
        <v>473</v>
      </c>
      <c r="F25" s="6" t="n">
        <v>470.35</v>
      </c>
      <c r="G25" s="6" t="n">
        <v>2.649999999999977</v>
      </c>
      <c r="H25" s="6" t="n">
        <v>525.25</v>
      </c>
      <c r="I25" s="6" t="n">
        <v>442.9</v>
      </c>
      <c r="J25" s="4" t="inlineStr">
        <is>
          <t>1:2.0</t>
        </is>
      </c>
      <c r="K25" s="4" t="n"/>
      <c r="L25" s="4" t="n"/>
      <c r="M25" s="6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6" t="n">
        <v>68.87</v>
      </c>
      <c r="F28" s="6" t="n">
        <v>68.87</v>
      </c>
      <c r="G28" s="6" t="n">
        <v>0</v>
      </c>
      <c r="H28" s="6" t="n">
        <v>81.37</v>
      </c>
      <c r="I28" s="6" t="n">
        <v>62.62</v>
      </c>
      <c r="J28" s="4" t="inlineStr">
        <is>
          <t>1:2.0</t>
        </is>
      </c>
      <c r="K28" s="4" t="n"/>
      <c r="L28" s="4" t="n"/>
      <c r="M28" s="6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6" t="n">
        <v>166.02</v>
      </c>
      <c r="F29" s="6" t="n">
        <v>166.02</v>
      </c>
      <c r="G29" s="6" t="n">
        <v>0</v>
      </c>
      <c r="H29" s="6" t="n">
        <v>197.93</v>
      </c>
      <c r="I29" s="6" t="n">
        <v>150.06</v>
      </c>
      <c r="J29" s="4" t="inlineStr">
        <is>
          <t>1:2.0</t>
        </is>
      </c>
      <c r="K29" s="4" t="n"/>
      <c r="L29" s="4" t="n"/>
      <c r="M29" s="6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6" t="n">
        <v>245.25</v>
      </c>
      <c r="F30" s="6" t="n">
        <v>245.25</v>
      </c>
      <c r="G30" s="6" t="n">
        <v>0</v>
      </c>
      <c r="H30" s="6" t="n">
        <v>297.64</v>
      </c>
      <c r="I30" s="6" t="n">
        <v>219.06</v>
      </c>
      <c r="J30" s="4" t="inlineStr">
        <is>
          <t>1:2.0</t>
        </is>
      </c>
      <c r="K30" s="4" t="n"/>
      <c r="L30" s="4" t="n"/>
      <c r="M30" s="6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1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1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1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1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1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1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1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1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1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1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1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6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6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6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1">
      <c r="A1002" s="5" t="inlineStr">
        <is>
          <t>2026-08-12</t>
        </is>
      </c>
      <c r="B1002" s="5" t="inlineStr">
        <is>
          <t>WITHDRAWAL</t>
        </is>
      </c>
      <c r="C1002" s="6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1">
      <c r="A1003" s="5" t="inlineStr">
        <is>
          <t>2026-08-12</t>
        </is>
      </c>
      <c r="B1003" s="5" t="inlineStr">
        <is>
          <t>WITHDRAWAL</t>
        </is>
      </c>
      <c r="C1003" s="6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5" t="inlineStr">
        <is>
          <t>2026-08-12</t>
        </is>
      </c>
      <c r="B1004" s="5" t="inlineStr">
        <is>
          <t>WITHDRAWAL</t>
        </is>
      </c>
      <c r="C1004" s="6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5" t="inlineStr">
        <is>
          <t>2026-08-13</t>
        </is>
      </c>
      <c r="B1005" s="5" t="inlineStr">
        <is>
          <t>WITHDRAWAL</t>
        </is>
      </c>
      <c r="C1005" s="6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5" t="inlineStr">
        <is>
          <t>2026-08-13</t>
        </is>
      </c>
      <c r="B1006" s="5" t="inlineStr">
        <is>
          <t>WITHDRAWAL</t>
        </is>
      </c>
      <c r="C1006" s="6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1">
      <c r="A1007" s="5" t="inlineStr">
        <is>
          <t>2026-08-13</t>
        </is>
      </c>
      <c r="B1007" s="5" t="inlineStr">
        <is>
          <t>WITHDRAWAL</t>
        </is>
      </c>
      <c r="C1007" s="6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5" t="inlineStr">
        <is>
          <t>2026-08-13</t>
        </is>
      </c>
      <c r="B1008" s="5" t="inlineStr">
        <is>
          <t>WITHDRAWAL</t>
        </is>
      </c>
      <c r="C1008" s="6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5" t="inlineStr">
        <is>
          <t>2026-08-13</t>
        </is>
      </c>
      <c r="B1009" s="5" t="inlineStr">
        <is>
          <t>WITHDRAWAL</t>
        </is>
      </c>
      <c r="C1009" s="6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1">
      <c r="A1010" s="5" t="inlineStr">
        <is>
          <t>2026-08-13</t>
        </is>
      </c>
      <c r="B1010" s="5" t="inlineStr">
        <is>
          <t>WITHDRAWAL</t>
        </is>
      </c>
      <c r="C1010" s="6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5" t="inlineStr">
        <is>
          <t>2026-08-13</t>
        </is>
      </c>
      <c r="B1011" s="5" t="inlineStr">
        <is>
          <t>WITHDRAWAL</t>
        </is>
      </c>
      <c r="C1011" s="6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1">
      <c r="A1012" s="5" t="inlineStr">
        <is>
          <t>2026-08-14</t>
        </is>
      </c>
      <c r="B1012" s="5" t="inlineStr">
        <is>
          <t>WITHDRAWAL</t>
        </is>
      </c>
      <c r="C1012" s="6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5" t="inlineStr">
        <is>
          <t>2026-08-14</t>
        </is>
      </c>
      <c r="B1013" s="5" t="inlineStr">
        <is>
          <t>WITHDRAWAL</t>
        </is>
      </c>
      <c r="C1013" s="6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5" t="inlineStr">
        <is>
          <t>2026-08-14</t>
        </is>
      </c>
      <c r="B1014" s="5" t="inlineStr">
        <is>
          <t>WITHDRAWAL</t>
        </is>
      </c>
      <c r="C1014" s="6" t="n">
        <v>17.61</v>
      </c>
      <c r="D1014" s="5" t="inlineStr">
        <is>
          <t>Brokerage &amp; taxes on AARTIIND SELL (3 qty @ 537.55)</t>
        </is>
      </c>
      <c r="E1014" s="4" t="n"/>
      <c r="F101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2026-08-16T02:03:19Z</dcterms:modified>
</cp:coreProperties>
</file>