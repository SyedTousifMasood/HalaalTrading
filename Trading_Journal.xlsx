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Calibri"/>
      <color theme="1"/>
      <scheme val="minor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color rgb="00C00000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1A365D"/>
        <bgColor rgb="FF1A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4A5568"/>
        <bgColor rgb="FF4A5568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3" fillId="0" borderId="0" pivotButton="0" quotePrefix="0" xfId="0"/>
    <xf numFmtId="0" fontId="5" fillId="0" borderId="0" pivotButton="0" quotePrefix="0" xfId="0"/>
    <xf numFmtId="0" fontId="4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164" fontId="3" fillId="5" borderId="0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10" fillId="0" borderId="0" pivotButton="0" quotePrefix="0" xfId="0"/>
    <xf numFmtId="0" fontId="3" fillId="7" borderId="0" applyAlignment="1" pivotButton="0" quotePrefix="0" xfId="0">
      <alignment vertical="bottom"/>
    </xf>
    <xf numFmtId="0" fontId="1" fillId="8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" fillId="4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0" fontId="13" fillId="0" borderId="0" pivotButton="0" quotePrefix="0" xfId="0"/>
    <xf numFmtId="0" fontId="14" fillId="9" borderId="6" pivotButton="0" quotePrefix="0" xfId="0"/>
    <xf numFmtId="0" fontId="8" fillId="0" borderId="7" pivotButton="0" quotePrefix="0" xfId="0"/>
    <xf numFmtId="0" fontId="12" fillId="10" borderId="0" applyAlignment="1" pivotButton="0" quotePrefix="0" xfId="0">
      <alignment horizontal="center"/>
    </xf>
    <xf numFmtId="3" fontId="12" fillId="10" borderId="0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4" fontId="15" fillId="5" borderId="0" applyAlignment="1" pivotButton="0" quotePrefix="0" xfId="0">
      <alignment horizontal="right"/>
    </xf>
    <xf numFmtId="165" fontId="15" fillId="5" borderId="0" applyAlignment="1" pivotButton="0" quotePrefix="0" xfId="0">
      <alignment horizontal="right"/>
    </xf>
    <xf numFmtId="165" fontId="12" fillId="10" borderId="0" applyAlignment="1" pivotButton="0" quotePrefix="0" xfId="0">
      <alignment horizontal="right"/>
    </xf>
    <xf numFmtId="0" fontId="16" fillId="0" borderId="0" pivotButton="0" quotePrefix="0" xfId="0"/>
    <xf numFmtId="164" fontId="12" fillId="10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165" fontId="12" fillId="10" borderId="0" pivotButton="0" quotePrefix="0" xfId="0"/>
    <xf numFmtId="3" fontId="12" fillId="10" borderId="0" pivotButton="0" quotePrefix="0" xfId="0"/>
    <xf numFmtId="0" fontId="16" fillId="9" borderId="0" applyAlignment="1" pivotButton="0" quotePrefix="0" xfId="0">
      <alignment horizontal="center"/>
    </xf>
    <xf numFmtId="3" fontId="12" fillId="9" borderId="0" applyAlignment="1" pivotButton="0" quotePrefix="0" xfId="0">
      <alignment horizontal="right"/>
    </xf>
    <xf numFmtId="164" fontId="12" fillId="9" borderId="0" applyAlignment="1" pivotButton="0" quotePrefix="0" xfId="0">
      <alignment horizontal="right"/>
    </xf>
    <xf numFmtId="164" fontId="16" fillId="9" borderId="0" applyAlignment="1" pivotButton="0" quotePrefix="0" xfId="0">
      <alignment horizontal="right"/>
    </xf>
    <xf numFmtId="165" fontId="16" fillId="9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0" fontId="14" fillId="9" borderId="0" pivotButton="0" quotePrefix="0" xfId="0"/>
    <xf numFmtId="4" fontId="12" fillId="1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3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5" fillId="15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right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'Dashboard'!$O$4:$O$12</f>
            </numRef>
          </cat>
          <val>
            <numRef>
              <f>'Dashboard'!$P$4:$P$12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'HelperData'!$A$2:$A$11</f>
            </numRef>
          </cat>
          <val>
            <numRef>
              <f>'HelperData'!$B$2:$B$11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0" min="1" max="3"/>
    <col width="32" customWidth="1" style="60" min="4" max="4"/>
    <col width="8.710000000000001" customWidth="1" style="60" min="5" max="6"/>
  </cols>
  <sheetData>
    <row r="1" ht="39.75" customHeight="1" s="60">
      <c r="A1" s="3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0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0">
      <c r="A4" s="10" t="inlineStr">
        <is>
          <t>System Type</t>
        </is>
      </c>
      <c r="B4" s="61" t="inlineStr">
        <is>
          <t>Rule-based quantitative Swing Trading system optimized for momentum setups.</t>
        </is>
      </c>
      <c r="C4" s="62" t="n"/>
      <c r="D4" s="63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0">
      <c r="A5" s="10" t="inlineStr">
        <is>
          <t>Asset Class</t>
        </is>
      </c>
      <c r="B5" s="61" t="inlineStr">
        <is>
          <t>Indian Equities listed on NSE and BSE.</t>
        </is>
      </c>
      <c r="C5" s="62" t="n"/>
      <c r="D5" s="63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0">
      <c r="A6" s="10" t="inlineStr">
        <is>
          <t>Target Universe</t>
        </is>
      </c>
      <c r="B6" s="61" t="inlineStr">
        <is>
          <t>Sharia-compliant stocks with high liquidity (Market Cap &gt; ₹500 Cr, Average Daily Volume &gt; 100,000).</t>
        </is>
      </c>
      <c r="C6" s="62" t="n"/>
      <c r="D6" s="63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0">
      <c r="A7" s="10" t="inlineStr">
        <is>
          <t>Trading Regime</t>
        </is>
      </c>
      <c r="B7" s="61" t="inlineStr">
        <is>
          <t>Adaptive momentum filters powered by custom trend, volatility, volume, and levels weights.</t>
        </is>
      </c>
      <c r="C7" s="62" t="n"/>
      <c r="D7" s="63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0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0">
      <c r="A10" s="10" t="inlineStr">
        <is>
          <t>Sector Exclusions</t>
        </is>
      </c>
      <c r="B10" s="61" t="inlineStr">
        <is>
          <t>Conventional Financial Services (Banks, Credit Services, Insurance), Tobacco, Alcohol, Brewers/Wineries, Gambling.</t>
        </is>
      </c>
      <c r="C10" s="62" t="n"/>
      <c r="D10" s="63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0">
      <c r="A11" s="10" t="inlineStr">
        <is>
          <t>Debt Ratio Limit</t>
        </is>
      </c>
      <c r="B11" s="61" t="inlineStr">
        <is>
          <t>Total Long Term &amp; Short Term Debt / Total Assets must be strictly less than 33%.</t>
        </is>
      </c>
      <c r="C11" s="62" t="n"/>
      <c r="D11" s="63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0">
      <c r="A12" s="10" t="inlineStr">
        <is>
          <t>Cash Ratio Limit</t>
        </is>
      </c>
      <c r="B12" s="61" t="inlineStr">
        <is>
          <t>Cash And Cash Equivalents &amp; Short Term Investments / Total Assets must be strictly less than 33%.</t>
        </is>
      </c>
      <c r="C12" s="62" t="n"/>
      <c r="D12" s="63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0">
      <c r="A13" s="10" t="inlineStr">
        <is>
          <t>Receivables Ratio</t>
        </is>
      </c>
      <c r="B13" s="61" t="inlineStr">
        <is>
          <t>Net Receivables / Total Assets must be strictly less than 49%.</t>
        </is>
      </c>
      <c r="C13" s="62" t="n"/>
      <c r="D13" s="63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0">
      <c r="A14" s="10" t="inlineStr">
        <is>
          <t>Non-Permissible Income</t>
        </is>
      </c>
      <c r="B14" s="61" t="inlineStr">
        <is>
          <t>Interest and Haram non-operating income / Total Revenue must be strictly less than 5%.</t>
        </is>
      </c>
      <c r="C14" s="62" t="n"/>
      <c r="D14" s="63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0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0">
      <c r="A17" s="10" t="inlineStr">
        <is>
          <t>Capital Control</t>
        </is>
      </c>
      <c r="B17" s="61" t="inlineStr">
        <is>
          <t>Position sizing is dynamically calculated based on the actual Capital Available for Trading in this journal.</t>
        </is>
      </c>
      <c r="C17" s="62" t="n"/>
      <c r="D17" s="63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0">
      <c r="A18" s="10" t="inlineStr">
        <is>
          <t>Allocation Cap</t>
        </is>
      </c>
      <c r="B18" s="61" t="inlineStr">
        <is>
          <t>Maximum capital allocated per trade is strictly capped at 20% of your total available account balance.</t>
        </is>
      </c>
      <c r="C18" s="62" t="n"/>
      <c r="D18" s="63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0">
      <c r="A19" s="10" t="inlineStr">
        <is>
          <t>Stop Loss (SL)</t>
        </is>
      </c>
      <c r="B19" s="61" t="inlineStr">
        <is>
          <t>Calculated dynamically using volatility (ATR / 200 EMA bounds) to guarantee downside protection.</t>
        </is>
      </c>
      <c r="C19" s="62" t="n"/>
      <c r="D19" s="63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0">
      <c r="A20" s="10" t="inlineStr">
        <is>
          <t>Target Price (T1)</t>
        </is>
      </c>
      <c r="B20" s="61" t="inlineStr">
        <is>
          <t>Calculated using volatility metrics to target a minimum Risk-to-Reward ratio of 1:2.0.</t>
        </is>
      </c>
      <c r="C20" s="62" t="n"/>
      <c r="D20" s="63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0">
      <c r="A21" s="10" t="inlineStr">
        <is>
          <t>Market Regime Filter</t>
        </is>
      </c>
      <c r="B21" s="61" t="inlineStr">
        <is>
          <t>Bullish: Nifty 50 &gt; 200 EMA (Trades permitted). Bearish: Nifty 50 &lt; 200 EMA (Long entries strictly skipped).</t>
        </is>
      </c>
      <c r="C21" s="62" t="n"/>
      <c r="D21" s="63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0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0">
      <c r="A24" s="10" t="inlineStr">
        <is>
          <t>Allocation Cap</t>
        </is>
      </c>
      <c r="B24" s="61" t="inlineStr">
        <is>
          <t>State-dependent: 20% max in State 1 (Macro Bullish); 10% max in State 2 (Bear Relief Rally) &amp; State 3 (Capitulation Bottom); 0% in State 4 (Cash Only).</t>
        </is>
      </c>
      <c r="C24" s="62" t="n"/>
      <c r="D24" s="63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0">
      <c r="A25" s="10" t="inlineStr">
        <is>
          <t>EOD Sync</t>
        </is>
      </c>
      <c r="B25" s="61" t="inlineStr">
        <is>
          <t>Run: py main.py sync-zerodha-orders  (Auto-syncs filled orders from Zerodha Kite, updates Ledger and Capital sheet)</t>
        </is>
      </c>
      <c r="C25" s="62" t="n"/>
      <c r="D25" s="63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0">
      <c r="A26" s="10" t="inlineStr">
        <is>
          <t>BSE Scan Expansion</t>
        </is>
      </c>
      <c r="B26" s="61" t="inlineStr">
        <is>
          <t>Run: py scratch/scan_all_bse.py  (Scans BSE equities to expand the Sharia-compliant universe)</t>
        </is>
      </c>
      <c r="C26" s="62" t="n"/>
      <c r="D26" s="63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0">
      <c r="A27" s="10" t="inlineStr">
        <is>
          <t>Market Regime Filter</t>
        </is>
      </c>
      <c r="B27" s="6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2" t="n"/>
      <c r="D27" s="63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0">
      <c r="A28" s="10" t="inlineStr">
        <is>
          <t>Broker Integration</t>
        </is>
      </c>
      <c r="B28" s="61" t="inlineStr">
        <is>
          <t>Uses custom Zerodha Web Adapter (totp_secret &amp; enctoken verification) to execute zero-cost trades without subscription.</t>
        </is>
      </c>
      <c r="C28" s="62" t="n"/>
      <c r="D28" s="63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0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0">
      <c r="A43" s="10" t="inlineStr">
        <is>
          <t>Total Listed Equities</t>
        </is>
      </c>
      <c r="B43" s="61" t="inlineStr">
        <is>
          <t>7,500+ stocks across NSE and BSE combined.</t>
        </is>
      </c>
      <c r="C43" s="62" t="n"/>
      <c r="D43" s="63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0">
      <c r="A44" s="10" t="inlineStr">
        <is>
          <t>Sharia-Compliant</t>
        </is>
      </c>
      <c r="B44" s="61" t="inlineStr">
        <is>
          <t>2,000+ stocks pass business and financial ratio exclusions (approx. 30-35% of Indian market).</t>
        </is>
      </c>
      <c r="C44" s="62" t="n"/>
      <c r="D44" s="63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0">
      <c r="A45" s="10" t="inlineStr">
        <is>
          <t>HSTS Filtered Universe</t>
        </is>
      </c>
      <c r="B45" s="61" t="inlineStr">
        <is>
          <t>545 stocks verified as both Sharia-compliant and highly liquid for swing trading.</t>
        </is>
      </c>
      <c r="C45" s="62" t="n"/>
      <c r="D45" s="63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0">
      <c r="A46" s="10" t="inlineStr">
        <is>
          <t>Liquidity Pre-Filter</t>
        </is>
      </c>
      <c r="B46" s="61" t="inlineStr">
        <is>
          <t>Market Capitalization &gt; INR 500 Crore AND Average Daily Volume &gt; 100,000 shares.</t>
        </is>
      </c>
      <c r="C46" s="62" t="n"/>
      <c r="D46" s="63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0">
      <c r="A47" s="10" t="inlineStr">
        <is>
          <t>Protection Rationale</t>
        </is>
      </c>
      <c r="B47" s="61" t="inlineStr">
        <is>
          <t>Filters out volatile micro-caps and penny stocks, minimizing execution slippage and preventing lower-circuit lock-ins.</t>
        </is>
      </c>
      <c r="C47" s="62" t="n"/>
      <c r="D47" s="63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0" min="1" max="1"/>
    <col width="22" customWidth="1" style="60" min="2" max="2"/>
    <col width="8.710000000000001" customWidth="1" style="60" min="3" max="3"/>
    <col width="16" customWidth="1" style="60" min="4" max="4"/>
    <col width="10" customWidth="1" style="60" min="5" max="5"/>
    <col width="16" customWidth="1" style="60" min="6" max="7"/>
    <col width="16" customWidth="1" style="60" min="7" max="7"/>
    <col width="18" customWidth="1" style="60" min="8" max="9"/>
    <col width="18" customWidth="1" style="60" min="9" max="9"/>
    <col width="14" customWidth="1" style="60" min="10" max="11"/>
    <col width="14" customWidth="1" style="60" min="11" max="11"/>
    <col hidden="1" width="13" customWidth="1" style="60" min="15" max="15"/>
    <col hidden="1" width="13" customWidth="1" style="60" min="16" max="16"/>
  </cols>
  <sheetData>
    <row r="1" ht="30" customHeight="1" s="60">
      <c r="A1" s="64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0">
      <c r="A2" s="65" t="inlineStr">
        <is>
          <t>Last updated on : 2026-08-20 11:53:04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0">
      <c r="A3" s="66" t="inlineStr">
        <is>
          <t>Metric</t>
        </is>
      </c>
      <c r="B3" s="66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7" t="inlineStr">
        <is>
          <t>Global Portfolio Metrics</t>
        </is>
      </c>
      <c r="C4" s="85" t="n"/>
      <c r="D4" s="87" t="inlineStr">
        <is>
          <t>CLEAN</t>
        </is>
      </c>
      <c r="E4" s="88" t="n">
        <v>4</v>
      </c>
      <c r="F4" s="89" t="n">
        <v>806.25</v>
      </c>
      <c r="G4" s="89" t="n">
        <v>834.7000122070312</v>
      </c>
      <c r="H4" s="89">
        <f>E4*G4</f>
        <v/>
      </c>
      <c r="I4" s="90">
        <f>H4-(E4*F4)</f>
        <v/>
      </c>
      <c r="J4" s="91">
        <f>IF(F4&gt;0, I4/(E4*F4), 0)</f>
        <v/>
      </c>
      <c r="K4" s="92">
        <f>H4/H13</f>
        <v/>
      </c>
      <c r="L4" s="4" t="n"/>
      <c r="M4" s="4" t="n"/>
      <c r="N4" s="4" t="n"/>
      <c r="O4" s="4" t="inlineStr">
        <is>
          <t>CLEAN (4 Qty, ₹3,225)</t>
        </is>
      </c>
      <c r="P4" s="4" t="n">
        <v>3225</v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8" t="inlineStr">
        <is>
          <t>Total Net Capital Deposited</t>
        </is>
      </c>
      <c r="B5" s="69">
        <f>SUMIF(Capital!B:B, "DEPOSIT", Capital!C:C)</f>
        <v/>
      </c>
      <c r="C5" s="85" t="n"/>
      <c r="D5" s="87" t="inlineStr">
        <is>
          <t>OIL</t>
        </is>
      </c>
      <c r="E5" s="88" t="n">
        <v>4</v>
      </c>
      <c r="F5" s="89" t="n">
        <v>473</v>
      </c>
      <c r="G5" s="89" t="n">
        <v>480.8999938964844</v>
      </c>
      <c r="H5" s="89">
        <f>E5*G5</f>
        <v/>
      </c>
      <c r="I5" s="90">
        <f>H5-(E5*F5)</f>
        <v/>
      </c>
      <c r="J5" s="91">
        <f>IF(F5&gt;0, I5/(E5*F5), 0)</f>
        <v/>
      </c>
      <c r="K5" s="92">
        <f>H5/H13</f>
        <v/>
      </c>
      <c r="L5" s="4" t="n"/>
      <c r="M5" s="4" t="n"/>
      <c r="N5" s="4" t="n"/>
      <c r="O5" s="4" t="inlineStr">
        <is>
          <t>OIL (4 Qty, ₹1,892)</t>
        </is>
      </c>
      <c r="P5" s="4" t="n">
        <v>1892</v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8" t="inlineStr">
        <is>
          <t>Lifetime Realized PnL</t>
        </is>
      </c>
      <c r="B6" s="69">
        <f>SUM(Ledger!M:M)</f>
        <v/>
      </c>
      <c r="C6" s="85" t="n"/>
      <c r="D6" s="87" t="inlineStr">
        <is>
          <t>JAIBALAJI</t>
        </is>
      </c>
      <c r="E6" s="88" t="n">
        <v>8</v>
      </c>
      <c r="F6" s="89" t="n">
        <v>68.87</v>
      </c>
      <c r="G6" s="89" t="n">
        <v>66.08000183105469</v>
      </c>
      <c r="H6" s="89">
        <f>E6*G6</f>
        <v/>
      </c>
      <c r="I6" s="93">
        <f>H6-(E6*F6)</f>
        <v/>
      </c>
      <c r="J6" s="94">
        <f>IF(F6&gt;0, I6/(E6*F6), 0)</f>
        <v/>
      </c>
      <c r="K6" s="92">
        <f>H6/H13</f>
        <v/>
      </c>
      <c r="L6" s="4" t="n"/>
      <c r="M6" s="4" t="n"/>
      <c r="N6" s="4" t="n"/>
      <c r="O6" s="4" t="inlineStr">
        <is>
          <t>JAIBALAJI (8 Qty, ₹551)</t>
        </is>
      </c>
      <c r="P6" s="4" t="n">
        <v>550.96</v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8" t="inlineStr">
        <is>
          <t>Lifetime Realized P/L Percentage</t>
        </is>
      </c>
      <c r="B7" s="70">
        <f>B6/B5</f>
        <v/>
      </c>
      <c r="C7" s="85" t="n"/>
      <c r="D7" s="87" t="inlineStr">
        <is>
          <t>IOLCP</t>
        </is>
      </c>
      <c r="E7" s="88" t="n">
        <v>10</v>
      </c>
      <c r="F7" s="89" t="n">
        <v>166.02</v>
      </c>
      <c r="G7" s="89" t="n">
        <v>163.75</v>
      </c>
      <c r="H7" s="89">
        <f>E7*G7</f>
        <v/>
      </c>
      <c r="I7" s="93">
        <f>H7-(E7*F7)</f>
        <v/>
      </c>
      <c r="J7" s="94">
        <f>IF(F7&gt;0, I7/(E7*F7), 0)</f>
        <v/>
      </c>
      <c r="K7" s="92">
        <f>H7/H13</f>
        <v/>
      </c>
      <c r="L7" s="4" t="n"/>
      <c r="M7" s="4" t="n"/>
      <c r="N7" s="4" t="n"/>
      <c r="O7" s="4" t="inlineStr">
        <is>
          <t>IOLCP (10 Qty, ₹1,660)</t>
        </is>
      </c>
      <c r="P7" s="4" t="n">
        <v>1660.2</v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8" t="inlineStr">
        <is>
          <t>Current Total Portfolio Value</t>
        </is>
      </c>
      <c r="B8" s="69">
        <f>B13+B12</f>
        <v/>
      </c>
      <c r="C8" s="85" t="n"/>
      <c r="D8" s="87" t="inlineStr">
        <is>
          <t>BHARATSE</t>
        </is>
      </c>
      <c r="E8" s="88" t="n">
        <v>6</v>
      </c>
      <c r="F8" s="89" t="n">
        <v>245.25</v>
      </c>
      <c r="G8" s="89" t="n">
        <v>230.2599945068359</v>
      </c>
      <c r="H8" s="89">
        <f>E8*G8</f>
        <v/>
      </c>
      <c r="I8" s="93">
        <f>H8-(E8*F8)</f>
        <v/>
      </c>
      <c r="J8" s="94">
        <f>IF(F8&gt;0, I8/(E8*F8), 0)</f>
        <v/>
      </c>
      <c r="K8" s="92">
        <f>H8/H13</f>
        <v/>
      </c>
      <c r="L8" s="4" t="n"/>
      <c r="M8" s="4" t="n"/>
      <c r="N8" s="4" t="n"/>
      <c r="O8" s="4" t="inlineStr">
        <is>
          <t>BHARATSE (6 Qty, ₹1,472)</t>
        </is>
      </c>
      <c r="P8" s="4" t="n">
        <v>1471.5</v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8" t="inlineStr">
        <is>
          <t>Total Number of Trades</t>
        </is>
      </c>
      <c r="B9" s="71">
        <f>COUNTIF(Ledger!N:N, "WIN") + COUNTIF(Ledger!N:N, "LOSS") + COUNTIF(Ledger!N:N, "OPEN")</f>
        <v/>
      </c>
      <c r="C9" s="85" t="n"/>
      <c r="D9" s="87" t="inlineStr">
        <is>
          <t>HAPPSTMNDS</t>
        </is>
      </c>
      <c r="E9" s="88" t="n">
        <v>3</v>
      </c>
      <c r="F9" s="89" t="n">
        <v>426.8</v>
      </c>
      <c r="G9" s="89" t="n">
        <v>414.2999877929688</v>
      </c>
      <c r="H9" s="89">
        <f>E9*G9</f>
        <v/>
      </c>
      <c r="I9" s="93">
        <f>H9-(E9*F9)</f>
        <v/>
      </c>
      <c r="J9" s="94">
        <f>IF(F9&gt;0, I9/(E9*F9), 0)</f>
        <v/>
      </c>
      <c r="K9" s="92">
        <f>H9/H13</f>
        <v/>
      </c>
      <c r="L9" s="4" t="n"/>
      <c r="M9" s="4" t="n"/>
      <c r="N9" s="4" t="n"/>
      <c r="O9" s="4" t="inlineStr">
        <is>
          <t>HAPPSTMNDS (3 Qty, ₹1,280)</t>
        </is>
      </c>
      <c r="P9" s="4" t="n">
        <v>1280.4</v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8" t="inlineStr">
        <is>
          <t>Winning Percentage of Trades</t>
        </is>
      </c>
      <c r="B10" s="70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ZEEMEDIA</t>
        </is>
      </c>
      <c r="E10" s="88" t="n">
        <v>150</v>
      </c>
      <c r="F10" s="89" t="n">
        <v>9.699999999999999</v>
      </c>
      <c r="G10" s="89" t="n">
        <v>9.399999618530273</v>
      </c>
      <c r="H10" s="89">
        <f>E10*G10</f>
        <v/>
      </c>
      <c r="I10" s="93">
        <f>H10-(E10*F10)</f>
        <v/>
      </c>
      <c r="J10" s="94">
        <f>IF(F10&gt;0, I10/(E10*F10), 0)</f>
        <v/>
      </c>
      <c r="K10" s="92">
        <f>H10/H13</f>
        <v/>
      </c>
      <c r="L10" s="4" t="n"/>
      <c r="M10" s="4" t="n"/>
      <c r="N10" s="4" t="n"/>
      <c r="O10" s="4" t="inlineStr">
        <is>
          <t>ZEEMEDIA (150 Qty, ₹1,455)</t>
        </is>
      </c>
      <c r="P10" s="4" t="n">
        <v>1455</v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8" t="inlineStr">
        <is>
          <t>Capital Deployed in Open Trades</t>
        </is>
      </c>
      <c r="B11" s="69">
        <f>SUMPRODUCT((Ledger!N2:N5000="OPEN")*(Ledger!E2:E5000)*(Ledger!D2:D5000))</f>
        <v/>
      </c>
      <c r="C11" s="85" t="n"/>
      <c r="D11" s="87" t="inlineStr">
        <is>
          <t>GAYAPROJ-BE</t>
        </is>
      </c>
      <c r="E11" s="88" t="n">
        <v>100</v>
      </c>
      <c r="F11" s="89" t="n">
        <v>21.8</v>
      </c>
      <c r="G11" s="89" t="n">
        <v>21.8</v>
      </c>
      <c r="H11" s="89">
        <f>E11*G11</f>
        <v/>
      </c>
      <c r="I11" s="90">
        <f>H11-(E11*F11)</f>
        <v/>
      </c>
      <c r="J11" s="91">
        <f>IF(F11&gt;0, I11/(E11*F11), 0)</f>
        <v/>
      </c>
      <c r="K11" s="92">
        <f>H11/H13</f>
        <v/>
      </c>
      <c r="L11" s="4" t="n"/>
      <c r="M11" s="4" t="n"/>
      <c r="N11" s="4" t="n"/>
      <c r="O11" s="4" t="inlineStr">
        <is>
          <t>GAYAPROJ-BE (100 Qty, ₹2,180)</t>
        </is>
      </c>
      <c r="P11" s="4" t="n">
        <v>2180</v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8" t="inlineStr">
        <is>
          <t>Current Value of Active Trades</t>
        </is>
      </c>
      <c r="B12" s="69" t="n">
        <v>15801.79996109009</v>
      </c>
      <c r="C12" s="85" t="n"/>
      <c r="D12" s="87" t="inlineStr">
        <is>
          <t>THELEELA</t>
        </is>
      </c>
      <c r="E12" s="88" t="n">
        <v>4</v>
      </c>
      <c r="F12" s="89" t="n">
        <v>539.3</v>
      </c>
      <c r="G12" s="89" t="n">
        <v>539.7000122070312</v>
      </c>
      <c r="H12" s="89">
        <f>E12*G12</f>
        <v/>
      </c>
      <c r="I12" s="90">
        <f>H12-(E12*F12)</f>
        <v/>
      </c>
      <c r="J12" s="91">
        <f>IF(F12&gt;0, I12/(E12*F12), 0)</f>
        <v/>
      </c>
      <c r="K12" s="92">
        <f>H12/H13</f>
        <v/>
      </c>
      <c r="L12" s="4" t="n"/>
      <c r="M12" s="4" t="n"/>
      <c r="N12" s="4" t="n"/>
      <c r="O12" s="4" t="inlineStr">
        <is>
          <t>THELEELA (4 Qty, ₹2,157)</t>
        </is>
      </c>
      <c r="P12" s="4" t="n">
        <v>2157.2</v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8" t="inlineStr">
        <is>
          <t>Capital Available for Trading</t>
        </is>
      </c>
      <c r="B13" s="69">
        <f>B5 - SUMIF(Capital!B:B, "WITHDRAWAL", Capital!C:C) + B6 - B11</f>
        <v/>
      </c>
      <c r="C13" s="85" t="n"/>
      <c r="D13" s="98" t="inlineStr">
        <is>
          <t>Total Portfolio</t>
        </is>
      </c>
      <c r="E13" s="99" t="inlineStr"/>
      <c r="F13" s="100" t="inlineStr"/>
      <c r="G13" s="100" t="inlineStr"/>
      <c r="H13" s="101">
        <f>SUM(H4:H12)</f>
        <v/>
      </c>
      <c r="I13" s="101">
        <f>SUM(I4:I12)</f>
        <v/>
      </c>
      <c r="J13" s="102">
        <f>IF((H13-I13)&gt;0, I13/(H13-I13), 0)</f>
        <v/>
      </c>
      <c r="K13" s="102">
        <f>SUM(K4:K12)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8" t="inlineStr">
        <is>
          <t>Total Wins</t>
        </is>
      </c>
      <c r="B14" s="71">
        <f>COUNTIF(Ledger!N:N, "WIN")</f>
        <v/>
      </c>
      <c r="C14" s="85" t="n"/>
      <c r="D14" s="103" t="n"/>
      <c r="E14" s="104" t="n"/>
      <c r="F14" s="105" t="n"/>
      <c r="G14" s="105" t="n"/>
      <c r="H14" s="105" t="n"/>
      <c r="I14" s="105" t="n"/>
      <c r="J14" s="106" t="n"/>
      <c r="K14" s="42">
        <f>H14/H15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8" t="inlineStr">
        <is>
          <t>Total Losses</t>
        </is>
      </c>
      <c r="B15" s="71">
        <f>COUNTIF(Ledger!N:N, "LOSS")</f>
        <v/>
      </c>
      <c r="C15" s="85" t="n"/>
      <c r="D15" s="103" t="n"/>
      <c r="E15" s="85" t="n"/>
      <c r="F15" s="85" t="n"/>
      <c r="G15" s="85" t="n"/>
      <c r="H15" s="105" t="n"/>
      <c r="I15" s="105" t="n"/>
      <c r="J15" s="106" t="n"/>
      <c r="K15" s="53">
        <f>SUM(K4:K14)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8" t="inlineStr">
        <is>
          <t>Total Taxes Paid to Zerodha</t>
        </is>
      </c>
      <c r="B16" s="69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2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8" t="inlineStr">
        <is>
          <t>Swing Win Rate</t>
        </is>
      </c>
      <c r="B18" s="70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8" t="inlineStr">
        <is>
          <t>Swing Realized PnL</t>
        </is>
      </c>
      <c r="B19" s="69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8" t="inlineStr">
        <is>
          <t>Swing Completed Trades</t>
        </is>
      </c>
      <c r="B20" s="71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68" t="inlineStr">
        <is>
          <t>Swing Active Positions</t>
        </is>
      </c>
      <c r="B21" s="71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72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68" t="inlineStr">
        <is>
          <t>Intraday Win Rate</t>
        </is>
      </c>
      <c r="B23" s="70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68" t="inlineStr">
        <is>
          <t>Intraday Realized PnL</t>
        </is>
      </c>
      <c r="B24" s="69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68" t="inlineStr">
        <is>
          <t>Intraday Completed Trades</t>
        </is>
      </c>
      <c r="B25" s="71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68" t="inlineStr">
        <is>
          <t>Intraday Active Positions</t>
        </is>
      </c>
      <c r="B26" s="71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72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68" t="inlineStr">
        <is>
          <t>Average Days to Exit a Trade</t>
        </is>
      </c>
      <c r="B28" s="73" t="n">
        <v>5.235294117647059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68" t="inlineStr">
        <is>
          <t>Average Trades per Day</t>
        </is>
      </c>
      <c r="B29" s="73" t="n">
        <v>2.428571428571428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68" t="inlineStr">
        <is>
          <t>Average Unique Holdings per Day</t>
        </is>
      </c>
      <c r="B30" s="73" t="n">
        <v>7.043478260869565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68" t="inlineStr">
        <is>
          <t>Average Profit % per trade</t>
        </is>
      </c>
      <c r="B31" s="70" t="n">
        <v>0.06422336099808393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68" t="inlineStr">
        <is>
          <t>Average Loss % per trade</t>
        </is>
      </c>
      <c r="B32" s="70" t="n">
        <v>-0.03835370196039267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68" t="inlineStr">
        <is>
          <t>Average Value per Trade</t>
        </is>
      </c>
      <c r="B33" s="69" t="n">
        <v>1459.228529411765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0" min="1" max="1"/>
    <col width="25" customWidth="1" style="60" min="2" max="2"/>
    <col width="12.86" customWidth="1" style="60" min="3" max="3"/>
    <col width="10.86" customWidth="1" style="60" min="4" max="4"/>
    <col width="16" customWidth="1" style="60" min="5" max="9"/>
    <col width="22" customWidth="1" style="60" min="10" max="10"/>
    <col width="16" customWidth="1" style="60" min="11" max="14"/>
    <col width="30" customWidth="1" style="60" min="15" max="15"/>
    <col width="18" customWidth="1" style="60" min="16" max="16"/>
  </cols>
  <sheetData>
    <row r="1" ht="27.75" customHeight="1" s="60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6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4" t="inlineStr">
        <is>
          <t>SUNPHARMA</t>
        </is>
      </c>
      <c r="B2" s="74" t="inlineStr">
        <is>
          <t>SUNPHARMA</t>
        </is>
      </c>
      <c r="C2" s="74" t="inlineStr">
        <is>
          <t>2026-07-21</t>
        </is>
      </c>
      <c r="D2" s="74" t="n">
        <v>1</v>
      </c>
      <c r="E2" s="75" t="n">
        <v>1951</v>
      </c>
      <c r="F2" s="75" t="n">
        <v>1963.199951171875</v>
      </c>
      <c r="G2" s="75" t="n">
        <v>-12.199951171875</v>
      </c>
      <c r="H2" s="75" t="n">
        <v>2091.543361767483</v>
      </c>
      <c r="I2" s="75" t="n">
        <v>1899.028245874071</v>
      </c>
      <c r="J2" s="74" t="inlineStr">
        <is>
          <t>1:2.7</t>
        </is>
      </c>
      <c r="K2" s="74" t="inlineStr">
        <is>
          <t>2026-07-21</t>
        </is>
      </c>
      <c r="L2" s="75" t="n">
        <v>1960</v>
      </c>
      <c r="M2" s="75">
        <f>IF(OR(N2="WIN", N2="LOSS"), (L2-E2)*D2, 0)</f>
        <v/>
      </c>
      <c r="N2" s="74" t="inlineStr">
        <is>
          <t>WIN</t>
        </is>
      </c>
      <c r="O2" s="74" t="inlineStr">
        <is>
          <t>Auto-synced from Zerodha account | Auto-synced sell from Zerodha account</t>
        </is>
      </c>
      <c r="P2" s="76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4" t="inlineStr">
        <is>
          <t>JSWSTEEL</t>
        </is>
      </c>
      <c r="B3" s="74" t="inlineStr">
        <is>
          <t>JSWSTEEL</t>
        </is>
      </c>
      <c r="C3" s="74" t="inlineStr">
        <is>
          <t>2026-07-21</t>
        </is>
      </c>
      <c r="D3" s="74" t="n">
        <v>1</v>
      </c>
      <c r="E3" s="75" t="n">
        <v>1266.4</v>
      </c>
      <c r="F3" s="75" t="n">
        <v>1268.099975585938</v>
      </c>
      <c r="G3" s="75" t="n">
        <v>-1.699975585937864</v>
      </c>
      <c r="H3" s="75" t="n">
        <v>1369.684246737149</v>
      </c>
      <c r="I3" s="75" t="n">
        <v>1217.307840010332</v>
      </c>
      <c r="J3" s="74" t="inlineStr">
        <is>
          <t>1:2.1</t>
        </is>
      </c>
      <c r="K3" s="74" t="inlineStr">
        <is>
          <t>2026-07-21</t>
        </is>
      </c>
      <c r="L3" s="75" t="n">
        <v>1267.1</v>
      </c>
      <c r="M3" s="75">
        <f>IF(OR(N3="WIN", N3="LOSS"), (L3-E3)*D3, 0)</f>
        <v/>
      </c>
      <c r="N3" s="74" t="inlineStr">
        <is>
          <t>WIN</t>
        </is>
      </c>
      <c r="O3" s="74" t="inlineStr">
        <is>
          <t>Auto-synced from Zerodha account | Auto-synced sell from Zerodha account</t>
        </is>
      </c>
      <c r="P3" s="76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7" t="inlineStr">
        <is>
          <t>TECHM</t>
        </is>
      </c>
      <c r="B4" s="77" t="inlineStr">
        <is>
          <t>TECHM</t>
        </is>
      </c>
      <c r="C4" s="77" t="inlineStr">
        <is>
          <t>2026-07-21</t>
        </is>
      </c>
      <c r="D4" s="77" t="n">
        <v>1</v>
      </c>
      <c r="E4" s="78" t="n">
        <v>1589.1</v>
      </c>
      <c r="F4" s="78" t="n">
        <v>1582.699951171875</v>
      </c>
      <c r="G4" s="78" t="n">
        <v>6.400048828124909</v>
      </c>
      <c r="H4" s="78" t="n">
        <v>1785.968673647753</v>
      </c>
      <c r="I4" s="78" t="n">
        <v>1481.065589933936</v>
      </c>
      <c r="J4" s="77" t="inlineStr">
        <is>
          <t>1:1.8</t>
        </is>
      </c>
      <c r="K4" s="77" t="inlineStr">
        <is>
          <t>2026-07-21</t>
        </is>
      </c>
      <c r="L4" s="78" t="n">
        <v>1575</v>
      </c>
      <c r="M4" s="78">
        <f>IF(OR(N4="WIN", N4="LOSS"), (L4-E4)*D4, 0)</f>
        <v/>
      </c>
      <c r="N4" s="77" t="inlineStr">
        <is>
          <t>LOSS</t>
        </is>
      </c>
      <c r="O4" s="77" t="inlineStr">
        <is>
          <t>Auto-synced from Zerodha account | Auto-synced sell from Zerodha account</t>
        </is>
      </c>
      <c r="P4" s="79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4" t="inlineStr">
        <is>
          <t>SONACOMS</t>
        </is>
      </c>
      <c r="B5" s="74" t="inlineStr">
        <is>
          <t>SONACOMS</t>
        </is>
      </c>
      <c r="C5" s="74" t="inlineStr">
        <is>
          <t>2026-07-22</t>
        </is>
      </c>
      <c r="D5" s="74" t="n">
        <v>2</v>
      </c>
      <c r="E5" s="75" t="n">
        <v>734.7</v>
      </c>
      <c r="F5" s="75" t="n">
        <v>730.4500122070312</v>
      </c>
      <c r="G5" s="75" t="n">
        <v>4.249987792968795</v>
      </c>
      <c r="H5" s="75" t="n">
        <v>800.5786220005581</v>
      </c>
      <c r="I5" s="75" t="n">
        <v>695.3857073102679</v>
      </c>
      <c r="J5" s="74" t="inlineStr">
        <is>
          <t>1:1.7</t>
        </is>
      </c>
      <c r="K5" s="76" t="inlineStr">
        <is>
          <t>2026-08-05</t>
        </is>
      </c>
      <c r="L5" s="75" t="n">
        <v>798.25</v>
      </c>
      <c r="M5" s="75">
        <f>IF(OR(N5="WIN", N5="LOSS"), (L5-E5)*D5, 0)</f>
        <v/>
      </c>
      <c r="N5" s="74" t="inlineStr">
        <is>
          <t>WIN</t>
        </is>
      </c>
      <c r="O5" s="74" t="inlineStr">
        <is>
          <t>Auto-synced from Zerodha account | [2026-07-28] State 4 (Cash Only): Hold position, maintain pre-set stop-loss, do not average down. | Auto-synced sell from Zerodha account</t>
        </is>
      </c>
      <c r="P5" s="76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0" t="inlineStr">
        <is>
          <t>JSWSTEEL</t>
        </is>
      </c>
      <c r="B6" s="80" t="inlineStr">
        <is>
          <t>JSW Steel Limited</t>
        </is>
      </c>
      <c r="C6" s="81" t="inlineStr">
        <is>
          <t>2026-07-22</t>
        </is>
      </c>
      <c r="D6" s="82" t="n">
        <v>1</v>
      </c>
      <c r="E6" s="83" t="n">
        <v>1265.1</v>
      </c>
      <c r="F6" s="83" t="n">
        <v>1265.1</v>
      </c>
      <c r="G6" s="83" t="n">
        <v>0</v>
      </c>
      <c r="H6" s="83" t="n">
        <v>1368.16</v>
      </c>
      <c r="I6" s="83" t="n">
        <v>1217.31</v>
      </c>
      <c r="J6" s="81" t="inlineStr">
        <is>
          <t>1:2.1</t>
        </is>
      </c>
      <c r="K6" s="82" t="inlineStr">
        <is>
          <t>2026-08-13</t>
        </is>
      </c>
      <c r="L6" s="83" t="n">
        <v>1269.1</v>
      </c>
      <c r="M6" s="83">
        <f>IF(OR(N6="WIN", N6="LOSS"), (L6-E6)*D6, 0)</f>
        <v/>
      </c>
      <c r="N6" s="81" t="inlineStr">
        <is>
          <t>WIN</t>
        </is>
      </c>
      <c r="O6" s="80" t="inlineStr">
        <is>
          <t>Auto-synced from Zerodha account | [2026-07-28] State 4 (Cash Only): Hold position, maintain pre-set stop-loss, do not average down. | Auto-synced sell from Zerodha account</t>
        </is>
      </c>
      <c r="P6" s="76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6" t="inlineStr">
        <is>
          <t>TECHM</t>
        </is>
      </c>
      <c r="B7" s="76" t="inlineStr">
        <is>
          <t>TECHM</t>
        </is>
      </c>
      <c r="C7" s="76" t="inlineStr">
        <is>
          <t>2026-07-27</t>
        </is>
      </c>
      <c r="D7" s="76" t="n">
        <v>1</v>
      </c>
      <c r="E7" s="75" t="n">
        <v>1579</v>
      </c>
      <c r="F7" s="75" t="n">
        <v>1593.900024414062</v>
      </c>
      <c r="G7" s="75" t="n">
        <v>-14.90002441406205</v>
      </c>
      <c r="H7" s="75" t="n">
        <v>1773.642944335938</v>
      </c>
      <c r="I7" s="75" t="n">
        <v>1504.028564453125</v>
      </c>
      <c r="J7" s="76" t="inlineStr">
        <is>
          <t>1:2.6</t>
        </is>
      </c>
      <c r="K7" s="76" t="inlineStr">
        <is>
          <t>2026-08-13</t>
        </is>
      </c>
      <c r="L7" s="75" t="n">
        <v>1634.7</v>
      </c>
      <c r="M7" s="75">
        <f>IF(OR(N7="WIN", N7="LOSS"), (L7-E7)*D7, 0)</f>
        <v/>
      </c>
      <c r="N7" s="76" t="inlineStr">
        <is>
          <t>WIN</t>
        </is>
      </c>
      <c r="O7" s="76" t="inlineStr">
        <is>
          <t>Auto-synced from Zerodha account | [2026-07-28] State 4 (Cash Only): Hold position, maintain pre-set stop-loss, do not average down. | Auto-synced sell from Zerodha account</t>
        </is>
      </c>
      <c r="P7" s="76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6" t="inlineStr">
        <is>
          <t>BERGEPAINT</t>
        </is>
      </c>
      <c r="B8" s="76" t="inlineStr">
        <is>
          <t>Berger Paints India Limited</t>
        </is>
      </c>
      <c r="C8" s="76" t="inlineStr">
        <is>
          <t>2026-07-31</t>
        </is>
      </c>
      <c r="D8" s="76" t="n">
        <v>2</v>
      </c>
      <c r="E8" s="75" t="n">
        <v>519.13</v>
      </c>
      <c r="F8" s="75" t="n">
        <v>521.35</v>
      </c>
      <c r="G8" s="75" t="n">
        <v>-2.220000000000027</v>
      </c>
      <c r="H8" s="75" t="n">
        <v>574.85</v>
      </c>
      <c r="I8" s="75" t="n">
        <v>494.6</v>
      </c>
      <c r="J8" s="76" t="inlineStr">
        <is>
          <t>1:2.0</t>
        </is>
      </c>
      <c r="K8" s="76" t="inlineStr">
        <is>
          <t>2026-08-12</t>
        </is>
      </c>
      <c r="L8" s="75" t="n">
        <v>561.2</v>
      </c>
      <c r="M8" s="75">
        <f>IF(OR(N8="WIN", N8="LOSS"), (L8-E8)*D8, 0)</f>
        <v/>
      </c>
      <c r="N8" s="76" t="inlineStr">
        <is>
          <t>WIN</t>
        </is>
      </c>
      <c r="O8" s="76" t="inlineStr">
        <is>
          <t>Auto-synced from Zerodha holdings | Auto-synced sell from Zerodha account</t>
        </is>
      </c>
      <c r="P8" s="76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9" t="inlineStr">
        <is>
          <t>ADVANCE</t>
        </is>
      </c>
      <c r="B9" s="79" t="inlineStr">
        <is>
          <t>Advanced Enzyme Technologies Limited</t>
        </is>
      </c>
      <c r="C9" s="79" t="inlineStr">
        <is>
          <t>2026-08-03</t>
        </is>
      </c>
      <c r="D9" s="79" t="n">
        <v>4</v>
      </c>
      <c r="E9" s="78" t="n">
        <v>127.8</v>
      </c>
      <c r="F9" s="78" t="n">
        <v>125.01</v>
      </c>
      <c r="G9" s="78" t="n">
        <v>2.789999999999992</v>
      </c>
      <c r="H9" s="78" t="n">
        <v>145.56</v>
      </c>
      <c r="I9" s="78" t="n">
        <v>114.74</v>
      </c>
      <c r="J9" s="79" t="inlineStr">
        <is>
          <t>1:2.0</t>
        </is>
      </c>
      <c r="K9" s="79" t="inlineStr">
        <is>
          <t>2026-08-12</t>
        </is>
      </c>
      <c r="L9" s="78" t="n">
        <v>118.2425</v>
      </c>
      <c r="M9" s="78">
        <f>IF(OR(N9="WIN", N9="LOSS"), (L9-E9)*D9, 0)</f>
        <v/>
      </c>
      <c r="N9" s="79" t="inlineStr">
        <is>
          <t>LOSS</t>
        </is>
      </c>
      <c r="O9" s="79" t="inlineStr">
        <is>
          <t>Buy actual fill price matching Zerodha (corrected from 125.01) | Auto-synced sell from Zerodha account</t>
        </is>
      </c>
      <c r="P9" s="79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9" t="inlineStr">
        <is>
          <t>NESTLEIND</t>
        </is>
      </c>
      <c r="B10" s="79" t="inlineStr">
        <is>
          <t>NESTLEIND</t>
        </is>
      </c>
      <c r="C10" s="79" t="inlineStr">
        <is>
          <t>2026-08-04</t>
        </is>
      </c>
      <c r="D10" s="79" t="n">
        <v>1</v>
      </c>
      <c r="E10" s="78" t="n">
        <v>1530</v>
      </c>
      <c r="F10" s="78" t="n">
        <v>1530</v>
      </c>
      <c r="G10" s="78" t="n">
        <v>0</v>
      </c>
      <c r="H10" s="78" t="n">
        <v>1549.8</v>
      </c>
      <c r="I10" s="78" t="n">
        <v>1520.1</v>
      </c>
      <c r="J10" s="79" t="inlineStr">
        <is>
          <t>1:2.0</t>
        </is>
      </c>
      <c r="K10" s="79" t="inlineStr">
        <is>
          <t>2026-08-04</t>
        </is>
      </c>
      <c r="L10" s="78" t="n">
        <v>1520.1</v>
      </c>
      <c r="M10" s="78">
        <f>IF(OR(N10="WIN", N10="LOSS"), (L10-E10)*D10, 0)</f>
        <v/>
      </c>
      <c r="N10" s="79" t="inlineStr">
        <is>
          <t>LOSS</t>
        </is>
      </c>
      <c r="O10" s="79" t="inlineStr">
        <is>
          <t>Intraday placement. GTT Trigger: 330204955 | Position closed via Stop-Loss GTT trigger. Actual Buy Filled at INR 1523.00</t>
        </is>
      </c>
      <c r="P10" s="79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9" t="inlineStr">
        <is>
          <t>PIDILITIND</t>
        </is>
      </c>
      <c r="B11" s="79" t="inlineStr">
        <is>
          <t>PIDILITIND</t>
        </is>
      </c>
      <c r="C11" s="79" t="inlineStr">
        <is>
          <t>2026-08-04</t>
        </is>
      </c>
      <c r="D11" s="79" t="n">
        <v>1</v>
      </c>
      <c r="E11" s="78" t="n">
        <v>1642.5</v>
      </c>
      <c r="F11" s="78" t="n">
        <v>1642.5</v>
      </c>
      <c r="G11" s="78" t="n">
        <v>0</v>
      </c>
      <c r="H11" s="78" t="n">
        <v>1658.5</v>
      </c>
      <c r="I11" s="78" t="n">
        <v>1634.5</v>
      </c>
      <c r="J11" s="79" t="inlineStr">
        <is>
          <t>1:2.0</t>
        </is>
      </c>
      <c r="K11" s="79" t="inlineStr">
        <is>
          <t>2026-08-04</t>
        </is>
      </c>
      <c r="L11" s="78" t="n">
        <v>1634.5</v>
      </c>
      <c r="M11" s="78">
        <f>IF(OR(N11="WIN", N11="LOSS"), (L11-E11)*D11, 0)</f>
        <v/>
      </c>
      <c r="N11" s="79" t="inlineStr">
        <is>
          <t>LOSS</t>
        </is>
      </c>
      <c r="O11" s="79" t="inlineStr">
        <is>
          <t>Intraday placement. GTT Trigger: 330204926 | Position closed via Stop-Loss GTT trigger.</t>
        </is>
      </c>
      <c r="P11" s="79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6" t="inlineStr">
        <is>
          <t>VISAKAIND</t>
        </is>
      </c>
      <c r="B12" s="76" t="inlineStr">
        <is>
          <t>VISAKAIND</t>
        </is>
      </c>
      <c r="C12" s="76" t="inlineStr">
        <is>
          <t>2026-08-05</t>
        </is>
      </c>
      <c r="D12" s="76" t="n">
        <v>8</v>
      </c>
      <c r="E12" s="75" t="n">
        <v>86.98999999999999</v>
      </c>
      <c r="F12" s="75" t="n">
        <v>86.98999999999999</v>
      </c>
      <c r="G12" s="75" t="n">
        <v>0</v>
      </c>
      <c r="H12" s="75" t="n">
        <v>101.83</v>
      </c>
      <c r="I12" s="75" t="n">
        <v>79.56999999999999</v>
      </c>
      <c r="J12" s="76" t="inlineStr">
        <is>
          <t>1:2.0</t>
        </is>
      </c>
      <c r="K12" s="76" t="inlineStr">
        <is>
          <t>2026-08-10</t>
        </is>
      </c>
      <c r="L12" s="75" t="n">
        <v>103.24</v>
      </c>
      <c r="M12" s="75">
        <f>IF(OR(N12="WIN", N12="LOSS"), (L12-E12)*D12, 0)</f>
        <v/>
      </c>
      <c r="N12" s="76" t="inlineStr">
        <is>
          <t>WIN</t>
        </is>
      </c>
      <c r="O12" s="76" t="inlineStr">
        <is>
          <t>Swing AMO placement. GTT Trigger: 330406766 | Auto-synced sell from Zerodha account</t>
        </is>
      </c>
      <c r="P12" s="76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9" t="inlineStr">
        <is>
          <t>EXCELSOFT</t>
        </is>
      </c>
      <c r="B13" s="79" t="inlineStr">
        <is>
          <t>EXCELSOFT</t>
        </is>
      </c>
      <c r="C13" s="79" t="inlineStr">
        <is>
          <t>2026-08-05</t>
        </is>
      </c>
      <c r="D13" s="79" t="n">
        <v>8</v>
      </c>
      <c r="E13" s="78" t="n">
        <v>82.5</v>
      </c>
      <c r="F13" s="78" t="n">
        <v>82.5</v>
      </c>
      <c r="G13" s="78" t="n">
        <v>0</v>
      </c>
      <c r="H13" s="78" t="n">
        <v>93.81</v>
      </c>
      <c r="I13" s="78" t="n">
        <v>77.58</v>
      </c>
      <c r="J13" s="79" t="inlineStr">
        <is>
          <t>1:2.0</t>
        </is>
      </c>
      <c r="K13" s="79" t="inlineStr">
        <is>
          <t>2026-08-10</t>
        </is>
      </c>
      <c r="L13" s="78" t="n">
        <v>77.58</v>
      </c>
      <c r="M13" s="78">
        <f>IF(OR(N13="WIN", N13="LOSS"), (L13-E13)*D13, 0)</f>
        <v/>
      </c>
      <c r="N13" s="79" t="inlineStr">
        <is>
          <t>LOSS</t>
        </is>
      </c>
      <c r="O13" s="79" t="inlineStr">
        <is>
          <t>Swing AMO placement. GTT Trigger: 330406774 | Auto-synced sell from Zerodha account</t>
        </is>
      </c>
      <c r="P13" s="79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9" t="inlineStr">
        <is>
          <t>SONATSOFTW</t>
        </is>
      </c>
      <c r="B14" s="79" t="inlineStr">
        <is>
          <t>SONATSOFTW</t>
        </is>
      </c>
      <c r="C14" s="79" t="inlineStr">
        <is>
          <t>2026-08-05</t>
        </is>
      </c>
      <c r="D14" s="79" t="n">
        <v>3</v>
      </c>
      <c r="E14" s="78" t="n">
        <v>341.15</v>
      </c>
      <c r="F14" s="78" t="n">
        <v>341.15</v>
      </c>
      <c r="G14" s="78" t="n">
        <v>0</v>
      </c>
      <c r="H14" s="78" t="n">
        <v>405.1</v>
      </c>
      <c r="I14" s="78" t="n">
        <v>316.2</v>
      </c>
      <c r="J14" s="79" t="inlineStr">
        <is>
          <t>1:2.6</t>
        </is>
      </c>
      <c r="K14" s="79" t="inlineStr">
        <is>
          <t>2026-08-10</t>
        </is>
      </c>
      <c r="L14" s="78" t="n">
        <v>316.2</v>
      </c>
      <c r="M14" s="78">
        <f>IF(OR(N15="WIN", N15="LOSS"), (L15-E15)*D15, 0)</f>
        <v/>
      </c>
      <c r="N14" s="79" t="inlineStr">
        <is>
          <t>LOSS</t>
        </is>
      </c>
      <c r="O14" s="79" t="inlineStr">
        <is>
          <t>Swing Trade placement. GTT Trigger: 330502180 | Auto-synced sell from Zerodha account</t>
        </is>
      </c>
      <c r="P14" s="79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79" t="inlineStr">
        <is>
          <t>IFGLEXPOR</t>
        </is>
      </c>
      <c r="B15" s="79" t="inlineStr">
        <is>
          <t>IFGLEXPOR</t>
        </is>
      </c>
      <c r="C15" s="79" t="inlineStr">
        <is>
          <t>2026-08-06</t>
        </is>
      </c>
      <c r="D15" s="79" t="n">
        <v>4</v>
      </c>
      <c r="E15" s="78" t="n">
        <v>219.6</v>
      </c>
      <c r="F15" s="78" t="n">
        <v>219.6</v>
      </c>
      <c r="G15" s="78" t="n">
        <v>0</v>
      </c>
      <c r="H15" s="78" t="n">
        <v>266.25</v>
      </c>
      <c r="I15" s="78" t="n">
        <v>219.6</v>
      </c>
      <c r="J15" s="79" t="inlineStr">
        <is>
          <t>1:2.0</t>
        </is>
      </c>
      <c r="K15" s="79" t="inlineStr">
        <is>
          <t>2026-08-18</t>
        </is>
      </c>
      <c r="L15" s="79" t="n">
        <v>218.97</v>
      </c>
      <c r="M15" s="78">
        <f>IF(OR(N16="WIN", N16="LOSS"), (L16-E16)*D16, 0)</f>
        <v/>
      </c>
      <c r="N15" s="79" t="inlineStr">
        <is>
          <t>LOSS</t>
        </is>
      </c>
      <c r="O15" s="79" t="inlineStr">
        <is>
          <t>Swing AMO placement. GTT Trigger: 330580516</t>
        </is>
      </c>
      <c r="P15" s="79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6" t="inlineStr">
        <is>
          <t>SAPPHIRE</t>
        </is>
      </c>
      <c r="B16" s="76" t="inlineStr">
        <is>
          <t>SAPPHIRE</t>
        </is>
      </c>
      <c r="C16" s="76" t="inlineStr">
        <is>
          <t>2026-08-06</t>
        </is>
      </c>
      <c r="D16" s="76" t="n">
        <v>4</v>
      </c>
      <c r="E16" s="75" t="n">
        <v>202.5</v>
      </c>
      <c r="F16" s="75" t="n">
        <v>202.5</v>
      </c>
      <c r="G16" s="75" t="n">
        <v>0</v>
      </c>
      <c r="H16" s="75" t="n">
        <v>238.85</v>
      </c>
      <c r="I16" s="75" t="n">
        <v>184.35</v>
      </c>
      <c r="J16" s="76" t="inlineStr">
        <is>
          <t>1:2.0</t>
        </is>
      </c>
      <c r="K16" s="76" t="inlineStr">
        <is>
          <t>2026-08-12</t>
        </is>
      </c>
      <c r="L16" s="75" t="n">
        <v>236.75</v>
      </c>
      <c r="M16" s="75">
        <f>IF(OR(N17="WIN", N17="LOSS"), (L17-E17)*D17, 0)</f>
        <v/>
      </c>
      <c r="N16" s="76" t="inlineStr">
        <is>
          <t>WIN</t>
        </is>
      </c>
      <c r="O16" s="76" t="inlineStr">
        <is>
          <t>Swing AMO placement. GTT Trigger: 330580530 | Auto-synced sell from Zerodha account</t>
        </is>
      </c>
      <c r="P16" s="76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9" t="inlineStr">
        <is>
          <t>AEROENTER</t>
        </is>
      </c>
      <c r="B17" s="79" t="inlineStr">
        <is>
          <t>AEROENTER</t>
        </is>
      </c>
      <c r="C17" s="79" t="inlineStr">
        <is>
          <t>2026-08-06</t>
        </is>
      </c>
      <c r="D17" s="79" t="n">
        <v>8</v>
      </c>
      <c r="E17" s="78" t="n">
        <v>132.01</v>
      </c>
      <c r="F17" s="78" t="n">
        <v>132.01</v>
      </c>
      <c r="G17" s="78" t="n">
        <v>0</v>
      </c>
      <c r="H17" s="78" t="n">
        <v>159.05</v>
      </c>
      <c r="I17" s="78" t="n">
        <v>118.7</v>
      </c>
      <c r="J17" s="79" t="inlineStr">
        <is>
          <t>1:2.0</t>
        </is>
      </c>
      <c r="K17" s="79" t="inlineStr">
        <is>
          <t>2026-08-18</t>
        </is>
      </c>
      <c r="L17" s="79" t="n">
        <v>125.73</v>
      </c>
      <c r="M17" s="78">
        <f>IF(OR(N18="WIN", N18="LOSS"), (L18-E18)*D18, 0)</f>
        <v/>
      </c>
      <c r="N17" s="79" t="inlineStr">
        <is>
          <t>LOSS</t>
        </is>
      </c>
      <c r="O17" s="79" t="inlineStr">
        <is>
          <t>Swing AMO placement. GTT Trigger: 330580552</t>
        </is>
      </c>
      <c r="P17" s="79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9" t="inlineStr">
        <is>
          <t>TATASTEEL</t>
        </is>
      </c>
      <c r="B18" s="79" t="inlineStr">
        <is>
          <t>TATASTEEL</t>
        </is>
      </c>
      <c r="C18" s="79" t="inlineStr">
        <is>
          <t>2026-08-06</t>
        </is>
      </c>
      <c r="D18" s="79" t="n">
        <v>1</v>
      </c>
      <c r="E18" s="78" t="n">
        <v>192.6</v>
      </c>
      <c r="F18" s="78" t="n">
        <v>192.6</v>
      </c>
      <c r="G18" s="78" t="n">
        <v>0</v>
      </c>
      <c r="H18" s="78" t="n">
        <v>195.65</v>
      </c>
      <c r="I18" s="78" t="n">
        <v>191.65</v>
      </c>
      <c r="J18" s="79" t="inlineStr">
        <is>
          <t>1:2.0</t>
        </is>
      </c>
      <c r="K18" s="79" t="inlineStr">
        <is>
          <t>2026-08-06</t>
        </is>
      </c>
      <c r="L18" s="79" t="n">
        <v>191.65</v>
      </c>
      <c r="M18" s="78">
        <f>IF(OR(N19="WIN", N19="LOSS"), (L19-E19)*D19, 0)</f>
        <v/>
      </c>
      <c r="N18" s="79" t="inlineStr">
        <is>
          <t>LOSS</t>
        </is>
      </c>
      <c r="O18" s="79" t="inlineStr">
        <is>
          <t>Intraday AMO placement. GTT Trigger: 330580570 | Closed via GTT Stop Loss.</t>
        </is>
      </c>
      <c r="P18" s="79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79" t="inlineStr">
        <is>
          <t>HARSHA</t>
        </is>
      </c>
      <c r="B19" s="79" t="inlineStr">
        <is>
          <t>Harsha Engineers International Limited</t>
        </is>
      </c>
      <c r="C19" s="79" t="inlineStr">
        <is>
          <t>2026-08-11</t>
        </is>
      </c>
      <c r="D19" s="79" t="n">
        <v>3</v>
      </c>
      <c r="E19" s="78" t="n">
        <v>432.6</v>
      </c>
      <c r="F19" s="78" t="n">
        <v>432.6</v>
      </c>
      <c r="G19" s="78" t="n">
        <v>0</v>
      </c>
      <c r="H19" s="78" t="n">
        <v>480.15</v>
      </c>
      <c r="I19" s="78" t="n">
        <v>408.85</v>
      </c>
      <c r="J19" s="79" t="inlineStr">
        <is>
          <t>1:2.0</t>
        </is>
      </c>
      <c r="K19" s="79" t="inlineStr">
        <is>
          <t>2026-08-12</t>
        </is>
      </c>
      <c r="L19" s="79" t="n">
        <v>410.45</v>
      </c>
      <c r="M19" s="78" t="n">
        <v>-66.4500000000001</v>
      </c>
      <c r="N19" s="79" t="inlineStr">
        <is>
          <t>LOSS</t>
        </is>
      </c>
      <c r="O19" s="79" t="inlineStr">
        <is>
          <t>AMO Swing Trade. GTT Trigger: 331229921</t>
        </is>
      </c>
      <c r="P19" s="79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79" t="inlineStr">
        <is>
          <t>CONFIPET</t>
        </is>
      </c>
      <c r="B20" s="79" t="inlineStr">
        <is>
          <t>Confidence Petroleum India Limited</t>
        </is>
      </c>
      <c r="C20" s="79" t="inlineStr">
        <is>
          <t>2026-08-11</t>
        </is>
      </c>
      <c r="D20" s="79" t="n">
        <v>10</v>
      </c>
      <c r="E20" s="78" t="n">
        <v>82.73999999999999</v>
      </c>
      <c r="F20" s="78" t="n">
        <v>82.73999999999999</v>
      </c>
      <c r="G20" s="78" t="n">
        <v>0</v>
      </c>
      <c r="H20" s="78" t="n">
        <v>99.31</v>
      </c>
      <c r="I20" s="78" t="n">
        <v>74.45</v>
      </c>
      <c r="J20" s="79" t="inlineStr">
        <is>
          <t>1:2.0</t>
        </is>
      </c>
      <c r="K20" s="79" t="inlineStr">
        <is>
          <t>2026-08-12</t>
        </is>
      </c>
      <c r="L20" s="78" t="n">
        <v>74.45</v>
      </c>
      <c r="M20" s="78">
        <f>IF(OR(N20="WIN", N20="LOSS"), (L20-E20)*D20, 0)</f>
        <v/>
      </c>
      <c r="N20" s="79" t="inlineStr">
        <is>
          <t>LOSS</t>
        </is>
      </c>
      <c r="O20" s="79" t="inlineStr">
        <is>
          <t>AMO Swing Trade. GTT Trigger: 10002 | Auto-synced sell from Zerodha account</t>
        </is>
      </c>
      <c r="P20" s="79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79" t="inlineStr">
        <is>
          <t>BEL</t>
        </is>
      </c>
      <c r="B21" s="79" t="inlineStr">
        <is>
          <t>BEL</t>
        </is>
      </c>
      <c r="C21" s="79" t="inlineStr">
        <is>
          <t>2026-08-12</t>
        </is>
      </c>
      <c r="D21" s="79" t="n">
        <v>5</v>
      </c>
      <c r="E21" s="78" t="n">
        <v>405.85</v>
      </c>
      <c r="F21" s="78" t="n">
        <v>401.3500061035156</v>
      </c>
      <c r="G21" s="78" t="n">
        <v>4.499993896484398</v>
      </c>
      <c r="H21" s="78" t="n">
        <v>429.2642865862165</v>
      </c>
      <c r="I21" s="78" t="n">
        <v>387.3928658621652</v>
      </c>
      <c r="J21" s="79" t="inlineStr">
        <is>
          <t>1:1.3</t>
        </is>
      </c>
      <c r="K21" s="79" t="inlineStr">
        <is>
          <t>2026-08-12</t>
        </is>
      </c>
      <c r="L21" s="78" t="n">
        <v>399.4</v>
      </c>
      <c r="M21" s="78">
        <f>IF(OR(N22="WIN", N22="LOSS"), (L22-E22)*D22, 0)</f>
        <v/>
      </c>
      <c r="N21" s="79" t="inlineStr">
        <is>
          <t>LOSS</t>
        </is>
      </c>
      <c r="O21" s="79" t="inlineStr">
        <is>
          <t>Auto-synced from Zerodha account | Auto-synced sell from Zerodha account</t>
        </is>
      </c>
      <c r="P21" s="79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4" t="inlineStr">
        <is>
          <t>1:1.8</t>
        </is>
      </c>
      <c r="K22" s="4" t="n"/>
      <c r="L22" s="4" t="n"/>
      <c r="M22" s="7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79" t="inlineStr">
        <is>
          <t>MRPL</t>
        </is>
      </c>
      <c r="B23" s="79" t="inlineStr">
        <is>
          <t>MRPL</t>
        </is>
      </c>
      <c r="C23" s="79" t="inlineStr">
        <is>
          <t>2026-08-13</t>
        </is>
      </c>
      <c r="D23" s="79" t="n">
        <v>10</v>
      </c>
      <c r="E23" s="78" t="n">
        <v>174.7</v>
      </c>
      <c r="F23" s="78" t="n">
        <v>181.14</v>
      </c>
      <c r="G23" s="78" t="n">
        <v>-6.439999999999998</v>
      </c>
      <c r="H23" s="78" t="n">
        <v>213.09</v>
      </c>
      <c r="I23" s="78" t="n">
        <v>165.17</v>
      </c>
      <c r="J23" s="79" t="inlineStr">
        <is>
          <t>1:2.0</t>
        </is>
      </c>
      <c r="K23" s="79" t="inlineStr">
        <is>
          <t>2026-08-20</t>
        </is>
      </c>
      <c r="L23" s="79" t="n">
        <v>165.15</v>
      </c>
      <c r="M23" s="78" t="n">
        <v>-95.5</v>
      </c>
      <c r="N23" s="79" t="inlineStr">
        <is>
          <t>LOSS</t>
        </is>
      </c>
      <c r="O23" s="79" t="inlineStr">
        <is>
          <t>Auto-added SWING via AI recommendation. SL: 165.17, TP: 213.09 (Orders pending 5:30 AM due to Zerodha AMO maintenance).</t>
        </is>
      </c>
      <c r="P23" s="79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76" t="inlineStr">
        <is>
          <t>LENSKART</t>
        </is>
      </c>
      <c r="B24" s="76" t="inlineStr">
        <is>
          <t>LENSKART</t>
        </is>
      </c>
      <c r="C24" s="76" t="inlineStr">
        <is>
          <t>2026-08-13</t>
        </is>
      </c>
      <c r="D24" s="76" t="n">
        <v>4</v>
      </c>
      <c r="E24" s="75" t="n">
        <v>605</v>
      </c>
      <c r="F24" s="75" t="n">
        <v>589.2</v>
      </c>
      <c r="G24" s="75" t="n">
        <v>15.79999999999995</v>
      </c>
      <c r="H24" s="75" t="n">
        <v>646.8099999999999</v>
      </c>
      <c r="I24" s="75" t="n">
        <v>560.39</v>
      </c>
      <c r="J24" s="76" t="inlineStr">
        <is>
          <t>1:2.0</t>
        </is>
      </c>
      <c r="K24" s="76" t="inlineStr">
        <is>
          <t>2026-08-20</t>
        </is>
      </c>
      <c r="L24" s="76" t="n">
        <v>646.8</v>
      </c>
      <c r="M24" s="75" t="n">
        <v>167.2</v>
      </c>
      <c r="N24" s="76" t="inlineStr">
        <is>
          <t>WIN</t>
        </is>
      </c>
      <c r="O24" s="76" t="inlineStr">
        <is>
          <t>Auto-added SWING via AI recommendation. SL: 560.39, TP: 646.81 (Orders pending 5:30 AM due to Zerodha AMO maintenance).</t>
        </is>
      </c>
      <c r="P24" s="76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4" t="inlineStr">
        <is>
          <t>1:2.0</t>
        </is>
      </c>
      <c r="K25" s="4" t="n"/>
      <c r="L25" s="4" t="n"/>
      <c r="M25" s="7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76" t="inlineStr">
        <is>
          <t>AARTIIND</t>
        </is>
      </c>
      <c r="B26" s="76" t="inlineStr">
        <is>
          <t>AARTIIND</t>
        </is>
      </c>
      <c r="C26" s="76" t="inlineStr">
        <is>
          <t>2026-08-13</t>
        </is>
      </c>
      <c r="D26" s="76" t="n">
        <v>4</v>
      </c>
      <c r="E26" s="75" t="n">
        <v>536</v>
      </c>
      <c r="F26" s="75" t="n">
        <v>532.3</v>
      </c>
      <c r="G26" s="75" t="n">
        <v>3.700000000000045</v>
      </c>
      <c r="H26" s="75" t="n">
        <v>562.65</v>
      </c>
      <c r="I26" s="75" t="n">
        <v>517.1</v>
      </c>
      <c r="J26" s="76" t="inlineStr">
        <is>
          <t>1:2.0</t>
        </is>
      </c>
      <c r="K26" s="76" t="inlineStr">
        <is>
          <t>2026-08-14</t>
        </is>
      </c>
      <c r="L26" s="75" t="n">
        <v>539.25</v>
      </c>
      <c r="M26" s="75">
        <f>IF(OR(N26="WIN", N26="LOSS"), (L26-E26)*D26, 0)</f>
        <v/>
      </c>
      <c r="N26" s="76" t="inlineStr">
        <is>
          <t>WIN</t>
        </is>
      </c>
      <c r="O26" s="76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6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79" t="inlineStr">
        <is>
          <t>SCHNEIDER</t>
        </is>
      </c>
      <c r="B27" s="79" t="inlineStr">
        <is>
          <t>SCHNEIDER</t>
        </is>
      </c>
      <c r="C27" s="79" t="inlineStr">
        <is>
          <t>2026-08-13</t>
        </is>
      </c>
      <c r="D27" s="79" t="n">
        <v>2</v>
      </c>
      <c r="E27" s="78" t="n">
        <v>1425</v>
      </c>
      <c r="F27" s="78" t="n">
        <v>1435</v>
      </c>
      <c r="G27" s="78" t="n">
        <v>-10</v>
      </c>
      <c r="H27" s="78" t="n">
        <v>1502.9</v>
      </c>
      <c r="I27" s="78" t="n">
        <v>1401.05</v>
      </c>
      <c r="J27" s="79" t="inlineStr">
        <is>
          <t>1:2.0</t>
        </is>
      </c>
      <c r="K27" s="79" t="inlineStr">
        <is>
          <t>2026-08-14</t>
        </is>
      </c>
      <c r="L27" s="78" t="n">
        <v>1401</v>
      </c>
      <c r="M27" s="78">
        <f>IF(OR(N27="WIN", N27="LOSS"), (L27-E27)*D27, 0)</f>
        <v/>
      </c>
      <c r="N27" s="79" t="inlineStr">
        <is>
          <t>LOSS</t>
        </is>
      </c>
      <c r="O27" s="79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9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4" t="inlineStr">
        <is>
          <t>1:2.0</t>
        </is>
      </c>
      <c r="K28" s="4" t="n"/>
      <c r="L28" s="4" t="n"/>
      <c r="M28" s="7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4" t="inlineStr">
        <is>
          <t>1:2.0</t>
        </is>
      </c>
      <c r="K29" s="4" t="n"/>
      <c r="L29" s="4" t="n"/>
      <c r="M29" s="7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7" t="n">
        <v>245.25</v>
      </c>
      <c r="F30" s="7" t="n">
        <v>245.25</v>
      </c>
      <c r="G30" s="7" t="n">
        <v>0</v>
      </c>
      <c r="H30" s="7" t="n">
        <v>297.64</v>
      </c>
      <c r="I30" s="7" t="n">
        <v>219.06</v>
      </c>
      <c r="J30" s="4" t="inlineStr">
        <is>
          <t>1:2.0</t>
        </is>
      </c>
      <c r="K30" s="4" t="n"/>
      <c r="L30" s="4" t="n"/>
      <c r="M30" s="7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23" t="inlineStr">
        <is>
          <t>HAPPSTMNDS</t>
        </is>
      </c>
      <c r="B31" s="23" t="inlineStr">
        <is>
          <t>Happiest Minds</t>
        </is>
      </c>
      <c r="C31" s="23" t="inlineStr">
        <is>
          <t>2026-08-18</t>
        </is>
      </c>
      <c r="D31" s="23" t="n">
        <v>3</v>
      </c>
      <c r="E31" s="23" t="n">
        <v>426.8</v>
      </c>
      <c r="F31" s="23" t="n">
        <v>426.8</v>
      </c>
      <c r="G31" s="23" t="inlineStr">
        <is>
          <t>HSTS</t>
        </is>
      </c>
      <c r="H31" s="23" t="n">
        <v>500</v>
      </c>
      <c r="I31" s="23" t="n">
        <v>400</v>
      </c>
      <c r="J31" s="4" t="n"/>
      <c r="K31" s="4" t="n"/>
      <c r="L31" s="4" t="n"/>
      <c r="M31" s="4" t="n"/>
      <c r="N31" s="23" t="inlineStr">
        <is>
          <t>OPEN</t>
        </is>
      </c>
      <c r="O31" s="4" t="n"/>
      <c r="P31" s="23" t="inlineStr">
        <is>
          <t>SWING</t>
        </is>
      </c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23" t="inlineStr">
        <is>
          <t>ZEEMEDIA</t>
        </is>
      </c>
      <c r="B32" s="23" t="inlineStr">
        <is>
          <t>Zee Media</t>
        </is>
      </c>
      <c r="C32" s="23" t="inlineStr">
        <is>
          <t>2026-08-18</t>
        </is>
      </c>
      <c r="D32" s="23" t="n">
        <v>150</v>
      </c>
      <c r="E32" s="23" t="n">
        <v>9.699999999999999</v>
      </c>
      <c r="F32" s="23" t="n">
        <v>9.699999999999999</v>
      </c>
      <c r="G32" s="23" t="inlineStr">
        <is>
          <t>HSTS</t>
        </is>
      </c>
      <c r="H32" s="23" t="n">
        <v>15</v>
      </c>
      <c r="I32" s="23" t="n">
        <v>8</v>
      </c>
      <c r="J32" s="4" t="n"/>
      <c r="K32" s="4" t="n"/>
      <c r="L32" s="4" t="n"/>
      <c r="M32" s="4" t="n"/>
      <c r="N32" s="23" t="inlineStr">
        <is>
          <t>OPEN</t>
        </is>
      </c>
      <c r="O32" s="4" t="n"/>
      <c r="P32" s="23" t="inlineStr">
        <is>
          <t>SWING</t>
        </is>
      </c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84" t="inlineStr">
        <is>
          <t>APEX</t>
        </is>
      </c>
      <c r="B33" s="84" t="inlineStr">
        <is>
          <t>Apex Frozen</t>
        </is>
      </c>
      <c r="C33" s="84" t="inlineStr">
        <is>
          <t>2026-08-18</t>
        </is>
      </c>
      <c r="D33" s="84" t="n">
        <v>3</v>
      </c>
      <c r="E33" s="84" t="n">
        <v>422.55</v>
      </c>
      <c r="F33" s="84" t="n">
        <v>422.55</v>
      </c>
      <c r="G33" s="84" t="inlineStr">
        <is>
          <t>HSTS</t>
        </is>
      </c>
      <c r="H33" s="84" t="n">
        <v>500</v>
      </c>
      <c r="I33" s="84" t="n">
        <v>400</v>
      </c>
      <c r="J33" s="79" t="n"/>
      <c r="K33" s="79" t="inlineStr">
        <is>
          <t>2026-08-20</t>
        </is>
      </c>
      <c r="L33" s="79" t="n">
        <v>400</v>
      </c>
      <c r="M33" s="79" t="n">
        <v>-67.65000000000001</v>
      </c>
      <c r="N33" s="84" t="inlineStr">
        <is>
          <t>LOSS</t>
        </is>
      </c>
      <c r="O33" s="79" t="n"/>
      <c r="P33" s="84" t="inlineStr">
        <is>
          <t>SWING</t>
        </is>
      </c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23" t="inlineStr">
        <is>
          <t>GAYAPROJ-BE</t>
        </is>
      </c>
      <c r="B34" s="23" t="inlineStr">
        <is>
          <t>Gayatri Projects</t>
        </is>
      </c>
      <c r="C34" s="23" t="inlineStr">
        <is>
          <t>2026-08-18</t>
        </is>
      </c>
      <c r="D34" s="23" t="n">
        <v>100</v>
      </c>
      <c r="E34" s="23" t="n">
        <v>21.8</v>
      </c>
      <c r="F34" s="23" t="n">
        <v>22.2</v>
      </c>
      <c r="G34" s="23" t="inlineStr">
        <is>
          <t>HSTS</t>
        </is>
      </c>
      <c r="H34" s="23" t="n">
        <v>26.55</v>
      </c>
      <c r="I34" s="23" t="n">
        <v>20</v>
      </c>
      <c r="J34" s="4" t="n"/>
      <c r="K34" s="4" t="n"/>
      <c r="L34" s="4" t="n"/>
      <c r="M34" s="4" t="n"/>
      <c r="N34" s="23" t="inlineStr">
        <is>
          <t>OPEN</t>
        </is>
      </c>
      <c r="O34" s="4" t="n"/>
      <c r="P34" s="23" t="inlineStr">
        <is>
          <t>SWING</t>
        </is>
      </c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THELEELA</t>
        </is>
      </c>
      <c r="B35" s="4" t="inlineStr">
        <is>
          <t>THELEELA</t>
        </is>
      </c>
      <c r="C35" s="4" t="inlineStr">
        <is>
          <t>2026-08-20</t>
        </is>
      </c>
      <c r="D35" s="4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4" t="inlineStr">
        <is>
          <t>1:2.5</t>
        </is>
      </c>
      <c r="K35" s="4" t="n"/>
      <c r="L35" s="4" t="n"/>
      <c r="M35" s="7">
        <f>IF(OR(N35="WIN", N35="LOSS"), (L35-E35)*D35, 0)</f>
        <v/>
      </c>
      <c r="N35" s="4" t="inlineStr">
        <is>
          <t>OPEN</t>
        </is>
      </c>
      <c r="O35" s="4" t="inlineStr">
        <is>
          <t>Manual Override (Cash Only Regime). GTT Trigger: UNKNOWN</t>
        </is>
      </c>
      <c r="P35" s="4" t="inlineStr">
        <is>
          <t>SWING</t>
        </is>
      </c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0" min="1" max="2"/>
    <col width="25" customWidth="1" style="60" min="3" max="3"/>
    <col width="18" customWidth="1" style="60" min="4" max="7"/>
    <col width="22" customWidth="1" style="60" min="8" max="8"/>
    <col width="18" customWidth="1" style="60" min="9" max="9"/>
    <col width="22" customWidth="1" style="60" min="10" max="10"/>
    <col width="24" customWidth="1" style="60" min="11" max="11"/>
    <col width="30" customWidth="1" style="60" min="12" max="12"/>
  </cols>
  <sheetData>
    <row r="1" ht="27.75" customHeight="1" s="60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5" t="inlineStr">
        <is>
          <t>1:2.0</t>
        </is>
      </c>
      <c r="I2" s="5" t="n">
        <v>1</v>
      </c>
      <c r="J2" s="7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5" t="inlineStr">
        <is>
          <t>1:2.0</t>
        </is>
      </c>
      <c r="I3" s="5" t="n">
        <v>0</v>
      </c>
      <c r="J3" s="7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5" t="inlineStr">
        <is>
          <t>1:2.0</t>
        </is>
      </c>
      <c r="I4" s="5" t="n">
        <v>0</v>
      </c>
      <c r="J4" s="7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5" t="inlineStr">
        <is>
          <t>1:2.0</t>
        </is>
      </c>
      <c r="I5" s="5" t="n">
        <v>0</v>
      </c>
      <c r="J5" s="7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5" t="inlineStr">
        <is>
          <t>1:2.0</t>
        </is>
      </c>
      <c r="I6" s="5" t="n">
        <v>1</v>
      </c>
      <c r="J6" s="7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5" t="inlineStr">
        <is>
          <t>1:2.0</t>
        </is>
      </c>
      <c r="I7" s="5" t="n">
        <v>1</v>
      </c>
      <c r="J7" s="7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5" t="inlineStr">
        <is>
          <t>1:2.0</t>
        </is>
      </c>
      <c r="I8" s="5" t="n">
        <v>2</v>
      </c>
      <c r="J8" s="7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5" t="inlineStr">
        <is>
          <t>1:2.0</t>
        </is>
      </c>
      <c r="I9" s="5" t="n">
        <v>0</v>
      </c>
      <c r="J9" s="7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5" t="inlineStr">
        <is>
          <t>1:2.0</t>
        </is>
      </c>
      <c r="I10" s="5" t="n">
        <v>0</v>
      </c>
      <c r="J10" s="7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5" t="inlineStr">
        <is>
          <t>1:2.0</t>
        </is>
      </c>
      <c r="I11" s="5" t="n">
        <v>0</v>
      </c>
      <c r="J11" s="7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4" t="inlineStr">
        <is>
          <t>1:2.0</t>
        </is>
      </c>
      <c r="I12" s="4" t="n">
        <v>0</v>
      </c>
      <c r="J12" s="7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4" t="inlineStr">
        <is>
          <t>1:2.0</t>
        </is>
      </c>
      <c r="I13" s="4" t="n">
        <v>1</v>
      </c>
      <c r="J13" s="7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4" t="inlineStr">
        <is>
          <t>1:2.0</t>
        </is>
      </c>
      <c r="I14" s="4" t="n">
        <v>1</v>
      </c>
      <c r="J14" s="7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4" t="inlineStr">
        <is>
          <t>1:2.0</t>
        </is>
      </c>
      <c r="I15" s="4" t="n">
        <v>1</v>
      </c>
      <c r="J15" s="7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4" t="inlineStr">
        <is>
          <t>1:2.0</t>
        </is>
      </c>
      <c r="I16" s="4" t="n">
        <v>0</v>
      </c>
      <c r="J16" s="7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4" t="inlineStr">
        <is>
          <t>1:2.0</t>
        </is>
      </c>
      <c r="I17" s="4" t="n">
        <v>0</v>
      </c>
      <c r="J17" s="7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4" t="inlineStr">
        <is>
          <t>1:2.0</t>
        </is>
      </c>
      <c r="I18" s="4" t="n">
        <v>0</v>
      </c>
      <c r="J18" s="7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4" t="inlineStr">
        <is>
          <t>1:2.0</t>
        </is>
      </c>
      <c r="I19" s="4" t="n">
        <v>0</v>
      </c>
      <c r="J19" s="7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4" t="inlineStr">
        <is>
          <t>1:2.0</t>
        </is>
      </c>
      <c r="I20" s="4" t="n">
        <v>0</v>
      </c>
      <c r="J20" s="7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4" t="inlineStr">
        <is>
          <t>1:2.0</t>
        </is>
      </c>
      <c r="I21" s="4" t="n">
        <v>0</v>
      </c>
      <c r="J21" s="7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4" t="inlineStr">
        <is>
          <t>1:2.0</t>
        </is>
      </c>
      <c r="I22" s="4" t="n">
        <v>0</v>
      </c>
      <c r="J22" s="7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4" t="inlineStr">
        <is>
          <t>1:2.0</t>
        </is>
      </c>
      <c r="I23" s="4" t="n">
        <v>0</v>
      </c>
      <c r="J23" s="7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4" t="inlineStr">
        <is>
          <t>1:2.0</t>
        </is>
      </c>
      <c r="I24" s="4" t="n">
        <v>0</v>
      </c>
      <c r="J24" s="7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4" t="inlineStr">
        <is>
          <t>1:2.0</t>
        </is>
      </c>
      <c r="I25" s="4" t="n">
        <v>0</v>
      </c>
      <c r="J25" s="7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4" t="inlineStr">
        <is>
          <t>1:2.0</t>
        </is>
      </c>
      <c r="I26" s="4" t="n">
        <v>0</v>
      </c>
      <c r="J26" s="7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4" t="inlineStr">
        <is>
          <t>1:2.0</t>
        </is>
      </c>
      <c r="I27" s="4" t="n">
        <v>0</v>
      </c>
      <c r="J27" s="7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4" t="inlineStr">
        <is>
          <t>1:2.0</t>
        </is>
      </c>
      <c r="I28" s="4" t="n">
        <v>0</v>
      </c>
      <c r="J28" s="7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4" t="inlineStr">
        <is>
          <t>1:2.0</t>
        </is>
      </c>
      <c r="I29" s="4" t="n">
        <v>0</v>
      </c>
      <c r="J29" s="7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4" t="inlineStr">
        <is>
          <t>1:2.0</t>
        </is>
      </c>
      <c r="I30" s="4" t="n">
        <v>0</v>
      </c>
      <c r="J30" s="7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4" t="inlineStr">
        <is>
          <t>1:2.0</t>
        </is>
      </c>
      <c r="I31" s="4" t="n">
        <v>0</v>
      </c>
      <c r="J31" s="7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4" t="inlineStr">
        <is>
          <t>1:2.0</t>
        </is>
      </c>
      <c r="I32" s="4" t="n">
        <v>0</v>
      </c>
      <c r="J32" s="7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4" t="inlineStr">
        <is>
          <t>1:2.0</t>
        </is>
      </c>
      <c r="I33" s="4" t="n">
        <v>0</v>
      </c>
      <c r="J33" s="7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4" t="inlineStr">
        <is>
          <t>1:2.0</t>
        </is>
      </c>
      <c r="I34" s="4" t="n">
        <v>0</v>
      </c>
      <c r="J34" s="7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4" t="inlineStr">
        <is>
          <t>1:2.0</t>
        </is>
      </c>
      <c r="I35" s="4" t="n">
        <v>0</v>
      </c>
      <c r="J35" s="7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inlineStr">
        <is>
          <t>2026-08-20</t>
        </is>
      </c>
      <c r="B36" s="4" t="inlineStr">
        <is>
          <t>KFINTECH</t>
        </is>
      </c>
      <c r="C36" s="4" t="inlineStr">
        <is>
          <t>KFin Technologies Limited</t>
        </is>
      </c>
      <c r="D36" s="4" t="inlineStr">
        <is>
          <t>100/100</t>
        </is>
      </c>
      <c r="E36" s="7" t="n">
        <v>961</v>
      </c>
      <c r="F36" s="7" t="n">
        <v>910.7428501674107</v>
      </c>
      <c r="G36" s="7" t="n">
        <v>1086.642874581473</v>
      </c>
      <c r="H36" s="4" t="inlineStr">
        <is>
          <t>1:2.5</t>
        </is>
      </c>
      <c r="I36" s="4" t="n">
        <v>0</v>
      </c>
      <c r="J36" s="7" t="n">
        <v>0</v>
      </c>
      <c r="K36" s="4" t="inlineStr">
        <is>
          <t>SKIPPED_BEARISH_REGIME</t>
        </is>
      </c>
      <c r="L36" s="4" t="inlineStr">
        <is>
          <t>Swing Scanner (STATE 4: Cash Only)</t>
        </is>
      </c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inlineStr">
        <is>
          <t>2026-08-20</t>
        </is>
      </c>
      <c r="B37" s="4" t="inlineStr">
        <is>
          <t>BOROLTD</t>
        </is>
      </c>
      <c r="C37" s="4" t="inlineStr">
        <is>
          <t>Borosil Limited</t>
        </is>
      </c>
      <c r="D37" s="4" t="inlineStr">
        <is>
          <t>98/100</t>
        </is>
      </c>
      <c r="E37" s="7" t="n">
        <v>257.8200073242188</v>
      </c>
      <c r="F37" s="7" t="n">
        <v>238.2457166399275</v>
      </c>
      <c r="G37" s="7" t="n">
        <v>306.755734034947</v>
      </c>
      <c r="H37" s="4" t="inlineStr">
        <is>
          <t>1:2.5</t>
        </is>
      </c>
      <c r="I37" s="4" t="n">
        <v>0</v>
      </c>
      <c r="J37" s="7" t="n">
        <v>0</v>
      </c>
      <c r="K37" s="4" t="inlineStr">
        <is>
          <t>SKIPPED_BEARISH_REGIME</t>
        </is>
      </c>
      <c r="L37" s="4" t="inlineStr">
        <is>
          <t>Swing Scanner (STATE 4: Cash Only)</t>
        </is>
      </c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inlineStr">
        <is>
          <t>2026-08-20</t>
        </is>
      </c>
      <c r="B38" s="4" t="inlineStr">
        <is>
          <t>GLENMARK</t>
        </is>
      </c>
      <c r="C38" s="4" t="inlineStr">
        <is>
          <t>Glenmark Pharmaceuticals Limited</t>
        </is>
      </c>
      <c r="D38" s="4" t="inlineStr">
        <is>
          <t>98/100</t>
        </is>
      </c>
      <c r="E38" s="7" t="n">
        <v>2332.89990234375</v>
      </c>
      <c r="F38" s="7" t="n">
        <v>2228.214181082589</v>
      </c>
      <c r="G38" s="7" t="n">
        <v>2594.614205496652</v>
      </c>
      <c r="H38" s="4" t="inlineStr">
        <is>
          <t>1:2.5</t>
        </is>
      </c>
      <c r="I38" s="4" t="n">
        <v>0</v>
      </c>
      <c r="J38" s="7" t="n">
        <v>0</v>
      </c>
      <c r="K38" s="4" t="inlineStr">
        <is>
          <t>SKIPPED_BEARISH_REGIME</t>
        </is>
      </c>
      <c r="L38" s="4" t="inlineStr">
        <is>
          <t>Swing Scanner (STATE 4: Cash Only)</t>
        </is>
      </c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inlineStr">
        <is>
          <t>2026-08-20</t>
        </is>
      </c>
      <c r="B39" s="4" t="inlineStr">
        <is>
          <t>DCMSHRIRAM</t>
        </is>
      </c>
      <c r="C39" s="4" t="inlineStr">
        <is>
          <t>DCM Shriram Limited</t>
        </is>
      </c>
      <c r="D39" s="4" t="inlineStr">
        <is>
          <t>98/100</t>
        </is>
      </c>
      <c r="E39" s="7" t="n">
        <v>1079.699951171875</v>
      </c>
      <c r="F39" s="7" t="n">
        <v>1026.171369280134</v>
      </c>
      <c r="G39" s="7" t="n">
        <v>1213.521405901228</v>
      </c>
      <c r="H39" s="4" t="inlineStr">
        <is>
          <t>1:2.5</t>
        </is>
      </c>
      <c r="I39" s="4" t="n">
        <v>0</v>
      </c>
      <c r="J39" s="7" t="n">
        <v>0</v>
      </c>
      <c r="K39" s="4" t="inlineStr">
        <is>
          <t>SKIPPED_BEARISH_REGIME</t>
        </is>
      </c>
      <c r="L39" s="4" t="inlineStr">
        <is>
          <t>Swing Scanner (STATE 4: Cash Only)</t>
        </is>
      </c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inlineStr">
        <is>
          <t>2026-08-20</t>
        </is>
      </c>
      <c r="B40" s="4" t="inlineStr">
        <is>
          <t>OBEROIRLTY</t>
        </is>
      </c>
      <c r="C40" s="4" t="inlineStr">
        <is>
          <t>Oberoi Realty Limited</t>
        </is>
      </c>
      <c r="D40" s="4" t="inlineStr">
        <is>
          <t>98/100</t>
        </is>
      </c>
      <c r="E40" s="7" t="n">
        <v>1904.699951171875</v>
      </c>
      <c r="F40" s="7" t="n">
        <v>1796.328560965402</v>
      </c>
      <c r="G40" s="7" t="n">
        <v>2175.628426688058</v>
      </c>
      <c r="H40" s="4" t="inlineStr">
        <is>
          <t>1:2.5</t>
        </is>
      </c>
      <c r="I40" s="4" t="n">
        <v>0</v>
      </c>
      <c r="J40" s="7" t="n">
        <v>0</v>
      </c>
      <c r="K40" s="4" t="inlineStr">
        <is>
          <t>SKIPPED_BEARISH_REGIME</t>
        </is>
      </c>
      <c r="L40" s="4" t="inlineStr">
        <is>
          <t>Swing Scanner (STATE 4: Cash Only)</t>
        </is>
      </c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inlineStr">
        <is>
          <t>2026-08-20</t>
        </is>
      </c>
      <c r="B41" s="4" t="inlineStr">
        <is>
          <t>HEROMOTOCO</t>
        </is>
      </c>
      <c r="C41" s="4" t="inlineStr">
        <is>
          <t>Hero MotoCorp Limited</t>
        </is>
      </c>
      <c r="D41" s="4" t="inlineStr">
        <is>
          <t>100/100</t>
        </is>
      </c>
      <c r="E41" s="7" t="n">
        <v>5740.5</v>
      </c>
      <c r="F41" s="7" t="n">
        <v>5685.6</v>
      </c>
      <c r="G41" s="7" t="n">
        <v>5877.75</v>
      </c>
      <c r="H41" s="4" t="inlineStr">
        <is>
          <t>1:2.5</t>
        </is>
      </c>
      <c r="I41" s="4" t="n">
        <v>0</v>
      </c>
      <c r="J41" s="7" t="n">
        <v>0</v>
      </c>
      <c r="K41" s="4" t="inlineStr">
        <is>
          <t>PENDING</t>
        </is>
      </c>
      <c r="L41" s="4" t="inlineStr">
        <is>
          <t>Intraday Scanner (STATE 4: Cash Only)</t>
        </is>
      </c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inlineStr">
        <is>
          <t>2026-08-20</t>
        </is>
      </c>
      <c r="B42" s="4" t="inlineStr">
        <is>
          <t>MARUTI</t>
        </is>
      </c>
      <c r="C42" s="4" t="inlineStr">
        <is>
          <t>Maruti Suzuki India Limited</t>
        </is>
      </c>
      <c r="D42" s="4" t="inlineStr">
        <is>
          <t>100/100</t>
        </is>
      </c>
      <c r="E42" s="7" t="n">
        <v>13809</v>
      </c>
      <c r="F42" s="7" t="n">
        <v>13719.9</v>
      </c>
      <c r="G42" s="7" t="n">
        <v>14031.75</v>
      </c>
      <c r="H42" s="4" t="inlineStr">
        <is>
          <t>1:2.5</t>
        </is>
      </c>
      <c r="I42" s="4" t="n">
        <v>0</v>
      </c>
      <c r="J42" s="7" t="n">
        <v>0</v>
      </c>
      <c r="K42" s="4" t="inlineStr">
        <is>
          <t>PENDING</t>
        </is>
      </c>
      <c r="L42" s="4" t="inlineStr">
        <is>
          <t>Intraday Scanner (STATE 4: Cash Only)</t>
        </is>
      </c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inlineStr">
        <is>
          <t>2026-08-20</t>
        </is>
      </c>
      <c r="B43" s="4" t="inlineStr">
        <is>
          <t>BAJAJ-AUTO</t>
        </is>
      </c>
      <c r="C43" s="4" t="inlineStr">
        <is>
          <t>Bajaj Auto Limited</t>
        </is>
      </c>
      <c r="D43" s="4" t="inlineStr">
        <is>
          <t>100/100</t>
        </is>
      </c>
      <c r="E43" s="7" t="n">
        <v>11793</v>
      </c>
      <c r="F43" s="7" t="n">
        <v>11713.5</v>
      </c>
      <c r="G43" s="7" t="n">
        <v>11991.75</v>
      </c>
      <c r="H43" s="4" t="inlineStr">
        <is>
          <t>1:2.5</t>
        </is>
      </c>
      <c r="I43" s="4" t="n">
        <v>0</v>
      </c>
      <c r="J43" s="7" t="n">
        <v>0</v>
      </c>
      <c r="K43" s="4" t="inlineStr">
        <is>
          <t>PENDING</t>
        </is>
      </c>
      <c r="L43" s="4" t="inlineStr">
        <is>
          <t>Intraday Scanner (STATE 4: Cash Only)</t>
        </is>
      </c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inlineStr">
        <is>
          <t>2026-08-20</t>
        </is>
      </c>
      <c r="B44" s="4" t="inlineStr">
        <is>
          <t>COLPAL</t>
        </is>
      </c>
      <c r="C44" s="4" t="inlineStr">
        <is>
          <t>Colgate-Palmolive (India) Limited</t>
        </is>
      </c>
      <c r="D44" s="4" t="inlineStr">
        <is>
          <t>100/100</t>
        </is>
      </c>
      <c r="E44" s="7" t="n">
        <v>1910</v>
      </c>
      <c r="F44" s="7" t="n">
        <v>1872.85</v>
      </c>
      <c r="G44" s="7" t="n">
        <v>2002.85</v>
      </c>
      <c r="H44" s="4" t="inlineStr">
        <is>
          <t>1:2.5</t>
        </is>
      </c>
      <c r="I44" s="4" t="n">
        <v>0</v>
      </c>
      <c r="J44" s="7" t="n">
        <v>0</v>
      </c>
      <c r="K44" s="4" t="inlineStr">
        <is>
          <t>PENDING</t>
        </is>
      </c>
      <c r="L44" s="4" t="inlineStr">
        <is>
          <t>Intraday Scanner (STATE 4: Cash Only)</t>
        </is>
      </c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inlineStr">
        <is>
          <t>2026-08-20</t>
        </is>
      </c>
      <c r="B45" s="4" t="inlineStr">
        <is>
          <t>GLENMARK</t>
        </is>
      </c>
      <c r="C45" s="4" t="inlineStr">
        <is>
          <t>Glenmark Pharmaceuticals Limited</t>
        </is>
      </c>
      <c r="D45" s="4" t="inlineStr">
        <is>
          <t>100/100</t>
        </is>
      </c>
      <c r="E45" s="7" t="n">
        <v>2332.9</v>
      </c>
      <c r="F45" s="7" t="n">
        <v>2297.45</v>
      </c>
      <c r="G45" s="7" t="n">
        <v>2421.55</v>
      </c>
      <c r="H45" s="4" t="inlineStr">
        <is>
          <t>1:2.5</t>
        </is>
      </c>
      <c r="I45" s="4" t="n">
        <v>0</v>
      </c>
      <c r="J45" s="7" t="n">
        <v>0</v>
      </c>
      <c r="K45" s="4" t="inlineStr">
        <is>
          <t>PENDING</t>
        </is>
      </c>
      <c r="L45" s="4" t="inlineStr">
        <is>
          <t>Intraday Scanner (STATE 4: Cash Only)</t>
        </is>
      </c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6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0" min="1" max="2"/>
    <col width="18" customWidth="1" style="60" min="3" max="3"/>
    <col width="40" customWidth="1" style="60" min="4" max="4"/>
    <col width="8.710000000000001" customWidth="1" style="60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7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7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7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7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7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7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7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7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7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7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7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7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7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7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7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7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7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7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7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60">
      <c r="A21" s="5" t="inlineStr">
        <is>
          <t>2026-08-05</t>
        </is>
      </c>
      <c r="B21" s="5" t="inlineStr">
        <is>
          <t>WITHDRAWAL</t>
        </is>
      </c>
      <c r="C21" s="7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60">
      <c r="A22" s="5" t="inlineStr">
        <is>
          <t>2026-08-05</t>
        </is>
      </c>
      <c r="B22" s="5" t="inlineStr">
        <is>
          <t>WITHDRAWAL</t>
        </is>
      </c>
      <c r="C22" s="7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60">
      <c r="A23" s="5" t="inlineStr">
        <is>
          <t>2026-08-05</t>
        </is>
      </c>
      <c r="B23" s="5" t="inlineStr">
        <is>
          <t>WITHDRAWAL</t>
        </is>
      </c>
      <c r="C23" s="7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60">
      <c r="A24" s="5" t="inlineStr">
        <is>
          <t>2026-08-06</t>
        </is>
      </c>
      <c r="B24" s="5" t="inlineStr">
        <is>
          <t>WITHDRAWAL</t>
        </is>
      </c>
      <c r="C24" s="7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60">
      <c r="A25" s="5" t="inlineStr">
        <is>
          <t>2026-08-06</t>
        </is>
      </c>
      <c r="B25" s="5" t="inlineStr">
        <is>
          <t>WITHDRAWAL</t>
        </is>
      </c>
      <c r="C25" s="7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60">
      <c r="A26" s="5" t="inlineStr">
        <is>
          <t>2026-08-06</t>
        </is>
      </c>
      <c r="B26" s="5" t="inlineStr">
        <is>
          <t>WITHDRAWAL</t>
        </is>
      </c>
      <c r="C26" s="7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60">
      <c r="A27" s="5" t="inlineStr">
        <is>
          <t>2026-08-10</t>
        </is>
      </c>
      <c r="B27" s="5" t="inlineStr">
        <is>
          <t>WITHDRAWAL</t>
        </is>
      </c>
      <c r="C27" s="7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60">
      <c r="A28" s="5" t="inlineStr">
        <is>
          <t>2026-08-10</t>
        </is>
      </c>
      <c r="B28" s="5" t="inlineStr">
        <is>
          <t>WITHDRAWAL</t>
        </is>
      </c>
      <c r="C28" s="7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60">
      <c r="A29" s="5" t="inlineStr">
        <is>
          <t>2026-08-10</t>
        </is>
      </c>
      <c r="B29" s="5" t="inlineStr">
        <is>
          <t>WITHDRAWAL</t>
        </is>
      </c>
      <c r="C29" s="7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60">
      <c r="A30" s="5" t="inlineStr">
        <is>
          <t>2026-08-11</t>
        </is>
      </c>
      <c r="B30" s="5" t="inlineStr">
        <is>
          <t>WITHDRAWAL</t>
        </is>
      </c>
      <c r="C30" s="7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60">
      <c r="A31" s="5" t="inlineStr">
        <is>
          <t>2026-08-11</t>
        </is>
      </c>
      <c r="B31" s="5" t="inlineStr">
        <is>
          <t>WITHDRAWAL</t>
        </is>
      </c>
      <c r="C31" s="7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60">
      <c r="A32" s="4" t="inlineStr">
        <is>
          <t>2026-08-12</t>
        </is>
      </c>
      <c r="B32" s="4" t="inlineStr">
        <is>
          <t>WITHDRAWAL</t>
        </is>
      </c>
      <c r="C32" s="7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0">
      <c r="A33" s="4" t="inlineStr">
        <is>
          <t>2026-08-12</t>
        </is>
      </c>
      <c r="B33" s="4" t="inlineStr">
        <is>
          <t>WITHDRAWAL</t>
        </is>
      </c>
      <c r="C33" s="7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0">
      <c r="A34" s="4" t="inlineStr">
        <is>
          <t>2026-08-12</t>
        </is>
      </c>
      <c r="B34" s="4" t="inlineStr">
        <is>
          <t>WITHDRAWAL</t>
        </is>
      </c>
      <c r="C34" s="7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0">
      <c r="A35" s="4" t="inlineStr">
        <is>
          <t>2026-08-12</t>
        </is>
      </c>
      <c r="B35" s="4" t="inlineStr">
        <is>
          <t>WITHDRAWAL</t>
        </is>
      </c>
      <c r="C35" s="7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0">
      <c r="A36" s="4" t="n"/>
      <c r="B36" s="4" t="n"/>
      <c r="C36" s="4" t="n"/>
      <c r="D36" s="4" t="n"/>
      <c r="E36" s="4" t="n"/>
      <c r="F36" s="4" t="n"/>
    </row>
    <row r="37" ht="15.75" customHeight="1" s="60">
      <c r="A37" s="4" t="n"/>
      <c r="B37" s="4" t="n"/>
      <c r="C37" s="4" t="n"/>
      <c r="D37" s="4" t="n"/>
      <c r="E37" s="4" t="n"/>
      <c r="F37" s="4" t="n"/>
    </row>
    <row r="38" ht="15.75" customHeight="1" s="60">
      <c r="A38" s="4" t="n"/>
      <c r="B38" s="4" t="n"/>
      <c r="C38" s="4" t="n"/>
      <c r="D38" s="4" t="n"/>
      <c r="E38" s="4" t="n"/>
      <c r="F38" s="4" t="n"/>
    </row>
    <row r="39" ht="15.75" customHeight="1" s="60">
      <c r="A39" s="4" t="n"/>
      <c r="B39" s="4" t="n"/>
      <c r="C39" s="4" t="n"/>
      <c r="D39" s="4" t="n"/>
      <c r="E39" s="4" t="n"/>
      <c r="F39" s="4" t="n"/>
    </row>
    <row r="40" ht="15.75" customHeight="1" s="60">
      <c r="A40" s="4" t="n"/>
      <c r="B40" s="4" t="n"/>
      <c r="C40" s="4" t="n"/>
      <c r="D40" s="4" t="n"/>
      <c r="E40" s="4" t="n"/>
      <c r="F40" s="4" t="n"/>
    </row>
    <row r="41" ht="15.75" customHeight="1" s="60">
      <c r="A41" s="4" t="n"/>
      <c r="B41" s="4" t="n"/>
      <c r="C41" s="4" t="n"/>
      <c r="D41" s="4" t="n"/>
      <c r="E41" s="4" t="n"/>
      <c r="F41" s="4" t="n"/>
    </row>
    <row r="42" ht="15.75" customHeight="1" s="60">
      <c r="A42" s="4" t="n"/>
      <c r="B42" s="4" t="n"/>
      <c r="C42" s="4" t="n"/>
      <c r="D42" s="4" t="n"/>
      <c r="E42" s="4" t="n"/>
      <c r="F42" s="4" t="n"/>
    </row>
    <row r="43" ht="15.75" customHeight="1" s="60">
      <c r="A43" s="4" t="n"/>
      <c r="B43" s="4" t="n"/>
      <c r="C43" s="4" t="n"/>
      <c r="D43" s="4" t="n"/>
      <c r="E43" s="4" t="n"/>
      <c r="F43" s="4" t="n"/>
    </row>
    <row r="44" ht="15.75" customHeight="1" s="60">
      <c r="A44" s="4" t="n"/>
      <c r="B44" s="4" t="n"/>
      <c r="C44" s="4" t="n"/>
      <c r="D44" s="4" t="n"/>
      <c r="E44" s="4" t="n"/>
      <c r="F44" s="4" t="n"/>
    </row>
    <row r="45" ht="15.75" customHeight="1" s="60">
      <c r="A45" s="4" t="n"/>
      <c r="B45" s="4" t="n"/>
      <c r="C45" s="4" t="n"/>
      <c r="D45" s="4" t="n"/>
      <c r="E45" s="4" t="n"/>
      <c r="F45" s="4" t="n"/>
    </row>
    <row r="46" ht="15.75" customHeight="1" s="60">
      <c r="A46" s="4" t="n"/>
      <c r="B46" s="4" t="n"/>
      <c r="C46" s="4" t="n"/>
      <c r="D46" s="4" t="n"/>
      <c r="E46" s="4" t="n"/>
      <c r="F46" s="4" t="n"/>
    </row>
    <row r="47" ht="15.75" customHeight="1" s="60">
      <c r="A47" s="4" t="n"/>
      <c r="B47" s="4" t="n"/>
      <c r="C47" s="4" t="n"/>
      <c r="D47" s="4" t="n"/>
      <c r="E47" s="4" t="n"/>
      <c r="F47" s="4" t="n"/>
    </row>
    <row r="48" ht="15.75" customHeight="1" s="60">
      <c r="A48" s="4" t="n"/>
      <c r="B48" s="4" t="n"/>
      <c r="C48" s="4" t="n"/>
      <c r="D48" s="4" t="n"/>
      <c r="E48" s="4" t="n"/>
      <c r="F48" s="4" t="n"/>
    </row>
    <row r="49" ht="15.75" customHeight="1" s="60">
      <c r="A49" s="4" t="n"/>
      <c r="B49" s="4" t="n"/>
      <c r="C49" s="4" t="n"/>
      <c r="D49" s="4" t="n"/>
      <c r="E49" s="4" t="n"/>
      <c r="F49" s="4" t="n"/>
    </row>
    <row r="50" ht="15.75" customHeight="1" s="60">
      <c r="A50" s="4" t="n"/>
      <c r="B50" s="4" t="n"/>
      <c r="C50" s="4" t="n"/>
      <c r="D50" s="4" t="n"/>
      <c r="E50" s="4" t="n"/>
      <c r="F50" s="4" t="n"/>
    </row>
    <row r="51" ht="15.75" customHeight="1" s="60">
      <c r="A51" s="4" t="n"/>
      <c r="B51" s="4" t="n"/>
      <c r="C51" s="4" t="n"/>
      <c r="D51" s="4" t="n"/>
      <c r="E51" s="4" t="n"/>
      <c r="F51" s="4" t="n"/>
    </row>
    <row r="52" ht="15.75" customHeight="1" s="60">
      <c r="A52" s="4" t="n"/>
      <c r="B52" s="4" t="n"/>
      <c r="C52" s="4" t="n"/>
      <c r="D52" s="4" t="n"/>
      <c r="E52" s="4" t="n"/>
      <c r="F52" s="4" t="n"/>
    </row>
    <row r="53" ht="15.75" customHeight="1" s="60">
      <c r="A53" s="4" t="n"/>
      <c r="B53" s="4" t="n"/>
      <c r="C53" s="4" t="n"/>
      <c r="D53" s="4" t="n"/>
      <c r="E53" s="4" t="n"/>
      <c r="F53" s="4" t="n"/>
    </row>
    <row r="54" ht="15.75" customHeight="1" s="60">
      <c r="A54" s="4" t="n"/>
      <c r="B54" s="4" t="n"/>
      <c r="C54" s="4" t="n"/>
      <c r="D54" s="4" t="n"/>
      <c r="E54" s="4" t="n"/>
      <c r="F54" s="4" t="n"/>
    </row>
    <row r="55" ht="15.75" customHeight="1" s="60">
      <c r="A55" s="4" t="n"/>
      <c r="B55" s="4" t="n"/>
      <c r="C55" s="4" t="n"/>
      <c r="D55" s="4" t="n"/>
      <c r="E55" s="4" t="n"/>
      <c r="F55" s="4" t="n"/>
    </row>
    <row r="56" ht="15.75" customHeight="1" s="60">
      <c r="A56" s="4" t="n"/>
      <c r="B56" s="4" t="n"/>
      <c r="C56" s="4" t="n"/>
      <c r="D56" s="4" t="n"/>
      <c r="E56" s="4" t="n"/>
      <c r="F56" s="4" t="n"/>
    </row>
    <row r="57" ht="15.75" customHeight="1" s="60">
      <c r="A57" s="4" t="n"/>
      <c r="B57" s="4" t="n"/>
      <c r="C57" s="4" t="n"/>
      <c r="D57" s="4" t="n"/>
      <c r="E57" s="4" t="n"/>
      <c r="F57" s="4" t="n"/>
    </row>
    <row r="58" ht="15.75" customHeight="1" s="60">
      <c r="A58" s="4" t="n"/>
      <c r="B58" s="4" t="n"/>
      <c r="C58" s="4" t="n"/>
      <c r="D58" s="4" t="n"/>
      <c r="E58" s="4" t="n"/>
      <c r="F58" s="4" t="n"/>
    </row>
    <row r="59" ht="15.75" customHeight="1" s="60">
      <c r="A59" s="4" t="n"/>
      <c r="B59" s="4" t="n"/>
      <c r="C59" s="4" t="n"/>
      <c r="D59" s="4" t="n"/>
      <c r="E59" s="4" t="n"/>
      <c r="F59" s="4" t="n"/>
    </row>
    <row r="60" ht="15.75" customHeight="1" s="60">
      <c r="A60" s="4" t="n"/>
      <c r="B60" s="4" t="n"/>
      <c r="C60" s="4" t="n"/>
      <c r="D60" s="4" t="n"/>
      <c r="E60" s="4" t="n"/>
      <c r="F60" s="4" t="n"/>
    </row>
    <row r="61" ht="15.75" customHeight="1" s="60">
      <c r="A61" s="4" t="n"/>
      <c r="B61" s="4" t="n"/>
      <c r="C61" s="4" t="n"/>
      <c r="D61" s="4" t="n"/>
      <c r="E61" s="4" t="n"/>
      <c r="F61" s="4" t="n"/>
    </row>
    <row r="62" ht="15.75" customHeight="1" s="60">
      <c r="A62" s="4" t="n"/>
      <c r="B62" s="4" t="n"/>
      <c r="C62" s="4" t="n"/>
      <c r="D62" s="4" t="n"/>
      <c r="E62" s="4" t="n"/>
      <c r="F62" s="4" t="n"/>
    </row>
    <row r="63" ht="15.75" customHeight="1" s="60">
      <c r="A63" s="4" t="n"/>
      <c r="B63" s="4" t="n"/>
      <c r="C63" s="4" t="n"/>
      <c r="D63" s="4" t="n"/>
      <c r="E63" s="4" t="n"/>
      <c r="F63" s="4" t="n"/>
    </row>
    <row r="64" ht="15.75" customHeight="1" s="60">
      <c r="A64" s="4" t="n"/>
      <c r="B64" s="4" t="n"/>
      <c r="C64" s="4" t="n"/>
      <c r="D64" s="4" t="n"/>
      <c r="E64" s="4" t="n"/>
      <c r="F64" s="4" t="n"/>
    </row>
    <row r="65" ht="15.75" customHeight="1" s="60">
      <c r="A65" s="4" t="n"/>
      <c r="B65" s="4" t="n"/>
      <c r="C65" s="4" t="n"/>
      <c r="D65" s="4" t="n"/>
      <c r="E65" s="4" t="n"/>
      <c r="F65" s="4" t="n"/>
    </row>
    <row r="66" ht="15.75" customHeight="1" s="60">
      <c r="A66" s="4" t="n"/>
      <c r="B66" s="4" t="n"/>
      <c r="C66" s="4" t="n"/>
      <c r="D66" s="4" t="n"/>
      <c r="E66" s="4" t="n"/>
      <c r="F66" s="4" t="n"/>
    </row>
    <row r="67" ht="15.75" customHeight="1" s="60">
      <c r="A67" s="4" t="n"/>
      <c r="B67" s="4" t="n"/>
      <c r="C67" s="4" t="n"/>
      <c r="D67" s="4" t="n"/>
      <c r="E67" s="4" t="n"/>
      <c r="F67" s="4" t="n"/>
    </row>
    <row r="68" ht="15.75" customHeight="1" s="60">
      <c r="A68" s="4" t="n"/>
      <c r="B68" s="4" t="n"/>
      <c r="C68" s="4" t="n"/>
      <c r="D68" s="4" t="n"/>
      <c r="E68" s="4" t="n"/>
      <c r="F68" s="4" t="n"/>
    </row>
    <row r="69" ht="15.75" customHeight="1" s="60">
      <c r="A69" s="4" t="n"/>
      <c r="B69" s="4" t="n"/>
      <c r="C69" s="4" t="n"/>
      <c r="D69" s="4" t="n"/>
      <c r="E69" s="4" t="n"/>
      <c r="F69" s="4" t="n"/>
    </row>
    <row r="70" ht="15.75" customHeight="1" s="60">
      <c r="A70" s="4" t="n"/>
      <c r="B70" s="4" t="n"/>
      <c r="C70" s="4" t="n"/>
      <c r="D70" s="4" t="n"/>
      <c r="E70" s="4" t="n"/>
      <c r="F70" s="4" t="n"/>
    </row>
    <row r="71" ht="15.75" customHeight="1" s="60">
      <c r="A71" s="4" t="n"/>
      <c r="B71" s="4" t="n"/>
      <c r="C71" s="4" t="n"/>
      <c r="D71" s="4" t="n"/>
      <c r="E71" s="4" t="n"/>
      <c r="F71" s="4" t="n"/>
    </row>
    <row r="72" ht="15.75" customHeight="1" s="60">
      <c r="A72" s="4" t="n"/>
      <c r="B72" s="4" t="n"/>
      <c r="C72" s="4" t="n"/>
      <c r="D72" s="4" t="n"/>
      <c r="E72" s="4" t="n"/>
      <c r="F72" s="4" t="n"/>
    </row>
    <row r="73" ht="15.75" customHeight="1" s="60">
      <c r="A73" s="4" t="n"/>
      <c r="B73" s="4" t="n"/>
      <c r="C73" s="4" t="n"/>
      <c r="D73" s="4" t="n"/>
      <c r="E73" s="4" t="n"/>
      <c r="F73" s="4" t="n"/>
    </row>
    <row r="74" ht="15.75" customHeight="1" s="60">
      <c r="A74" s="4" t="n"/>
      <c r="B74" s="4" t="n"/>
      <c r="C74" s="4" t="n"/>
      <c r="D74" s="4" t="n"/>
      <c r="E74" s="4" t="n"/>
      <c r="F74" s="4" t="n"/>
    </row>
    <row r="75" ht="15.75" customHeight="1" s="60">
      <c r="A75" s="4" t="n"/>
      <c r="B75" s="4" t="n"/>
      <c r="C75" s="4" t="n"/>
      <c r="D75" s="4" t="n"/>
      <c r="E75" s="4" t="n"/>
      <c r="F75" s="4" t="n"/>
    </row>
    <row r="76" ht="15.75" customHeight="1" s="60">
      <c r="A76" s="4" t="n"/>
      <c r="B76" s="4" t="n"/>
      <c r="C76" s="4" t="n"/>
      <c r="D76" s="4" t="n"/>
      <c r="E76" s="4" t="n"/>
      <c r="F76" s="4" t="n"/>
    </row>
    <row r="77" ht="15.75" customHeight="1" s="60">
      <c r="A77" s="4" t="n"/>
      <c r="B77" s="4" t="n"/>
      <c r="C77" s="4" t="n"/>
      <c r="D77" s="4" t="n"/>
      <c r="E77" s="4" t="n"/>
      <c r="F77" s="4" t="n"/>
    </row>
    <row r="78" ht="15.75" customHeight="1" s="60">
      <c r="A78" s="4" t="n"/>
      <c r="B78" s="4" t="n"/>
      <c r="C78" s="4" t="n"/>
      <c r="D78" s="4" t="n"/>
      <c r="E78" s="4" t="n"/>
      <c r="F78" s="4" t="n"/>
    </row>
    <row r="79" ht="15.75" customHeight="1" s="60">
      <c r="A79" s="4" t="n"/>
      <c r="B79" s="4" t="n"/>
      <c r="C79" s="4" t="n"/>
      <c r="D79" s="4" t="n"/>
      <c r="E79" s="4" t="n"/>
      <c r="F79" s="4" t="n"/>
    </row>
    <row r="80" ht="15.75" customHeight="1" s="60">
      <c r="A80" s="4" t="n"/>
      <c r="B80" s="4" t="n"/>
      <c r="C80" s="4" t="n"/>
      <c r="D80" s="4" t="n"/>
      <c r="E80" s="4" t="n"/>
      <c r="F80" s="4" t="n"/>
    </row>
    <row r="81" ht="15.75" customHeight="1" s="60">
      <c r="A81" s="4" t="n"/>
      <c r="B81" s="4" t="n"/>
      <c r="C81" s="4" t="n"/>
      <c r="D81" s="4" t="n"/>
      <c r="E81" s="4" t="n"/>
      <c r="F81" s="4" t="n"/>
    </row>
    <row r="82" ht="15.75" customHeight="1" s="60">
      <c r="A82" s="4" t="n"/>
      <c r="B82" s="4" t="n"/>
      <c r="C82" s="4" t="n"/>
      <c r="D82" s="4" t="n"/>
      <c r="E82" s="4" t="n"/>
      <c r="F82" s="4" t="n"/>
    </row>
    <row r="83" ht="15.75" customHeight="1" s="60">
      <c r="A83" s="4" t="n"/>
      <c r="B83" s="4" t="n"/>
      <c r="C83" s="4" t="n"/>
      <c r="D83" s="4" t="n"/>
      <c r="E83" s="4" t="n"/>
      <c r="F83" s="4" t="n"/>
    </row>
    <row r="84" ht="15.75" customHeight="1" s="60">
      <c r="A84" s="4" t="n"/>
      <c r="B84" s="4" t="n"/>
      <c r="C84" s="4" t="n"/>
      <c r="D84" s="4" t="n"/>
      <c r="E84" s="4" t="n"/>
      <c r="F84" s="4" t="n"/>
    </row>
    <row r="85" ht="15.75" customHeight="1" s="60">
      <c r="A85" s="4" t="n"/>
      <c r="B85" s="4" t="n"/>
      <c r="C85" s="4" t="n"/>
      <c r="D85" s="4" t="n"/>
      <c r="E85" s="4" t="n"/>
      <c r="F85" s="4" t="n"/>
    </row>
    <row r="86" ht="15.75" customHeight="1" s="60">
      <c r="A86" s="4" t="n"/>
      <c r="B86" s="4" t="n"/>
      <c r="C86" s="4" t="n"/>
      <c r="D86" s="4" t="n"/>
      <c r="E86" s="4" t="n"/>
      <c r="F86" s="4" t="n"/>
    </row>
    <row r="87" ht="15.75" customHeight="1" s="60">
      <c r="A87" s="4" t="n"/>
      <c r="B87" s="4" t="n"/>
      <c r="C87" s="4" t="n"/>
      <c r="D87" s="4" t="n"/>
      <c r="E87" s="4" t="n"/>
      <c r="F87" s="4" t="n"/>
    </row>
    <row r="88" ht="15.75" customHeight="1" s="60">
      <c r="A88" s="4" t="n"/>
      <c r="B88" s="4" t="n"/>
      <c r="C88" s="4" t="n"/>
      <c r="D88" s="4" t="n"/>
      <c r="E88" s="4" t="n"/>
      <c r="F88" s="4" t="n"/>
    </row>
    <row r="89" ht="15.75" customHeight="1" s="60">
      <c r="A89" s="4" t="n"/>
      <c r="B89" s="4" t="n"/>
      <c r="C89" s="4" t="n"/>
      <c r="D89" s="4" t="n"/>
      <c r="E89" s="4" t="n"/>
      <c r="F89" s="4" t="n"/>
    </row>
    <row r="90" ht="15.75" customHeight="1" s="60">
      <c r="A90" s="4" t="n"/>
      <c r="B90" s="4" t="n"/>
      <c r="C90" s="4" t="n"/>
      <c r="D90" s="4" t="n"/>
      <c r="E90" s="4" t="n"/>
      <c r="F90" s="4" t="n"/>
    </row>
    <row r="91" ht="15.75" customHeight="1" s="60">
      <c r="A91" s="4" t="n"/>
      <c r="B91" s="4" t="n"/>
      <c r="C91" s="4" t="n"/>
      <c r="D91" s="4" t="n"/>
      <c r="E91" s="4" t="n"/>
      <c r="F91" s="4" t="n"/>
    </row>
    <row r="92" ht="15.75" customHeight="1" s="60">
      <c r="A92" s="4" t="n"/>
      <c r="B92" s="4" t="n"/>
      <c r="C92" s="4" t="n"/>
      <c r="D92" s="4" t="n"/>
      <c r="E92" s="4" t="n"/>
      <c r="F92" s="4" t="n"/>
    </row>
    <row r="93" ht="15.75" customHeight="1" s="60">
      <c r="A93" s="4" t="n"/>
      <c r="B93" s="4" t="n"/>
      <c r="C93" s="4" t="n"/>
      <c r="D93" s="4" t="n"/>
      <c r="E93" s="4" t="n"/>
      <c r="F93" s="4" t="n"/>
    </row>
    <row r="94" ht="15.75" customHeight="1" s="60">
      <c r="A94" s="4" t="n"/>
      <c r="B94" s="4" t="n"/>
      <c r="C94" s="4" t="n"/>
      <c r="D94" s="4" t="n"/>
      <c r="E94" s="4" t="n"/>
      <c r="F94" s="4" t="n"/>
    </row>
    <row r="95" ht="15.75" customHeight="1" s="60">
      <c r="A95" s="4" t="n"/>
      <c r="B95" s="4" t="n"/>
      <c r="C95" s="4" t="n"/>
      <c r="D95" s="4" t="n"/>
      <c r="E95" s="4" t="n"/>
      <c r="F95" s="4" t="n"/>
    </row>
    <row r="96" ht="15.75" customHeight="1" s="60">
      <c r="A96" s="4" t="n"/>
      <c r="B96" s="4" t="n"/>
      <c r="C96" s="4" t="n"/>
      <c r="D96" s="4" t="n"/>
      <c r="E96" s="4" t="n"/>
      <c r="F96" s="4" t="n"/>
    </row>
    <row r="97" ht="15.75" customHeight="1" s="60">
      <c r="A97" s="4" t="n"/>
      <c r="B97" s="4" t="n"/>
      <c r="C97" s="4" t="n"/>
      <c r="D97" s="4" t="n"/>
      <c r="E97" s="4" t="n"/>
      <c r="F97" s="4" t="n"/>
    </row>
    <row r="98" ht="15.75" customHeight="1" s="60">
      <c r="A98" s="4" t="n"/>
      <c r="B98" s="4" t="n"/>
      <c r="C98" s="4" t="n"/>
      <c r="D98" s="4" t="n"/>
      <c r="E98" s="4" t="n"/>
      <c r="F98" s="4" t="n"/>
    </row>
    <row r="99" ht="15.75" customHeight="1" s="60">
      <c r="A99" s="4" t="n"/>
      <c r="B99" s="4" t="n"/>
      <c r="C99" s="4" t="n"/>
      <c r="D99" s="4" t="n"/>
      <c r="E99" s="4" t="n"/>
      <c r="F99" s="4" t="n"/>
    </row>
    <row r="100" ht="15.75" customHeight="1" s="60">
      <c r="A100" s="4" t="n"/>
      <c r="B100" s="4" t="n"/>
      <c r="C100" s="4" t="n"/>
      <c r="D100" s="4" t="n"/>
      <c r="E100" s="4" t="n"/>
      <c r="F100" s="4" t="n"/>
    </row>
    <row r="101" ht="15.75" customHeight="1" s="60">
      <c r="A101" s="4" t="n"/>
      <c r="B101" s="4" t="n"/>
      <c r="C101" s="4" t="n"/>
      <c r="D101" s="4" t="n"/>
      <c r="E101" s="4" t="n"/>
      <c r="F101" s="4" t="n"/>
    </row>
    <row r="102" ht="15.75" customHeight="1" s="60">
      <c r="A102" s="4" t="n"/>
      <c r="B102" s="4" t="n"/>
      <c r="C102" s="4" t="n"/>
      <c r="D102" s="4" t="n"/>
      <c r="E102" s="4" t="n"/>
      <c r="F102" s="4" t="n"/>
    </row>
    <row r="103" ht="15.75" customHeight="1" s="60">
      <c r="A103" s="4" t="n"/>
      <c r="B103" s="4" t="n"/>
      <c r="C103" s="4" t="n"/>
      <c r="D103" s="4" t="n"/>
      <c r="E103" s="4" t="n"/>
      <c r="F103" s="4" t="n"/>
    </row>
    <row r="104" ht="15.75" customHeight="1" s="60">
      <c r="A104" s="4" t="n"/>
      <c r="B104" s="4" t="n"/>
      <c r="C104" s="4" t="n"/>
      <c r="D104" s="4" t="n"/>
      <c r="E104" s="4" t="n"/>
      <c r="F104" s="4" t="n"/>
    </row>
    <row r="105" ht="15.75" customHeight="1" s="60">
      <c r="A105" s="4" t="n"/>
      <c r="B105" s="4" t="n"/>
      <c r="C105" s="4" t="n"/>
      <c r="D105" s="4" t="n"/>
      <c r="E105" s="4" t="n"/>
      <c r="F105" s="4" t="n"/>
    </row>
    <row r="106" ht="15.75" customHeight="1" s="60">
      <c r="A106" s="4" t="n"/>
      <c r="B106" s="4" t="n"/>
      <c r="C106" s="4" t="n"/>
      <c r="D106" s="4" t="n"/>
      <c r="E106" s="4" t="n"/>
      <c r="F106" s="4" t="n"/>
    </row>
    <row r="107" ht="15.75" customHeight="1" s="60">
      <c r="A107" s="4" t="n"/>
      <c r="B107" s="4" t="n"/>
      <c r="C107" s="4" t="n"/>
      <c r="D107" s="4" t="n"/>
      <c r="E107" s="4" t="n"/>
      <c r="F107" s="4" t="n"/>
    </row>
    <row r="108" ht="15.75" customHeight="1" s="60">
      <c r="A108" s="4" t="n"/>
      <c r="B108" s="4" t="n"/>
      <c r="C108" s="4" t="n"/>
      <c r="D108" s="4" t="n"/>
      <c r="E108" s="4" t="n"/>
      <c r="F108" s="4" t="n"/>
    </row>
    <row r="109" ht="15.75" customHeight="1" s="60">
      <c r="A109" s="4" t="n"/>
      <c r="B109" s="4" t="n"/>
      <c r="C109" s="4" t="n"/>
      <c r="D109" s="4" t="n"/>
      <c r="E109" s="4" t="n"/>
      <c r="F109" s="4" t="n"/>
    </row>
    <row r="110" ht="15.75" customHeight="1" s="60">
      <c r="A110" s="4" t="n"/>
      <c r="B110" s="4" t="n"/>
      <c r="C110" s="4" t="n"/>
      <c r="D110" s="4" t="n"/>
      <c r="E110" s="4" t="n"/>
      <c r="F110" s="4" t="n"/>
    </row>
    <row r="111" ht="15.75" customHeight="1" s="60">
      <c r="A111" s="4" t="n"/>
      <c r="B111" s="4" t="n"/>
      <c r="C111" s="4" t="n"/>
      <c r="D111" s="4" t="n"/>
      <c r="E111" s="4" t="n"/>
      <c r="F111" s="4" t="n"/>
    </row>
    <row r="112" ht="15.75" customHeight="1" s="60">
      <c r="A112" s="4" t="n"/>
      <c r="B112" s="4" t="n"/>
      <c r="C112" s="4" t="n"/>
      <c r="D112" s="4" t="n"/>
      <c r="E112" s="4" t="n"/>
      <c r="F112" s="4" t="n"/>
    </row>
    <row r="113" ht="15.75" customHeight="1" s="60">
      <c r="A113" s="4" t="n"/>
      <c r="B113" s="4" t="n"/>
      <c r="C113" s="4" t="n"/>
      <c r="D113" s="4" t="n"/>
      <c r="E113" s="4" t="n"/>
      <c r="F113" s="4" t="n"/>
    </row>
    <row r="114" ht="15.75" customHeight="1" s="60">
      <c r="A114" s="4" t="n"/>
      <c r="B114" s="4" t="n"/>
      <c r="C114" s="4" t="n"/>
      <c r="D114" s="4" t="n"/>
      <c r="E114" s="4" t="n"/>
      <c r="F114" s="4" t="n"/>
    </row>
    <row r="115" ht="15.75" customHeight="1" s="60">
      <c r="A115" s="4" t="n"/>
      <c r="B115" s="4" t="n"/>
      <c r="C115" s="4" t="n"/>
      <c r="D115" s="4" t="n"/>
      <c r="E115" s="4" t="n"/>
      <c r="F115" s="4" t="n"/>
    </row>
    <row r="116" ht="15.75" customHeight="1" s="60">
      <c r="A116" s="4" t="n"/>
      <c r="B116" s="4" t="n"/>
      <c r="C116" s="4" t="n"/>
      <c r="D116" s="4" t="n"/>
      <c r="E116" s="4" t="n"/>
      <c r="F116" s="4" t="n"/>
    </row>
    <row r="117" ht="15.75" customHeight="1" s="60">
      <c r="A117" s="4" t="n"/>
      <c r="B117" s="4" t="n"/>
      <c r="C117" s="4" t="n"/>
      <c r="D117" s="4" t="n"/>
      <c r="E117" s="4" t="n"/>
      <c r="F117" s="4" t="n"/>
    </row>
    <row r="118" ht="15.75" customHeight="1" s="60">
      <c r="A118" s="4" t="n"/>
      <c r="B118" s="4" t="n"/>
      <c r="C118" s="4" t="n"/>
      <c r="D118" s="4" t="n"/>
      <c r="E118" s="4" t="n"/>
      <c r="F118" s="4" t="n"/>
    </row>
    <row r="119" ht="15.75" customHeight="1" s="60">
      <c r="A119" s="4" t="n"/>
      <c r="B119" s="4" t="n"/>
      <c r="C119" s="4" t="n"/>
      <c r="D119" s="4" t="n"/>
      <c r="E119" s="4" t="n"/>
      <c r="F119" s="4" t="n"/>
    </row>
    <row r="120" ht="15.75" customHeight="1" s="60">
      <c r="A120" s="4" t="n"/>
      <c r="B120" s="4" t="n"/>
      <c r="C120" s="4" t="n"/>
      <c r="D120" s="4" t="n"/>
      <c r="E120" s="4" t="n"/>
      <c r="F120" s="4" t="n"/>
    </row>
    <row r="121" ht="15.75" customHeight="1" s="60">
      <c r="A121" s="4" t="n"/>
      <c r="B121" s="4" t="n"/>
      <c r="C121" s="4" t="n"/>
      <c r="D121" s="4" t="n"/>
      <c r="E121" s="4" t="n"/>
      <c r="F121" s="4" t="n"/>
    </row>
    <row r="122" ht="15.75" customHeight="1" s="60">
      <c r="A122" s="4" t="n"/>
      <c r="B122" s="4" t="n"/>
      <c r="C122" s="4" t="n"/>
      <c r="D122" s="4" t="n"/>
      <c r="E122" s="4" t="n"/>
      <c r="F122" s="4" t="n"/>
    </row>
    <row r="123" ht="15.75" customHeight="1" s="60">
      <c r="A123" s="4" t="n"/>
      <c r="B123" s="4" t="n"/>
      <c r="C123" s="4" t="n"/>
      <c r="D123" s="4" t="n"/>
      <c r="E123" s="4" t="n"/>
      <c r="F123" s="4" t="n"/>
    </row>
    <row r="124" ht="15.75" customHeight="1" s="60">
      <c r="A124" s="4" t="n"/>
      <c r="B124" s="4" t="n"/>
      <c r="C124" s="4" t="n"/>
      <c r="D124" s="4" t="n"/>
      <c r="E124" s="4" t="n"/>
      <c r="F124" s="4" t="n"/>
    </row>
    <row r="125" ht="15.75" customHeight="1" s="60">
      <c r="A125" s="4" t="n"/>
      <c r="B125" s="4" t="n"/>
      <c r="C125" s="4" t="n"/>
      <c r="D125" s="4" t="n"/>
      <c r="E125" s="4" t="n"/>
      <c r="F125" s="4" t="n"/>
    </row>
    <row r="126" ht="15.75" customHeight="1" s="60">
      <c r="A126" s="4" t="n"/>
      <c r="B126" s="4" t="n"/>
      <c r="C126" s="4" t="n"/>
      <c r="D126" s="4" t="n"/>
      <c r="E126" s="4" t="n"/>
      <c r="F126" s="4" t="n"/>
    </row>
    <row r="127" ht="15.75" customHeight="1" s="60">
      <c r="A127" s="4" t="n"/>
      <c r="B127" s="4" t="n"/>
      <c r="C127" s="4" t="n"/>
      <c r="D127" s="4" t="n"/>
      <c r="E127" s="4" t="n"/>
      <c r="F127" s="4" t="n"/>
    </row>
    <row r="128" ht="15.75" customHeight="1" s="60">
      <c r="A128" s="4" t="n"/>
      <c r="B128" s="4" t="n"/>
      <c r="C128" s="4" t="n"/>
      <c r="D128" s="4" t="n"/>
      <c r="E128" s="4" t="n"/>
      <c r="F128" s="4" t="n"/>
    </row>
    <row r="129" ht="15.75" customHeight="1" s="60">
      <c r="A129" s="4" t="n"/>
      <c r="B129" s="4" t="n"/>
      <c r="C129" s="4" t="n"/>
      <c r="D129" s="4" t="n"/>
      <c r="E129" s="4" t="n"/>
      <c r="F129" s="4" t="n"/>
    </row>
    <row r="130" ht="15.75" customHeight="1" s="60">
      <c r="A130" s="4" t="n"/>
      <c r="B130" s="4" t="n"/>
      <c r="C130" s="4" t="n"/>
      <c r="D130" s="4" t="n"/>
      <c r="E130" s="4" t="n"/>
      <c r="F130" s="4" t="n"/>
    </row>
    <row r="131" ht="15.75" customHeight="1" s="60">
      <c r="A131" s="4" t="n"/>
      <c r="B131" s="4" t="n"/>
      <c r="C131" s="4" t="n"/>
      <c r="D131" s="4" t="n"/>
      <c r="E131" s="4" t="n"/>
      <c r="F131" s="4" t="n"/>
    </row>
    <row r="132" ht="15.75" customHeight="1" s="60">
      <c r="A132" s="4" t="n"/>
      <c r="B132" s="4" t="n"/>
      <c r="C132" s="4" t="n"/>
      <c r="D132" s="4" t="n"/>
      <c r="E132" s="4" t="n"/>
      <c r="F132" s="4" t="n"/>
    </row>
    <row r="133" ht="15.75" customHeight="1" s="60">
      <c r="A133" s="4" t="n"/>
      <c r="B133" s="4" t="n"/>
      <c r="C133" s="4" t="n"/>
      <c r="D133" s="4" t="n"/>
      <c r="E133" s="4" t="n"/>
      <c r="F133" s="4" t="n"/>
    </row>
    <row r="134" ht="15.75" customHeight="1" s="60">
      <c r="A134" s="4" t="n"/>
      <c r="B134" s="4" t="n"/>
      <c r="C134" s="4" t="n"/>
      <c r="D134" s="4" t="n"/>
      <c r="E134" s="4" t="n"/>
      <c r="F134" s="4" t="n"/>
    </row>
    <row r="135" ht="15.75" customHeight="1" s="60">
      <c r="A135" s="4" t="n"/>
      <c r="B135" s="4" t="n"/>
      <c r="C135" s="4" t="n"/>
      <c r="D135" s="4" t="n"/>
      <c r="E135" s="4" t="n"/>
      <c r="F135" s="4" t="n"/>
    </row>
    <row r="136" ht="15.75" customHeight="1" s="60">
      <c r="A136" s="4" t="n"/>
      <c r="B136" s="4" t="n"/>
      <c r="C136" s="4" t="n"/>
      <c r="D136" s="4" t="n"/>
      <c r="E136" s="4" t="n"/>
      <c r="F136" s="4" t="n"/>
    </row>
    <row r="137" ht="15.75" customHeight="1" s="60">
      <c r="A137" s="4" t="n"/>
      <c r="B137" s="4" t="n"/>
      <c r="C137" s="4" t="n"/>
      <c r="D137" s="4" t="n"/>
      <c r="E137" s="4" t="n"/>
      <c r="F137" s="4" t="n"/>
    </row>
    <row r="138" ht="15.75" customHeight="1" s="60">
      <c r="A138" s="4" t="n"/>
      <c r="B138" s="4" t="n"/>
      <c r="C138" s="4" t="n"/>
      <c r="D138" s="4" t="n"/>
      <c r="E138" s="4" t="n"/>
      <c r="F138" s="4" t="n"/>
    </row>
    <row r="139" ht="15.75" customHeight="1" s="60">
      <c r="A139" s="4" t="n"/>
      <c r="B139" s="4" t="n"/>
      <c r="C139" s="4" t="n"/>
      <c r="D139" s="4" t="n"/>
      <c r="E139" s="4" t="n"/>
      <c r="F139" s="4" t="n"/>
    </row>
    <row r="140" ht="15.75" customHeight="1" s="60">
      <c r="A140" s="4" t="n"/>
      <c r="B140" s="4" t="n"/>
      <c r="C140" s="4" t="n"/>
      <c r="D140" s="4" t="n"/>
      <c r="E140" s="4" t="n"/>
      <c r="F140" s="4" t="n"/>
    </row>
    <row r="141" ht="15.75" customHeight="1" s="60">
      <c r="A141" s="4" t="n"/>
      <c r="B141" s="4" t="n"/>
      <c r="C141" s="4" t="n"/>
      <c r="D141" s="4" t="n"/>
      <c r="E141" s="4" t="n"/>
      <c r="F141" s="4" t="n"/>
    </row>
    <row r="142" ht="15.75" customHeight="1" s="60">
      <c r="A142" s="4" t="n"/>
      <c r="B142" s="4" t="n"/>
      <c r="C142" s="4" t="n"/>
      <c r="D142" s="4" t="n"/>
      <c r="E142" s="4" t="n"/>
      <c r="F142" s="4" t="n"/>
    </row>
    <row r="143" ht="15.75" customHeight="1" s="60">
      <c r="A143" s="4" t="n"/>
      <c r="B143" s="4" t="n"/>
      <c r="C143" s="4" t="n"/>
      <c r="D143" s="4" t="n"/>
      <c r="E143" s="4" t="n"/>
      <c r="F143" s="4" t="n"/>
    </row>
    <row r="144" ht="15.75" customHeight="1" s="60">
      <c r="A144" s="4" t="n"/>
      <c r="B144" s="4" t="n"/>
      <c r="C144" s="4" t="n"/>
      <c r="D144" s="4" t="n"/>
      <c r="E144" s="4" t="n"/>
      <c r="F144" s="4" t="n"/>
    </row>
    <row r="145" ht="15.75" customHeight="1" s="60">
      <c r="A145" s="4" t="n"/>
      <c r="B145" s="4" t="n"/>
      <c r="C145" s="4" t="n"/>
      <c r="D145" s="4" t="n"/>
      <c r="E145" s="4" t="n"/>
      <c r="F145" s="4" t="n"/>
    </row>
    <row r="146" ht="15.75" customHeight="1" s="60">
      <c r="A146" s="4" t="n"/>
      <c r="B146" s="4" t="n"/>
      <c r="C146" s="4" t="n"/>
      <c r="D146" s="4" t="n"/>
      <c r="E146" s="4" t="n"/>
      <c r="F146" s="4" t="n"/>
    </row>
    <row r="147" ht="15.75" customHeight="1" s="60">
      <c r="A147" s="4" t="n"/>
      <c r="B147" s="4" t="n"/>
      <c r="C147" s="4" t="n"/>
      <c r="D147" s="4" t="n"/>
      <c r="E147" s="4" t="n"/>
      <c r="F147" s="4" t="n"/>
    </row>
    <row r="148" ht="15.75" customHeight="1" s="60">
      <c r="A148" s="4" t="n"/>
      <c r="B148" s="4" t="n"/>
      <c r="C148" s="4" t="n"/>
      <c r="D148" s="4" t="n"/>
      <c r="E148" s="4" t="n"/>
      <c r="F148" s="4" t="n"/>
    </row>
    <row r="149" ht="15.75" customHeight="1" s="60">
      <c r="A149" s="4" t="n"/>
      <c r="B149" s="4" t="n"/>
      <c r="C149" s="4" t="n"/>
      <c r="D149" s="4" t="n"/>
      <c r="E149" s="4" t="n"/>
      <c r="F149" s="4" t="n"/>
    </row>
    <row r="150" ht="15.75" customHeight="1" s="60">
      <c r="A150" s="4" t="n"/>
      <c r="B150" s="4" t="n"/>
      <c r="C150" s="4" t="n"/>
      <c r="D150" s="4" t="n"/>
      <c r="E150" s="4" t="n"/>
      <c r="F150" s="4" t="n"/>
    </row>
    <row r="151" ht="15.75" customHeight="1" s="60">
      <c r="A151" s="4" t="n"/>
      <c r="B151" s="4" t="n"/>
      <c r="C151" s="4" t="n"/>
      <c r="D151" s="4" t="n"/>
      <c r="E151" s="4" t="n"/>
      <c r="F151" s="4" t="n"/>
    </row>
    <row r="152" ht="15.75" customHeight="1" s="60">
      <c r="A152" s="4" t="n"/>
      <c r="B152" s="4" t="n"/>
      <c r="C152" s="4" t="n"/>
      <c r="D152" s="4" t="n"/>
      <c r="E152" s="4" t="n"/>
      <c r="F152" s="4" t="n"/>
    </row>
    <row r="153" ht="15.75" customHeight="1" s="60">
      <c r="A153" s="4" t="n"/>
      <c r="B153" s="4" t="n"/>
      <c r="C153" s="4" t="n"/>
      <c r="D153" s="4" t="n"/>
      <c r="E153" s="4" t="n"/>
      <c r="F153" s="4" t="n"/>
    </row>
    <row r="154" ht="15.75" customHeight="1" s="60">
      <c r="A154" s="4" t="n"/>
      <c r="B154" s="4" t="n"/>
      <c r="C154" s="4" t="n"/>
      <c r="D154" s="4" t="n"/>
      <c r="E154" s="4" t="n"/>
      <c r="F154" s="4" t="n"/>
    </row>
    <row r="155" ht="15.75" customHeight="1" s="60">
      <c r="A155" s="4" t="n"/>
      <c r="B155" s="4" t="n"/>
      <c r="C155" s="4" t="n"/>
      <c r="D155" s="4" t="n"/>
      <c r="E155" s="4" t="n"/>
      <c r="F155" s="4" t="n"/>
    </row>
    <row r="156" ht="15.75" customHeight="1" s="60">
      <c r="A156" s="4" t="n"/>
      <c r="B156" s="4" t="n"/>
      <c r="C156" s="4" t="n"/>
      <c r="D156" s="4" t="n"/>
      <c r="E156" s="4" t="n"/>
      <c r="F156" s="4" t="n"/>
    </row>
    <row r="157" ht="15.75" customHeight="1" s="60">
      <c r="A157" s="4" t="n"/>
      <c r="B157" s="4" t="n"/>
      <c r="C157" s="4" t="n"/>
      <c r="D157" s="4" t="n"/>
      <c r="E157" s="4" t="n"/>
      <c r="F157" s="4" t="n"/>
    </row>
    <row r="158" ht="15.75" customHeight="1" s="60">
      <c r="A158" s="4" t="n"/>
      <c r="B158" s="4" t="n"/>
      <c r="C158" s="4" t="n"/>
      <c r="D158" s="4" t="n"/>
      <c r="E158" s="4" t="n"/>
      <c r="F158" s="4" t="n"/>
    </row>
    <row r="159" ht="15.75" customHeight="1" s="60">
      <c r="A159" s="4" t="n"/>
      <c r="B159" s="4" t="n"/>
      <c r="C159" s="4" t="n"/>
      <c r="D159" s="4" t="n"/>
      <c r="E159" s="4" t="n"/>
      <c r="F159" s="4" t="n"/>
    </row>
    <row r="160" ht="15.75" customHeight="1" s="60">
      <c r="A160" s="4" t="n"/>
      <c r="B160" s="4" t="n"/>
      <c r="C160" s="4" t="n"/>
      <c r="D160" s="4" t="n"/>
      <c r="E160" s="4" t="n"/>
      <c r="F160" s="4" t="n"/>
    </row>
    <row r="161" ht="15.75" customHeight="1" s="60">
      <c r="A161" s="4" t="n"/>
      <c r="B161" s="4" t="n"/>
      <c r="C161" s="4" t="n"/>
      <c r="D161" s="4" t="n"/>
      <c r="E161" s="4" t="n"/>
      <c r="F161" s="4" t="n"/>
    </row>
    <row r="162" ht="15.75" customHeight="1" s="60">
      <c r="A162" s="4" t="n"/>
      <c r="B162" s="4" t="n"/>
      <c r="C162" s="4" t="n"/>
      <c r="D162" s="4" t="n"/>
      <c r="E162" s="4" t="n"/>
      <c r="F162" s="4" t="n"/>
    </row>
    <row r="163" ht="15.75" customHeight="1" s="60">
      <c r="A163" s="4" t="n"/>
      <c r="B163" s="4" t="n"/>
      <c r="C163" s="4" t="n"/>
      <c r="D163" s="4" t="n"/>
      <c r="E163" s="4" t="n"/>
      <c r="F163" s="4" t="n"/>
    </row>
    <row r="164" ht="15.75" customHeight="1" s="60">
      <c r="A164" s="4" t="n"/>
      <c r="B164" s="4" t="n"/>
      <c r="C164" s="4" t="n"/>
      <c r="D164" s="4" t="n"/>
      <c r="E164" s="4" t="n"/>
      <c r="F164" s="4" t="n"/>
    </row>
    <row r="165" ht="15.75" customHeight="1" s="60">
      <c r="A165" s="4" t="n"/>
      <c r="B165" s="4" t="n"/>
      <c r="C165" s="4" t="n"/>
      <c r="D165" s="4" t="n"/>
      <c r="E165" s="4" t="n"/>
      <c r="F165" s="4" t="n"/>
    </row>
    <row r="166" ht="15.75" customHeight="1" s="60">
      <c r="A166" s="4" t="n"/>
      <c r="B166" s="4" t="n"/>
      <c r="C166" s="4" t="n"/>
      <c r="D166" s="4" t="n"/>
      <c r="E166" s="4" t="n"/>
      <c r="F166" s="4" t="n"/>
    </row>
    <row r="167" ht="15.75" customHeight="1" s="60">
      <c r="A167" s="4" t="n"/>
      <c r="B167" s="4" t="n"/>
      <c r="C167" s="4" t="n"/>
      <c r="D167" s="4" t="n"/>
      <c r="E167" s="4" t="n"/>
      <c r="F167" s="4" t="n"/>
    </row>
    <row r="168" ht="15.75" customHeight="1" s="60">
      <c r="A168" s="4" t="n"/>
      <c r="B168" s="4" t="n"/>
      <c r="C168" s="4" t="n"/>
      <c r="D168" s="4" t="n"/>
      <c r="E168" s="4" t="n"/>
      <c r="F168" s="4" t="n"/>
    </row>
    <row r="169" ht="15.75" customHeight="1" s="60">
      <c r="A169" s="4" t="n"/>
      <c r="B169" s="4" t="n"/>
      <c r="C169" s="4" t="n"/>
      <c r="D169" s="4" t="n"/>
      <c r="E169" s="4" t="n"/>
      <c r="F169" s="4" t="n"/>
    </row>
    <row r="170" ht="15.75" customHeight="1" s="60">
      <c r="A170" s="4" t="n"/>
      <c r="B170" s="4" t="n"/>
      <c r="C170" s="4" t="n"/>
      <c r="D170" s="4" t="n"/>
      <c r="E170" s="4" t="n"/>
      <c r="F170" s="4" t="n"/>
    </row>
    <row r="171" ht="15.75" customHeight="1" s="60">
      <c r="A171" s="4" t="n"/>
      <c r="B171" s="4" t="n"/>
      <c r="C171" s="4" t="n"/>
      <c r="D171" s="4" t="n"/>
      <c r="E171" s="4" t="n"/>
      <c r="F171" s="4" t="n"/>
    </row>
    <row r="172" ht="15.75" customHeight="1" s="60">
      <c r="A172" s="4" t="n"/>
      <c r="B172" s="4" t="n"/>
      <c r="C172" s="4" t="n"/>
      <c r="D172" s="4" t="n"/>
      <c r="E172" s="4" t="n"/>
      <c r="F172" s="4" t="n"/>
    </row>
    <row r="173" ht="15.75" customHeight="1" s="60">
      <c r="A173" s="4" t="n"/>
      <c r="B173" s="4" t="n"/>
      <c r="C173" s="4" t="n"/>
      <c r="D173" s="4" t="n"/>
      <c r="E173" s="4" t="n"/>
      <c r="F173" s="4" t="n"/>
    </row>
    <row r="174" ht="15.75" customHeight="1" s="60">
      <c r="A174" s="4" t="n"/>
      <c r="B174" s="4" t="n"/>
      <c r="C174" s="4" t="n"/>
      <c r="D174" s="4" t="n"/>
      <c r="E174" s="4" t="n"/>
      <c r="F174" s="4" t="n"/>
    </row>
    <row r="175" ht="15.75" customHeight="1" s="60">
      <c r="A175" s="4" t="n"/>
      <c r="B175" s="4" t="n"/>
      <c r="C175" s="4" t="n"/>
      <c r="D175" s="4" t="n"/>
      <c r="E175" s="4" t="n"/>
      <c r="F175" s="4" t="n"/>
    </row>
    <row r="176" ht="15.75" customHeight="1" s="60">
      <c r="A176" s="4" t="n"/>
      <c r="B176" s="4" t="n"/>
      <c r="C176" s="4" t="n"/>
      <c r="D176" s="4" t="n"/>
      <c r="E176" s="4" t="n"/>
      <c r="F176" s="4" t="n"/>
    </row>
    <row r="177" ht="15.75" customHeight="1" s="60">
      <c r="A177" s="4" t="n"/>
      <c r="B177" s="4" t="n"/>
      <c r="C177" s="4" t="n"/>
      <c r="D177" s="4" t="n"/>
      <c r="E177" s="4" t="n"/>
      <c r="F177" s="4" t="n"/>
    </row>
    <row r="178" ht="15.75" customHeight="1" s="60">
      <c r="A178" s="4" t="n"/>
      <c r="B178" s="4" t="n"/>
      <c r="C178" s="4" t="n"/>
      <c r="D178" s="4" t="n"/>
      <c r="E178" s="4" t="n"/>
      <c r="F178" s="4" t="n"/>
    </row>
    <row r="179" ht="15.75" customHeight="1" s="60">
      <c r="A179" s="4" t="n"/>
      <c r="B179" s="4" t="n"/>
      <c r="C179" s="4" t="n"/>
      <c r="D179" s="4" t="n"/>
      <c r="E179" s="4" t="n"/>
      <c r="F179" s="4" t="n"/>
    </row>
    <row r="180" ht="15.75" customHeight="1" s="60">
      <c r="A180" s="4" t="n"/>
      <c r="B180" s="4" t="n"/>
      <c r="C180" s="4" t="n"/>
      <c r="D180" s="4" t="n"/>
      <c r="E180" s="4" t="n"/>
      <c r="F180" s="4" t="n"/>
    </row>
    <row r="181" ht="15.75" customHeight="1" s="60">
      <c r="A181" s="4" t="n"/>
      <c r="B181" s="4" t="n"/>
      <c r="C181" s="4" t="n"/>
      <c r="D181" s="4" t="n"/>
      <c r="E181" s="4" t="n"/>
      <c r="F181" s="4" t="n"/>
    </row>
    <row r="182" ht="15.75" customHeight="1" s="60">
      <c r="A182" s="4" t="n"/>
      <c r="B182" s="4" t="n"/>
      <c r="C182" s="4" t="n"/>
      <c r="D182" s="4" t="n"/>
      <c r="E182" s="4" t="n"/>
      <c r="F182" s="4" t="n"/>
    </row>
    <row r="183" ht="15.75" customHeight="1" s="60">
      <c r="A183" s="4" t="n"/>
      <c r="B183" s="4" t="n"/>
      <c r="C183" s="4" t="n"/>
      <c r="D183" s="4" t="n"/>
      <c r="E183" s="4" t="n"/>
      <c r="F183" s="4" t="n"/>
    </row>
    <row r="184" ht="15.75" customHeight="1" s="60">
      <c r="A184" s="4" t="n"/>
      <c r="B184" s="4" t="n"/>
      <c r="C184" s="4" t="n"/>
      <c r="D184" s="4" t="n"/>
      <c r="E184" s="4" t="n"/>
      <c r="F184" s="4" t="n"/>
    </row>
    <row r="185" ht="15.75" customHeight="1" s="60">
      <c r="A185" s="4" t="n"/>
      <c r="B185" s="4" t="n"/>
      <c r="C185" s="4" t="n"/>
      <c r="D185" s="4" t="n"/>
      <c r="E185" s="4" t="n"/>
      <c r="F185" s="4" t="n"/>
    </row>
    <row r="186" ht="15.75" customHeight="1" s="60">
      <c r="A186" s="4" t="n"/>
      <c r="B186" s="4" t="n"/>
      <c r="C186" s="4" t="n"/>
      <c r="D186" s="4" t="n"/>
      <c r="E186" s="4" t="n"/>
      <c r="F186" s="4" t="n"/>
    </row>
    <row r="187" ht="15.75" customHeight="1" s="60">
      <c r="A187" s="4" t="n"/>
      <c r="B187" s="4" t="n"/>
      <c r="C187" s="4" t="n"/>
      <c r="D187" s="4" t="n"/>
      <c r="E187" s="4" t="n"/>
      <c r="F187" s="4" t="n"/>
    </row>
    <row r="188" ht="15.75" customHeight="1" s="60">
      <c r="A188" s="4" t="n"/>
      <c r="B188" s="4" t="n"/>
      <c r="C188" s="4" t="n"/>
      <c r="D188" s="4" t="n"/>
      <c r="E188" s="4" t="n"/>
      <c r="F188" s="4" t="n"/>
    </row>
    <row r="189" ht="15.75" customHeight="1" s="60">
      <c r="A189" s="4" t="n"/>
      <c r="B189" s="4" t="n"/>
      <c r="C189" s="4" t="n"/>
      <c r="D189" s="4" t="n"/>
      <c r="E189" s="4" t="n"/>
      <c r="F189" s="4" t="n"/>
    </row>
    <row r="190" ht="15.75" customHeight="1" s="60">
      <c r="A190" s="4" t="n"/>
      <c r="B190" s="4" t="n"/>
      <c r="C190" s="4" t="n"/>
      <c r="D190" s="4" t="n"/>
      <c r="E190" s="4" t="n"/>
      <c r="F190" s="4" t="n"/>
    </row>
    <row r="191" ht="15.75" customHeight="1" s="60">
      <c r="A191" s="4" t="n"/>
      <c r="B191" s="4" t="n"/>
      <c r="C191" s="4" t="n"/>
      <c r="D191" s="4" t="n"/>
      <c r="E191" s="4" t="n"/>
      <c r="F191" s="4" t="n"/>
    </row>
    <row r="192" ht="15.75" customHeight="1" s="60">
      <c r="A192" s="4" t="n"/>
      <c r="B192" s="4" t="n"/>
      <c r="C192" s="4" t="n"/>
      <c r="D192" s="4" t="n"/>
      <c r="E192" s="4" t="n"/>
      <c r="F192" s="4" t="n"/>
    </row>
    <row r="193" ht="15.75" customHeight="1" s="60">
      <c r="A193" s="4" t="n"/>
      <c r="B193" s="4" t="n"/>
      <c r="C193" s="4" t="n"/>
      <c r="D193" s="4" t="n"/>
      <c r="E193" s="4" t="n"/>
      <c r="F193" s="4" t="n"/>
    </row>
    <row r="194" ht="15.75" customHeight="1" s="60">
      <c r="A194" s="4" t="n"/>
      <c r="B194" s="4" t="n"/>
      <c r="C194" s="4" t="n"/>
      <c r="D194" s="4" t="n"/>
      <c r="E194" s="4" t="n"/>
      <c r="F194" s="4" t="n"/>
    </row>
    <row r="195" ht="15.75" customHeight="1" s="60">
      <c r="A195" s="4" t="n"/>
      <c r="B195" s="4" t="n"/>
      <c r="C195" s="4" t="n"/>
      <c r="D195" s="4" t="n"/>
      <c r="E195" s="4" t="n"/>
      <c r="F195" s="4" t="n"/>
    </row>
    <row r="196" ht="15.75" customHeight="1" s="60">
      <c r="A196" s="4" t="n"/>
      <c r="B196" s="4" t="n"/>
      <c r="C196" s="4" t="n"/>
      <c r="D196" s="4" t="n"/>
      <c r="E196" s="4" t="n"/>
      <c r="F196" s="4" t="n"/>
    </row>
    <row r="197" ht="15.75" customHeight="1" s="60">
      <c r="A197" s="4" t="n"/>
      <c r="B197" s="4" t="n"/>
      <c r="C197" s="4" t="n"/>
      <c r="D197" s="4" t="n"/>
      <c r="E197" s="4" t="n"/>
      <c r="F197" s="4" t="n"/>
    </row>
    <row r="198" ht="15.75" customHeight="1" s="60">
      <c r="A198" s="4" t="n"/>
      <c r="B198" s="4" t="n"/>
      <c r="C198" s="4" t="n"/>
      <c r="D198" s="4" t="n"/>
      <c r="E198" s="4" t="n"/>
      <c r="F198" s="4" t="n"/>
    </row>
    <row r="199" ht="15.75" customHeight="1" s="60">
      <c r="A199" s="4" t="n"/>
      <c r="B199" s="4" t="n"/>
      <c r="C199" s="4" t="n"/>
      <c r="D199" s="4" t="n"/>
      <c r="E199" s="4" t="n"/>
      <c r="F199" s="4" t="n"/>
    </row>
    <row r="200" ht="15.75" customHeight="1" s="60">
      <c r="A200" s="4" t="n"/>
      <c r="B200" s="4" t="n"/>
      <c r="C200" s="4" t="n"/>
      <c r="D200" s="4" t="n"/>
      <c r="E200" s="4" t="n"/>
      <c r="F200" s="4" t="n"/>
    </row>
    <row r="201" ht="15.75" customHeight="1" s="60">
      <c r="A201" s="4" t="n"/>
      <c r="B201" s="4" t="n"/>
      <c r="C201" s="4" t="n"/>
      <c r="D201" s="4" t="n"/>
      <c r="E201" s="4" t="n"/>
      <c r="F201" s="4" t="n"/>
    </row>
    <row r="202" ht="15.75" customHeight="1" s="60">
      <c r="A202" s="4" t="n"/>
      <c r="B202" s="4" t="n"/>
      <c r="C202" s="4" t="n"/>
      <c r="D202" s="4" t="n"/>
      <c r="E202" s="4" t="n"/>
      <c r="F202" s="4" t="n"/>
    </row>
    <row r="203" ht="15.75" customHeight="1" s="60">
      <c r="A203" s="4" t="n"/>
      <c r="B203" s="4" t="n"/>
      <c r="C203" s="4" t="n"/>
      <c r="D203" s="4" t="n"/>
      <c r="E203" s="4" t="n"/>
      <c r="F203" s="4" t="n"/>
    </row>
    <row r="204" ht="15.75" customHeight="1" s="60">
      <c r="A204" s="4" t="n"/>
      <c r="B204" s="4" t="n"/>
      <c r="C204" s="4" t="n"/>
      <c r="D204" s="4" t="n"/>
      <c r="E204" s="4" t="n"/>
      <c r="F204" s="4" t="n"/>
    </row>
    <row r="205" ht="15.75" customHeight="1" s="60">
      <c r="A205" s="4" t="n"/>
      <c r="B205" s="4" t="n"/>
      <c r="C205" s="4" t="n"/>
      <c r="D205" s="4" t="n"/>
      <c r="E205" s="4" t="n"/>
      <c r="F205" s="4" t="n"/>
    </row>
    <row r="206" ht="15.75" customHeight="1" s="60">
      <c r="A206" s="4" t="n"/>
      <c r="B206" s="4" t="n"/>
      <c r="C206" s="4" t="n"/>
      <c r="D206" s="4" t="n"/>
      <c r="E206" s="4" t="n"/>
      <c r="F206" s="4" t="n"/>
    </row>
    <row r="207" ht="15.75" customHeight="1" s="60">
      <c r="A207" s="4" t="n"/>
      <c r="B207" s="4" t="n"/>
      <c r="C207" s="4" t="n"/>
      <c r="D207" s="4" t="n"/>
      <c r="E207" s="4" t="n"/>
      <c r="F207" s="4" t="n"/>
    </row>
    <row r="208" ht="15.75" customHeight="1" s="60">
      <c r="A208" s="4" t="n"/>
      <c r="B208" s="4" t="n"/>
      <c r="C208" s="4" t="n"/>
      <c r="D208" s="4" t="n"/>
      <c r="E208" s="4" t="n"/>
      <c r="F208" s="4" t="n"/>
    </row>
    <row r="209" ht="15.75" customHeight="1" s="60">
      <c r="A209" s="4" t="n"/>
      <c r="B209" s="4" t="n"/>
      <c r="C209" s="4" t="n"/>
      <c r="D209" s="4" t="n"/>
      <c r="E209" s="4" t="n"/>
      <c r="F209" s="4" t="n"/>
    </row>
    <row r="210" ht="15.75" customHeight="1" s="60">
      <c r="A210" s="4" t="n"/>
      <c r="B210" s="4" t="n"/>
      <c r="C210" s="4" t="n"/>
      <c r="D210" s="4" t="n"/>
      <c r="E210" s="4" t="n"/>
      <c r="F210" s="4" t="n"/>
    </row>
    <row r="211" ht="15.75" customHeight="1" s="60">
      <c r="A211" s="4" t="n"/>
      <c r="B211" s="4" t="n"/>
      <c r="C211" s="4" t="n"/>
      <c r="D211" s="4" t="n"/>
      <c r="E211" s="4" t="n"/>
      <c r="F211" s="4" t="n"/>
    </row>
    <row r="212" ht="15.75" customHeight="1" s="60">
      <c r="A212" s="4" t="n"/>
      <c r="B212" s="4" t="n"/>
      <c r="C212" s="4" t="n"/>
      <c r="D212" s="4" t="n"/>
      <c r="E212" s="4" t="n"/>
      <c r="F212" s="4" t="n"/>
    </row>
    <row r="213" ht="15.75" customHeight="1" s="60">
      <c r="A213" s="4" t="n"/>
      <c r="B213" s="4" t="n"/>
      <c r="C213" s="4" t="n"/>
      <c r="D213" s="4" t="n"/>
      <c r="E213" s="4" t="n"/>
      <c r="F213" s="4" t="n"/>
    </row>
    <row r="214" ht="15.75" customHeight="1" s="60">
      <c r="A214" s="4" t="n"/>
      <c r="B214" s="4" t="n"/>
      <c r="C214" s="4" t="n"/>
      <c r="D214" s="4" t="n"/>
      <c r="E214" s="4" t="n"/>
      <c r="F214" s="4" t="n"/>
    </row>
    <row r="215" ht="15.75" customHeight="1" s="60">
      <c r="A215" s="4" t="n"/>
      <c r="B215" s="4" t="n"/>
      <c r="C215" s="4" t="n"/>
      <c r="D215" s="4" t="n"/>
      <c r="E215" s="4" t="n"/>
      <c r="F215" s="4" t="n"/>
    </row>
    <row r="216" ht="15.75" customHeight="1" s="60">
      <c r="A216" s="4" t="n"/>
      <c r="B216" s="4" t="n"/>
      <c r="C216" s="4" t="n"/>
      <c r="D216" s="4" t="n"/>
      <c r="E216" s="4" t="n"/>
      <c r="F216" s="4" t="n"/>
    </row>
    <row r="217" ht="15.75" customHeight="1" s="60">
      <c r="A217" s="4" t="n"/>
      <c r="B217" s="4" t="n"/>
      <c r="C217" s="4" t="n"/>
      <c r="D217" s="4" t="n"/>
      <c r="E217" s="4" t="n"/>
      <c r="F217" s="4" t="n"/>
    </row>
    <row r="218" ht="15.75" customHeight="1" s="60">
      <c r="A218" s="4" t="n"/>
      <c r="B218" s="4" t="n"/>
      <c r="C218" s="4" t="n"/>
      <c r="D218" s="4" t="n"/>
      <c r="E218" s="4" t="n"/>
      <c r="F218" s="4" t="n"/>
    </row>
    <row r="219" ht="15.75" customHeight="1" s="60">
      <c r="A219" s="4" t="n"/>
      <c r="B219" s="4" t="n"/>
      <c r="C219" s="4" t="n"/>
      <c r="D219" s="4" t="n"/>
      <c r="E219" s="4" t="n"/>
      <c r="F219" s="4" t="n"/>
    </row>
    <row r="220" ht="15.75" customHeight="1" s="60">
      <c r="A220" s="4" t="n"/>
      <c r="B220" s="4" t="n"/>
      <c r="C220" s="4" t="n"/>
      <c r="D220" s="4" t="n"/>
      <c r="E220" s="4" t="n"/>
      <c r="F220" s="4" t="n"/>
    </row>
    <row r="221" ht="15.75" customHeight="1" s="60">
      <c r="A221" s="4" t="n"/>
      <c r="B221" s="4" t="n"/>
      <c r="C221" s="4" t="n"/>
      <c r="D221" s="4" t="n"/>
      <c r="E221" s="4" t="n"/>
      <c r="F221" s="4" t="n"/>
    </row>
    <row r="222" ht="15.75" customHeight="1" s="60">
      <c r="A222" s="4" t="n"/>
      <c r="B222" s="4" t="n"/>
      <c r="C222" s="4" t="n"/>
      <c r="D222" s="4" t="n"/>
      <c r="E222" s="4" t="n"/>
      <c r="F222" s="4" t="n"/>
    </row>
    <row r="223" ht="15.75" customHeight="1" s="60">
      <c r="A223" s="4" t="n"/>
      <c r="B223" s="4" t="n"/>
      <c r="C223" s="4" t="n"/>
      <c r="D223" s="4" t="n"/>
      <c r="E223" s="4" t="n"/>
      <c r="F223" s="4" t="n"/>
    </row>
    <row r="224" ht="15.75" customHeight="1" s="60">
      <c r="A224" s="4" t="n"/>
      <c r="B224" s="4" t="n"/>
      <c r="C224" s="4" t="n"/>
      <c r="D224" s="4" t="n"/>
      <c r="E224" s="4" t="n"/>
      <c r="F224" s="4" t="n"/>
    </row>
    <row r="225" ht="15.75" customHeight="1" s="60">
      <c r="A225" s="4" t="n"/>
      <c r="B225" s="4" t="n"/>
      <c r="C225" s="4" t="n"/>
      <c r="D225" s="4" t="n"/>
      <c r="E225" s="4" t="n"/>
      <c r="F225" s="4" t="n"/>
    </row>
    <row r="226" ht="15.75" customHeight="1" s="60">
      <c r="A226" s="4" t="n"/>
      <c r="B226" s="4" t="n"/>
      <c r="C226" s="4" t="n"/>
      <c r="D226" s="4" t="n"/>
      <c r="E226" s="4" t="n"/>
      <c r="F226" s="4" t="n"/>
    </row>
    <row r="227" ht="15.75" customHeight="1" s="60">
      <c r="A227" s="4" t="n"/>
      <c r="B227" s="4" t="n"/>
      <c r="C227" s="4" t="n"/>
      <c r="D227" s="4" t="n"/>
      <c r="E227" s="4" t="n"/>
      <c r="F227" s="4" t="n"/>
    </row>
    <row r="228" ht="15.75" customHeight="1" s="60">
      <c r="A228" s="4" t="n"/>
      <c r="B228" s="4" t="n"/>
      <c r="C228" s="4" t="n"/>
      <c r="D228" s="4" t="n"/>
      <c r="E228" s="4" t="n"/>
      <c r="F228" s="4" t="n"/>
    </row>
    <row r="229" ht="15.75" customHeight="1" s="60">
      <c r="A229" s="4" t="n"/>
      <c r="B229" s="4" t="n"/>
      <c r="C229" s="4" t="n"/>
      <c r="D229" s="4" t="n"/>
      <c r="E229" s="4" t="n"/>
      <c r="F229" s="4" t="n"/>
    </row>
    <row r="230" ht="15.75" customHeight="1" s="60">
      <c r="A230" s="4" t="n"/>
      <c r="B230" s="4" t="n"/>
      <c r="C230" s="4" t="n"/>
      <c r="D230" s="4" t="n"/>
      <c r="E230" s="4" t="n"/>
      <c r="F230" s="4" t="n"/>
    </row>
    <row r="231" ht="15.75" customHeight="1" s="60">
      <c r="A231" s="4" t="n"/>
      <c r="B231" s="4" t="n"/>
      <c r="C231" s="4" t="n"/>
      <c r="D231" s="4" t="n"/>
      <c r="E231" s="4" t="n"/>
      <c r="F231" s="4" t="n"/>
    </row>
    <row r="232" ht="15.75" customHeight="1" s="60">
      <c r="A232" s="4" t="n"/>
      <c r="B232" s="4" t="n"/>
      <c r="C232" s="4" t="n"/>
      <c r="D232" s="4" t="n"/>
      <c r="E232" s="4" t="n"/>
      <c r="F232" s="4" t="n"/>
    </row>
    <row r="233" ht="15.75" customHeight="1" s="60">
      <c r="A233" s="4" t="n"/>
      <c r="B233" s="4" t="n"/>
      <c r="C233" s="4" t="n"/>
      <c r="D233" s="4" t="n"/>
      <c r="E233" s="4" t="n"/>
      <c r="F233" s="4" t="n"/>
    </row>
    <row r="234" ht="15.75" customHeight="1" s="60">
      <c r="A234" s="4" t="n"/>
      <c r="B234" s="4" t="n"/>
      <c r="C234" s="4" t="n"/>
      <c r="D234" s="4" t="n"/>
      <c r="E234" s="4" t="n"/>
      <c r="F234" s="4" t="n"/>
    </row>
    <row r="235" ht="15.75" customHeight="1" s="60">
      <c r="A235" s="4" t="n"/>
      <c r="B235" s="4" t="n"/>
      <c r="C235" s="4" t="n"/>
      <c r="D235" s="4" t="n"/>
      <c r="E235" s="4" t="n"/>
      <c r="F235" s="4" t="n"/>
    </row>
    <row r="236" ht="15.75" customHeight="1" s="60">
      <c r="A236" s="4" t="n"/>
      <c r="B236" s="4" t="n"/>
      <c r="C236" s="4" t="n"/>
      <c r="D236" s="4" t="n"/>
      <c r="E236" s="4" t="n"/>
      <c r="F236" s="4" t="n"/>
    </row>
    <row r="237" ht="15.75" customHeight="1" s="60">
      <c r="A237" s="4" t="n"/>
      <c r="B237" s="4" t="n"/>
      <c r="C237" s="4" t="n"/>
      <c r="D237" s="4" t="n"/>
      <c r="E237" s="4" t="n"/>
      <c r="F237" s="4" t="n"/>
    </row>
    <row r="238" ht="15.75" customHeight="1" s="60">
      <c r="A238" s="4" t="n"/>
      <c r="B238" s="4" t="n"/>
      <c r="C238" s="4" t="n"/>
      <c r="D238" s="4" t="n"/>
      <c r="E238" s="4" t="n"/>
      <c r="F238" s="4" t="n"/>
    </row>
    <row r="239" ht="15.75" customHeight="1" s="60">
      <c r="A239" s="4" t="n"/>
      <c r="B239" s="4" t="n"/>
      <c r="C239" s="4" t="n"/>
      <c r="D239" s="4" t="n"/>
      <c r="E239" s="4" t="n"/>
      <c r="F239" s="4" t="n"/>
    </row>
    <row r="240" ht="15.75" customHeight="1" s="60">
      <c r="A240" s="4" t="n"/>
      <c r="B240" s="4" t="n"/>
      <c r="C240" s="4" t="n"/>
      <c r="D240" s="4" t="n"/>
      <c r="E240" s="4" t="n"/>
      <c r="F240" s="4" t="n"/>
    </row>
    <row r="241" ht="15.75" customHeight="1" s="60">
      <c r="A241" s="4" t="n"/>
      <c r="B241" s="4" t="n"/>
      <c r="C241" s="4" t="n"/>
      <c r="D241" s="4" t="n"/>
      <c r="E241" s="4" t="n"/>
      <c r="F241" s="4" t="n"/>
    </row>
    <row r="242" ht="15.75" customHeight="1" s="60">
      <c r="A242" s="4" t="n"/>
      <c r="B242" s="4" t="n"/>
      <c r="C242" s="4" t="n"/>
      <c r="D242" s="4" t="n"/>
      <c r="E242" s="4" t="n"/>
      <c r="F242" s="4" t="n"/>
    </row>
    <row r="243" ht="15.75" customHeight="1" s="60">
      <c r="A243" s="4" t="n"/>
      <c r="B243" s="4" t="n"/>
      <c r="C243" s="4" t="n"/>
      <c r="D243" s="4" t="n"/>
      <c r="E243" s="4" t="n"/>
      <c r="F243" s="4" t="n"/>
    </row>
    <row r="244" ht="15.75" customHeight="1" s="60">
      <c r="A244" s="4" t="n"/>
      <c r="B244" s="4" t="n"/>
      <c r="C244" s="4" t="n"/>
      <c r="D244" s="4" t="n"/>
      <c r="E244" s="4" t="n"/>
      <c r="F244" s="4" t="n"/>
    </row>
    <row r="245" ht="15.75" customHeight="1" s="60">
      <c r="A245" s="4" t="n"/>
      <c r="B245" s="4" t="n"/>
      <c r="C245" s="4" t="n"/>
      <c r="D245" s="4" t="n"/>
      <c r="E245" s="4" t="n"/>
      <c r="F245" s="4" t="n"/>
    </row>
    <row r="246" ht="15.75" customHeight="1" s="60">
      <c r="A246" s="4" t="n"/>
      <c r="B246" s="4" t="n"/>
      <c r="C246" s="4" t="n"/>
      <c r="D246" s="4" t="n"/>
      <c r="E246" s="4" t="n"/>
      <c r="F246" s="4" t="n"/>
    </row>
    <row r="247" ht="15.75" customHeight="1" s="60">
      <c r="A247" s="4" t="n"/>
      <c r="B247" s="4" t="n"/>
      <c r="C247" s="4" t="n"/>
      <c r="D247" s="4" t="n"/>
      <c r="E247" s="4" t="n"/>
      <c r="F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  <row r="1001" ht="15.75" customHeight="1" s="60">
      <c r="A1001" s="5" t="inlineStr">
        <is>
          <t>2026-08-12</t>
        </is>
      </c>
      <c r="B1001" s="5" t="inlineStr">
        <is>
          <t>DEPOSIT</t>
        </is>
      </c>
      <c r="C1001" s="5" t="n">
        <v>10000</v>
      </c>
      <c r="D1001" s="5" t="inlineStr">
        <is>
          <t>Zerodha funds addition</t>
        </is>
      </c>
      <c r="E1001" s="4" t="n"/>
      <c r="F1001" s="4" t="n"/>
    </row>
    <row r="1002" ht="15.75" customHeight="1" s="60">
      <c r="A1002" s="5" t="inlineStr">
        <is>
          <t>2026-08-12</t>
        </is>
      </c>
      <c r="B1002" s="5" t="inlineStr">
        <is>
          <t>WITHDRAWAL</t>
        </is>
      </c>
      <c r="C1002" s="7" t="n">
        <v>18.01</v>
      </c>
      <c r="D1002" s="5" t="inlineStr">
        <is>
          <t>Brokerage &amp; taxes on BEL SELL (5 qty @ 399.40)</t>
        </is>
      </c>
      <c r="E1002" s="4" t="n"/>
      <c r="F1002" s="4" t="n"/>
    </row>
    <row r="1003" ht="15.75" customHeight="1" s="60">
      <c r="A1003" s="5" t="inlineStr">
        <is>
          <t>2026-08-12</t>
        </is>
      </c>
      <c r="B1003" s="5" t="inlineStr">
        <is>
          <t>WITHDRAWAL</t>
        </is>
      </c>
      <c r="C1003" s="7" t="n">
        <v>17.1</v>
      </c>
      <c r="D1003" s="5" t="inlineStr">
        <is>
          <t>Brokerage &amp; taxes on BERGEPAINT SELL (2 qty @ 561.20)</t>
        </is>
      </c>
      <c r="E1003" s="4" t="n"/>
      <c r="F1003" s="4" t="n"/>
    </row>
    <row r="1004" ht="15.75" customHeight="1" s="60">
      <c r="A1004" s="5" t="inlineStr">
        <is>
          <t>2026-08-12</t>
        </is>
      </c>
      <c r="B1004" s="5" t="inlineStr">
        <is>
          <t>WITHDRAWAL</t>
        </is>
      </c>
      <c r="C1004" s="7" t="n">
        <v>16.42</v>
      </c>
      <c r="D1004" s="5" t="inlineStr">
        <is>
          <t>Brokerage &amp; taxes on ADVANCE SELL (4 qty @ 118.24)</t>
        </is>
      </c>
      <c r="E1004" s="4" t="n"/>
      <c r="F1004" s="4" t="n"/>
    </row>
    <row r="1005" ht="15.75" customHeight="1" s="60">
      <c r="A1005" s="5" t="inlineStr">
        <is>
          <t>2026-08-13</t>
        </is>
      </c>
      <c r="B1005" s="5" t="inlineStr">
        <is>
          <t>WITHDRAWAL</t>
        </is>
      </c>
      <c r="C1005" s="7" t="n">
        <v>17.25</v>
      </c>
      <c r="D1005" s="5" t="inlineStr">
        <is>
          <t>Brokerage &amp; taxes on JSWSTEEL SELL (1 qty @ 1269.10)</t>
        </is>
      </c>
      <c r="E1005" s="4" t="n"/>
      <c r="F1005" s="4" t="n"/>
    </row>
    <row r="1006" ht="15.75" customHeight="1" s="60">
      <c r="A1006" s="5" t="inlineStr">
        <is>
          <t>2026-08-13</t>
        </is>
      </c>
      <c r="B1006" s="5" t="inlineStr">
        <is>
          <t>WITHDRAWAL</t>
        </is>
      </c>
      <c r="C1006" s="7" t="n">
        <v>2.1</v>
      </c>
      <c r="D1006" s="5" t="inlineStr">
        <is>
          <t>Brokerage &amp; taxes on MRPL BUY (10 qty @ 174.70)</t>
        </is>
      </c>
      <c r="E1006" s="4" t="n"/>
      <c r="F1006" s="4" t="n"/>
    </row>
    <row r="1007" ht="15.75" customHeight="1" s="60">
      <c r="A1007" s="5" t="inlineStr">
        <is>
          <t>2026-08-13</t>
        </is>
      </c>
      <c r="B1007" s="5" t="inlineStr">
        <is>
          <t>WITHDRAWAL</t>
        </is>
      </c>
      <c r="C1007" s="7" t="n">
        <v>2.9</v>
      </c>
      <c r="D1007" s="5" t="inlineStr">
        <is>
          <t>Brokerage &amp; taxes on LENSKART BUY (4 qty @ 605.00)</t>
        </is>
      </c>
      <c r="E1007" s="4" t="n"/>
      <c r="F1007" s="4" t="n"/>
    </row>
    <row r="1008" ht="15.75" customHeight="1" s="60">
      <c r="A1008" s="5" t="inlineStr">
        <is>
          <t>2026-08-13</t>
        </is>
      </c>
      <c r="B1008" s="5" t="inlineStr">
        <is>
          <t>WITHDRAWAL</t>
        </is>
      </c>
      <c r="C1008" s="7" t="n">
        <v>2.57</v>
      </c>
      <c r="D1008" s="5" t="inlineStr">
        <is>
          <t>Brokerage &amp; taxes on AARTIIND BUY (4 qty @ 536.00)</t>
        </is>
      </c>
      <c r="E1008" s="4" t="n"/>
      <c r="F1008" s="4" t="n"/>
    </row>
    <row r="1009" ht="15.75" customHeight="1" s="60">
      <c r="A1009" s="5" t="inlineStr">
        <is>
          <t>2026-08-13</t>
        </is>
      </c>
      <c r="B1009" s="5" t="inlineStr">
        <is>
          <t>WITHDRAWAL</t>
        </is>
      </c>
      <c r="C1009" s="7" t="n">
        <v>2.27</v>
      </c>
      <c r="D1009" s="5" t="inlineStr">
        <is>
          <t>Brokerage &amp; taxes on OIL BUY (4 qty @ 473.00)</t>
        </is>
      </c>
      <c r="E1009" s="4" t="n"/>
      <c r="F1009" s="4" t="n"/>
    </row>
    <row r="1010" ht="15.75" customHeight="1" s="60">
      <c r="A1010" s="5" t="inlineStr">
        <is>
          <t>2026-08-13</t>
        </is>
      </c>
      <c r="B1010" s="5" t="inlineStr">
        <is>
          <t>WITHDRAWAL</t>
        </is>
      </c>
      <c r="C1010" s="7" t="n">
        <v>3.42</v>
      </c>
      <c r="D1010" s="5" t="inlineStr">
        <is>
          <t>Brokerage &amp; taxes on SCHNEIDER BUY (2 qty @ 1425.00)</t>
        </is>
      </c>
      <c r="E1010" s="4" t="n"/>
      <c r="F1010" s="4" t="n"/>
    </row>
    <row r="1011" ht="15.75" customHeight="1" s="60">
      <c r="A1011" s="5" t="inlineStr">
        <is>
          <t>2026-08-13</t>
        </is>
      </c>
      <c r="B1011" s="5" t="inlineStr">
        <is>
          <t>WITHDRAWAL</t>
        </is>
      </c>
      <c r="C1011" s="7" t="n">
        <v>17.63</v>
      </c>
      <c r="D1011" s="5" t="inlineStr">
        <is>
          <t>Brokerage &amp; taxes on TECHM SELL (1 qty @ 1634.70)</t>
        </is>
      </c>
      <c r="E1011" s="4" t="n"/>
      <c r="F1011" s="4" t="n"/>
    </row>
    <row r="1012" ht="15.75" customHeight="1" s="60">
      <c r="A1012" s="5" t="inlineStr">
        <is>
          <t>2026-08-14</t>
        </is>
      </c>
      <c r="B1012" s="5" t="inlineStr">
        <is>
          <t>WITHDRAWAL</t>
        </is>
      </c>
      <c r="C1012" s="7" t="n">
        <v>18.84</v>
      </c>
      <c r="D1012" s="5" t="inlineStr">
        <is>
          <t>Brokerage &amp; taxes on SCHNEIDER SELL (2 qty @ 1401.00)</t>
        </is>
      </c>
      <c r="E1012" s="4" t="n"/>
      <c r="F1012" s="4" t="n"/>
    </row>
    <row r="1013" ht="15.75" customHeight="1" s="60">
      <c r="A1013" s="5" t="inlineStr">
        <is>
          <t>2026-08-14</t>
        </is>
      </c>
      <c r="B1013" s="5" t="inlineStr">
        <is>
          <t>WITHDRAWAL</t>
        </is>
      </c>
      <c r="C1013" s="7" t="n">
        <v>16.49</v>
      </c>
      <c r="D1013" s="5" t="inlineStr">
        <is>
          <t>Brokerage &amp; taxes on AARTIIND SELL (1 qty @ 539.25)</t>
        </is>
      </c>
      <c r="E1013" s="4" t="n"/>
      <c r="F1013" s="4" t="n"/>
    </row>
    <row r="1014" ht="15.75" customHeight="1" s="60">
      <c r="A1014" s="5" t="inlineStr">
        <is>
          <t>2026-08-14</t>
        </is>
      </c>
      <c r="B1014" s="5" t="inlineStr">
        <is>
          <t>WITHDRAWAL</t>
        </is>
      </c>
      <c r="C1014" s="7" t="n">
        <v>17.61</v>
      </c>
      <c r="D1014" s="5" t="inlineStr">
        <is>
          <t>Brokerage &amp; taxes on AARTIIND SELL (3 qty @ 537.55)</t>
        </is>
      </c>
      <c r="E1014" s="4" t="n"/>
      <c r="F1014" s="4" t="n"/>
    </row>
    <row r="1015" ht="15.75" customHeight="1" s="60">
      <c r="A1015" s="23" t="inlineStr">
        <is>
          <t>2026-08-18</t>
        </is>
      </c>
      <c r="B1015" s="23" t="inlineStr">
        <is>
          <t>WITHDRAWAL</t>
        </is>
      </c>
      <c r="C1015" s="7" t="n">
        <v>2.62</v>
      </c>
      <c r="D1015" s="23" t="inlineStr">
        <is>
          <t>Brokerage &amp; taxes on GAYAPROJ-BE BUY (100 qty @ 21.80)</t>
        </is>
      </c>
      <c r="E1015" s="4" t="n"/>
      <c r="F1015" s="4" t="n"/>
    </row>
    <row r="1016" ht="15.75" customHeight="1" s="60">
      <c r="A1016" s="23" t="inlineStr">
        <is>
          <t>2026-08-20</t>
        </is>
      </c>
      <c r="B1016" s="23" t="inlineStr">
        <is>
          <t>WITHDRAWAL</t>
        </is>
      </c>
      <c r="C1016" s="7" t="n">
        <v>2.59</v>
      </c>
      <c r="D1016" s="23" t="inlineStr">
        <is>
          <t>Brokerage &amp; taxes on THELEELA BUY (4 qty @ 539.30)</t>
        </is>
      </c>
      <c r="E1016" s="4" t="n"/>
      <c r="F1016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0" min="1" max="1"/>
    <col width="12" customWidth="1" style="60" min="2" max="2"/>
    <col width="80" customWidth="1" style="60" min="3" max="3"/>
    <col width="8.710000000000001" customWidth="1" style="60" min="4" max="6"/>
  </cols>
  <sheetData>
    <row r="1">
      <c r="A1" s="25" t="inlineStr">
        <is>
          <t>Timestamp</t>
        </is>
      </c>
      <c r="B1" s="25" t="inlineStr">
        <is>
          <t>Level</t>
        </is>
      </c>
      <c r="C1" s="25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6" t="inlineStr">
        <is>
          <t>2026-07-28 09:08:00</t>
        </is>
      </c>
      <c r="B14" s="26" t="inlineStr">
        <is>
          <t>ADVISORY</t>
        </is>
      </c>
      <c r="C14" s="27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inlineStr">
        <is>
          <t>2026-08-18 09:10:44</t>
        </is>
      </c>
      <c r="B126" s="4" t="inlineStr">
        <is>
          <t>INFO</t>
        </is>
      </c>
      <c r="C126" s="4" t="inlineStr">
        <is>
          <t>Updated OPEN trade: GAYAPROJ-BE execution price to 21.8 and date to 2026-08-18</t>
        </is>
      </c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inlineStr">
        <is>
          <t>2026-08-18 09:10:54</t>
        </is>
      </c>
      <c r="B127" s="4" t="inlineStr">
        <is>
          <t>INFO</t>
        </is>
      </c>
      <c r="C127" s="4" t="inlineStr">
        <is>
          <t>Capital Transaction: WITHDRAWAL of INR 2.62 logged.</t>
        </is>
      </c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inlineStr">
        <is>
          <t>2026-08-20 12:52:56</t>
        </is>
      </c>
      <c r="B128" s="4" t="inlineStr">
        <is>
          <t>INFO</t>
        </is>
      </c>
      <c r="C128" s="4" t="inlineStr">
        <is>
          <t>Recorded buy order: 4 shares of THELEELA at 539.3 (SWING)</t>
        </is>
      </c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inlineStr">
        <is>
          <t>2026-08-20 12:53:08</t>
        </is>
      </c>
      <c r="B129" s="4" t="inlineStr">
        <is>
          <t>INFO</t>
        </is>
      </c>
      <c r="C129" s="4" t="inlineStr">
        <is>
          <t>Capital Transaction: WITHDRAWAL of INR 2.59 logged.</t>
        </is>
      </c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</row>
    <row r="222" ht="15.75" customHeight="1" s="60">
      <c r="A222" s="4" t="n"/>
      <c r="B222" s="4" t="n"/>
      <c r="C222" s="4" t="n"/>
      <c r="D222" s="4" t="n"/>
      <c r="E222" s="4" t="n"/>
      <c r="F222" s="4" t="n"/>
    </row>
    <row r="223" ht="15.75" customHeight="1" s="60">
      <c r="A223" s="4" t="n"/>
      <c r="B223" s="4" t="n"/>
      <c r="C223" s="4" t="n"/>
      <c r="D223" s="4" t="n"/>
      <c r="E223" s="4" t="n"/>
      <c r="F223" s="4" t="n"/>
    </row>
    <row r="224" ht="15.75" customHeight="1" s="60">
      <c r="A224" s="4" t="n"/>
      <c r="B224" s="4" t="n"/>
      <c r="C224" s="4" t="n"/>
      <c r="D224" s="4" t="n"/>
      <c r="E224" s="4" t="n"/>
      <c r="F224" s="4" t="n"/>
    </row>
    <row r="225" ht="15.75" customHeight="1" s="60">
      <c r="A225" s="4" t="n"/>
      <c r="B225" s="4" t="n"/>
      <c r="C225" s="4" t="n"/>
      <c r="D225" s="4" t="n"/>
      <c r="E225" s="4" t="n"/>
      <c r="F225" s="4" t="n"/>
    </row>
    <row r="226" ht="15.75" customHeight="1" s="60">
      <c r="A226" s="4" t="n"/>
      <c r="B226" s="4" t="n"/>
      <c r="C226" s="4" t="n"/>
      <c r="D226" s="4" t="n"/>
      <c r="E226" s="4" t="n"/>
      <c r="F226" s="4" t="n"/>
    </row>
    <row r="227" ht="15.75" customHeight="1" s="60">
      <c r="A227" s="4" t="n"/>
      <c r="B227" s="4" t="n"/>
      <c r="C227" s="4" t="n"/>
      <c r="D227" s="4" t="n"/>
      <c r="E227" s="4" t="n"/>
      <c r="F227" s="4" t="n"/>
    </row>
    <row r="228" ht="15.75" customHeight="1" s="60">
      <c r="A228" s="4" t="n"/>
      <c r="B228" s="4" t="n"/>
      <c r="C228" s="4" t="n"/>
      <c r="D228" s="4" t="n"/>
      <c r="E228" s="4" t="n"/>
      <c r="F228" s="4" t="n"/>
    </row>
    <row r="229" ht="15.75" customHeight="1" s="60">
      <c r="A229" s="4" t="n"/>
      <c r="B229" s="4" t="n"/>
      <c r="C229" s="4" t="n"/>
      <c r="D229" s="4" t="n"/>
      <c r="E229" s="4" t="n"/>
      <c r="F229" s="4" t="n"/>
    </row>
    <row r="230" ht="15.75" customHeight="1" s="60">
      <c r="A230" s="4" t="n"/>
      <c r="B230" s="4" t="n"/>
      <c r="C230" s="4" t="n"/>
      <c r="D230" s="4" t="n"/>
      <c r="E230" s="4" t="n"/>
      <c r="F230" s="4" t="n"/>
    </row>
    <row r="231" ht="15.75" customHeight="1" s="60">
      <c r="A231" s="4" t="n"/>
      <c r="B231" s="4" t="n"/>
      <c r="C231" s="4" t="n"/>
      <c r="D231" s="4" t="n"/>
      <c r="E231" s="4" t="n"/>
      <c r="F231" s="4" t="n"/>
    </row>
    <row r="232" ht="15.75" customHeight="1" s="60">
      <c r="A232" s="4" t="n"/>
      <c r="B232" s="4" t="n"/>
      <c r="C232" s="4" t="n"/>
      <c r="D232" s="4" t="n"/>
      <c r="E232" s="4" t="n"/>
      <c r="F232" s="4" t="n"/>
    </row>
    <row r="233" ht="15.75" customHeight="1" s="60">
      <c r="A233" s="4" t="n"/>
      <c r="B233" s="4" t="n"/>
      <c r="C233" s="4" t="n"/>
      <c r="D233" s="4" t="n"/>
      <c r="E233" s="4" t="n"/>
      <c r="F233" s="4" t="n"/>
    </row>
    <row r="234" ht="15.75" customHeight="1" s="60">
      <c r="A234" s="4" t="n"/>
      <c r="B234" s="4" t="n"/>
      <c r="C234" s="4" t="n"/>
      <c r="D234" s="4" t="n"/>
      <c r="E234" s="4" t="n"/>
      <c r="F234" s="4" t="n"/>
    </row>
    <row r="235" ht="15.75" customHeight="1" s="60">
      <c r="A235" s="4" t="n"/>
      <c r="B235" s="4" t="n"/>
      <c r="C235" s="4" t="n"/>
      <c r="D235" s="4" t="n"/>
      <c r="E235" s="4" t="n"/>
      <c r="F235" s="4" t="n"/>
    </row>
    <row r="236" ht="15.75" customHeight="1" s="60">
      <c r="A236" s="4" t="n"/>
      <c r="B236" s="4" t="n"/>
      <c r="C236" s="4" t="n"/>
      <c r="D236" s="4" t="n"/>
      <c r="E236" s="4" t="n"/>
      <c r="F236" s="4" t="n"/>
    </row>
    <row r="237" ht="15.75" customHeight="1" s="60">
      <c r="A237" s="4" t="n"/>
      <c r="B237" s="4" t="n"/>
      <c r="C237" s="4" t="n"/>
      <c r="D237" s="4" t="n"/>
      <c r="E237" s="4" t="n"/>
      <c r="F237" s="4" t="n"/>
    </row>
    <row r="238" ht="15.75" customHeight="1" s="60">
      <c r="A238" s="4" t="n"/>
      <c r="B238" s="4" t="n"/>
      <c r="C238" s="4" t="n"/>
      <c r="D238" s="4" t="n"/>
      <c r="E238" s="4" t="n"/>
      <c r="F238" s="4" t="n"/>
    </row>
    <row r="239" ht="15.75" customHeight="1" s="60">
      <c r="A239" s="4" t="n"/>
      <c r="B239" s="4" t="n"/>
      <c r="C239" s="4" t="n"/>
      <c r="D239" s="4" t="n"/>
      <c r="E239" s="4" t="n"/>
      <c r="F239" s="4" t="n"/>
    </row>
    <row r="240" ht="15.75" customHeight="1" s="60">
      <c r="A240" s="4" t="n"/>
      <c r="B240" s="4" t="n"/>
      <c r="C240" s="4" t="n"/>
      <c r="D240" s="4" t="n"/>
      <c r="E240" s="4" t="n"/>
      <c r="F240" s="4" t="n"/>
    </row>
    <row r="241" ht="15.75" customHeight="1" s="60">
      <c r="A241" s="4" t="n"/>
      <c r="B241" s="4" t="n"/>
      <c r="C241" s="4" t="n"/>
      <c r="D241" s="4" t="n"/>
      <c r="E241" s="4" t="n"/>
      <c r="F241" s="4" t="n"/>
    </row>
    <row r="242" ht="15.75" customHeight="1" s="60">
      <c r="A242" s="4" t="n"/>
      <c r="B242" s="4" t="n"/>
      <c r="C242" s="4" t="n"/>
      <c r="D242" s="4" t="n"/>
      <c r="E242" s="4" t="n"/>
      <c r="F242" s="4" t="n"/>
    </row>
    <row r="243" ht="15.75" customHeight="1" s="60">
      <c r="A243" s="4" t="n"/>
      <c r="B243" s="4" t="n"/>
      <c r="C243" s="4" t="n"/>
      <c r="D243" s="4" t="n"/>
      <c r="E243" s="4" t="n"/>
      <c r="F243" s="4" t="n"/>
    </row>
    <row r="244" ht="15.75" customHeight="1" s="60">
      <c r="A244" s="4" t="n"/>
      <c r="B244" s="4" t="n"/>
      <c r="C244" s="4" t="n"/>
      <c r="D244" s="4" t="n"/>
      <c r="E244" s="4" t="n"/>
      <c r="F244" s="4" t="n"/>
    </row>
    <row r="245" ht="15.75" customHeight="1" s="60">
      <c r="A245" s="4" t="n"/>
      <c r="B245" s="4" t="n"/>
      <c r="C245" s="4" t="n"/>
      <c r="D245" s="4" t="n"/>
      <c r="E245" s="4" t="n"/>
      <c r="F245" s="4" t="n"/>
    </row>
    <row r="246" ht="15.75" customHeight="1" s="60">
      <c r="A246" s="4" t="n"/>
      <c r="B246" s="4" t="n"/>
      <c r="C246" s="4" t="n"/>
      <c r="D246" s="4" t="n"/>
      <c r="E246" s="4" t="n"/>
      <c r="F246" s="4" t="n"/>
    </row>
    <row r="247" ht="15.75" customHeight="1" s="60">
      <c r="A247" s="4" t="n"/>
      <c r="B247" s="4" t="n"/>
      <c r="C247" s="4" t="n"/>
      <c r="D247" s="4" t="n"/>
      <c r="E247" s="4" t="n"/>
      <c r="F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0" min="1" max="2"/>
    <col width="24" customWidth="1" style="60" min="3" max="3"/>
    <col width="14" customWidth="1" style="60" min="4" max="4"/>
    <col width="12" customWidth="1" style="60" min="5" max="6"/>
    <col width="16" customWidth="1" style="60" min="7" max="7"/>
    <col width="13" customWidth="1" style="60" min="8" max="8"/>
    <col width="16" customWidth="1" style="60" min="9" max="9"/>
    <col width="12" customWidth="1" style="60" min="10" max="10"/>
    <col width="53" customWidth="1" style="60" min="11" max="11"/>
  </cols>
  <sheetData>
    <row r="1" ht="25.5" customHeight="1" s="60">
      <c r="A1" s="28" t="inlineStr">
        <is>
          <t>Date</t>
        </is>
      </c>
      <c r="B1" s="28" t="inlineStr">
        <is>
          <t>Symbol</t>
        </is>
      </c>
      <c r="C1" s="28" t="inlineStr">
        <is>
          <t>Company Name</t>
        </is>
      </c>
      <c r="D1" s="28" t="inlineStr">
        <is>
          <t>Entry Price</t>
        </is>
      </c>
      <c r="E1" s="28" t="inlineStr">
        <is>
          <t>Stop Loss</t>
        </is>
      </c>
      <c r="F1" s="28" t="inlineStr">
        <is>
          <t>Target</t>
        </is>
      </c>
      <c r="G1" s="28" t="inlineStr">
        <is>
          <t>Initial Alloc</t>
        </is>
      </c>
      <c r="H1" s="28" t="inlineStr">
        <is>
          <t>Status</t>
        </is>
      </c>
      <c r="I1" s="28" t="inlineStr">
        <is>
          <t>Current Price</t>
        </is>
      </c>
      <c r="J1" s="28" t="inlineStr">
        <is>
          <t>P&amp;L (INR)</t>
        </is>
      </c>
      <c r="K1" s="28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0">
      <c r="A2" s="29" t="inlineStr">
        <is>
          <t>2026-07-24</t>
        </is>
      </c>
      <c r="B2" s="29" t="inlineStr">
        <is>
          <t>SUNPHARMA</t>
        </is>
      </c>
      <c r="C2" s="30" t="inlineStr">
        <is>
          <t>Sun Pharmaceutical</t>
        </is>
      </c>
      <c r="D2" s="31" t="n">
        <v>1954</v>
      </c>
      <c r="E2" s="31" t="n">
        <v>1890.88</v>
      </c>
      <c r="F2" s="31" t="n">
        <v>2080.24</v>
      </c>
      <c r="G2" s="31" t="n">
        <v>2000</v>
      </c>
      <c r="H2" s="29" t="inlineStr">
        <is>
          <t>MONITORING</t>
        </is>
      </c>
      <c r="I2" s="31" t="n">
        <v>1954</v>
      </c>
      <c r="J2" s="31" t="n">
        <v>0</v>
      </c>
      <c r="K2" s="30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0">
      <c r="A3" s="29" t="inlineStr">
        <is>
          <t>2026-07-24</t>
        </is>
      </c>
      <c r="B3" s="29" t="inlineStr">
        <is>
          <t>BAJAJ-AUTO</t>
        </is>
      </c>
      <c r="C3" s="30" t="inlineStr">
        <is>
          <t>Bajaj Auto Limited</t>
        </is>
      </c>
      <c r="D3" s="31" t="n">
        <v>11283.5</v>
      </c>
      <c r="E3" s="31" t="n">
        <v>10780.43</v>
      </c>
      <c r="F3" s="31" t="n">
        <v>12289.64</v>
      </c>
      <c r="G3" s="31" t="n">
        <v>2000</v>
      </c>
      <c r="H3" s="29" t="inlineStr">
        <is>
          <t>MONITORING</t>
        </is>
      </c>
      <c r="I3" s="31" t="n">
        <v>11283.5</v>
      </c>
      <c r="J3" s="31" t="n">
        <v>0</v>
      </c>
      <c r="K3" s="30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0">
      <c r="A4" s="29" t="inlineStr">
        <is>
          <t>2026-07-24</t>
        </is>
      </c>
      <c r="B4" s="29" t="inlineStr">
        <is>
          <t>HEROMOTOCO</t>
        </is>
      </c>
      <c r="C4" s="30" t="inlineStr">
        <is>
          <t>Hero MotoCorp</t>
        </is>
      </c>
      <c r="D4" s="31" t="n">
        <v>5098.8</v>
      </c>
      <c r="E4" s="31" t="n">
        <v>4900.54</v>
      </c>
      <c r="F4" s="31" t="n">
        <v>5495.31</v>
      </c>
      <c r="G4" s="31" t="n">
        <v>2000</v>
      </c>
      <c r="H4" s="29" t="inlineStr">
        <is>
          <t>MONITORING</t>
        </is>
      </c>
      <c r="I4" s="31" t="n">
        <v>5098.8</v>
      </c>
      <c r="J4" s="31" t="n">
        <v>0</v>
      </c>
      <c r="K4" s="30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0">
      <c r="A5" s="29" t="inlineStr">
        <is>
          <t>2026-07-24</t>
        </is>
      </c>
      <c r="B5" s="29" t="inlineStr">
        <is>
          <t>SIEMENS</t>
        </is>
      </c>
      <c r="C5" s="30" t="inlineStr">
        <is>
          <t>Siemens Limited</t>
        </is>
      </c>
      <c r="D5" s="31" t="n">
        <v>3686.3</v>
      </c>
      <c r="E5" s="31" t="n">
        <v>3491.06</v>
      </c>
      <c r="F5" s="31" t="n">
        <v>4076.79</v>
      </c>
      <c r="G5" s="31" t="n">
        <v>2000</v>
      </c>
      <c r="H5" s="29" t="inlineStr">
        <is>
          <t>MONITORING</t>
        </is>
      </c>
      <c r="I5" s="31" t="n">
        <v>3686.3</v>
      </c>
      <c r="J5" s="31" t="n">
        <v>0</v>
      </c>
      <c r="K5" s="30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0">
      <c r="A6" s="29" t="inlineStr">
        <is>
          <t>2026-07-24</t>
        </is>
      </c>
      <c r="B6" s="29" t="inlineStr">
        <is>
          <t>HAL</t>
        </is>
      </c>
      <c r="C6" s="30" t="inlineStr">
        <is>
          <t>Hindustan Aeronautics</t>
        </is>
      </c>
      <c r="D6" s="31" t="n">
        <v>4592.5</v>
      </c>
      <c r="E6" s="31" t="n">
        <v>4418.04</v>
      </c>
      <c r="F6" s="31" t="n">
        <v>4941.41</v>
      </c>
      <c r="G6" s="31" t="n">
        <v>2000</v>
      </c>
      <c r="H6" s="29" t="inlineStr">
        <is>
          <t>MONITORING</t>
        </is>
      </c>
      <c r="I6" s="31" t="n">
        <v>4592.5</v>
      </c>
      <c r="J6" s="31" t="n">
        <v>0</v>
      </c>
      <c r="K6" s="30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2026-08-20T17:02:27Z</dcterms:modified>
</cp:coreProperties>
</file>