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19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1B365D"/>
      <sz val="11"/>
    </font>
    <font>
      <name val="Quattrocento Sans"/>
      <b val="1"/>
      <color rgb="FF2D3748"/>
      <sz val="10"/>
    </font>
    <font/>
    <font>
      <name val="Quattrocento Sans"/>
      <color rgb="FF2D3748"/>
      <sz val="10"/>
    </font>
    <font>
      <name val="Quattrocento Sans"/>
      <b val="1"/>
      <color theme="1"/>
      <sz val="11"/>
    </font>
    <font>
      <name val="Quattrocento Sans"/>
      <color theme="1"/>
      <sz val="11"/>
    </font>
    <font>
      <name val="Quattrocento Sans"/>
      <color theme="1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</fonts>
  <fills count="14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D3DDF1"/>
        <bgColor rgb="FFD3DDF1"/>
      </patternFill>
    </fill>
    <fill>
      <patternFill patternType="solid">
        <fgColor rgb="FFF7FAFC"/>
        <bgColor rgb="FFF7FAFC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right/>
      <top/>
      <bottom/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5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4" borderId="0" applyAlignment="1" pivotButton="0" quotePrefix="0" xfId="0">
      <alignment horizontal="center" vertical="center"/>
    </xf>
    <xf numFmtId="0" fontId="6" fillId="0" borderId="0" pivotButton="0" quotePrefix="0" xfId="0"/>
    <xf numFmtId="164" fontId="3" fillId="0" borderId="0" pivotButton="0" quotePrefix="0" xfId="0"/>
    <xf numFmtId="0" fontId="7" fillId="5" borderId="2" pivotButton="0" quotePrefix="0" xfId="0"/>
    <xf numFmtId="0" fontId="8" fillId="6" borderId="3" applyAlignment="1" pivotButton="0" quotePrefix="0" xfId="0">
      <alignment horizontal="left" vertical="center" wrapText="1"/>
    </xf>
    <xf numFmtId="0" fontId="9" fillId="0" borderId="4" pivotButton="0" quotePrefix="0" xfId="0"/>
    <xf numFmtId="0" fontId="10" fillId="0" borderId="5" applyAlignment="1" pivotButton="0" quotePrefix="0" xfId="0">
      <alignment horizontal="left" vertical="center" wrapText="1"/>
    </xf>
    <xf numFmtId="0" fontId="9" fillId="0" borderId="6" pivotButton="0" quotePrefix="0" xfId="0"/>
    <xf numFmtId="0" fontId="9" fillId="0" borderId="7" pivotButton="0" quotePrefix="0" xfId="0"/>
    <xf numFmtId="0" fontId="11" fillId="7" borderId="1" pivotButton="0" quotePrefix="0" xfId="0"/>
    <xf numFmtId="164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164" fontId="13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165" fontId="12" fillId="0" borderId="0" pivotButton="0" quotePrefix="0" xfId="0"/>
    <xf numFmtId="0" fontId="11" fillId="7" borderId="0" pivotButton="0" quotePrefix="0" xfId="0"/>
    <xf numFmtId="3" fontId="12" fillId="0" borderId="0" pivotButton="0" quotePrefix="0" xfId="0"/>
    <xf numFmtId="0" fontId="7" fillId="5" borderId="0" pivotButton="0" quotePrefix="0" xfId="0"/>
    <xf numFmtId="0" fontId="4" fillId="8" borderId="1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left" vertical="center"/>
    </xf>
    <xf numFmtId="164" fontId="13" fillId="0" borderId="3" applyAlignment="1" pivotButton="0" quotePrefix="0" xfId="0">
      <alignment horizontal="right" vertical="center"/>
    </xf>
    <xf numFmtId="0" fontId="0" fillId="0" borderId="0" pivotButton="0" quotePrefix="0" xfId="0"/>
    <xf numFmtId="0" fontId="10" fillId="0" borderId="3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14" fillId="0" borderId="0" pivotButton="0" quotePrefix="0" xfId="0"/>
    <xf numFmtId="0" fontId="15" fillId="9" borderId="1" applyAlignment="1" pivotButton="0" quotePrefix="0" xfId="0">
      <alignment horizontal="center" vertical="center"/>
    </xf>
    <xf numFmtId="0" fontId="16" fillId="10" borderId="1" pivotButton="0" quotePrefix="0" xfId="0"/>
    <xf numFmtId="0" fontId="17" fillId="11" borderId="1" pivotButton="0" quotePrefix="0" xfId="0"/>
    <xf numFmtId="164" fontId="18" fillId="0" borderId="0" pivotButton="0" quotePrefix="0" xfId="0"/>
    <xf numFmtId="165" fontId="18" fillId="0" borderId="0" pivotButton="0" quotePrefix="0" xfId="0"/>
    <xf numFmtId="0" fontId="17" fillId="11" borderId="0" pivotButton="0" quotePrefix="0" xfId="0"/>
    <xf numFmtId="3" fontId="18" fillId="0" borderId="0" pivotButton="0" quotePrefix="0" xfId="0"/>
    <xf numFmtId="0" fontId="16" fillId="10" borderId="0" pivotButton="0" quotePrefix="0" xfId="0"/>
    <xf numFmtId="3" fontId="18" fillId="10" borderId="0" pivotButton="0" quotePrefix="0" xfId="0"/>
    <xf numFmtId="0" fontId="18" fillId="0" borderId="0" pivotButton="0" quotePrefix="0" xfId="0"/>
    <xf numFmtId="0" fontId="6" fillId="12" borderId="0" pivotButton="0" quotePrefix="0" xfId="0"/>
    <xf numFmtId="164" fontId="3" fillId="12" borderId="0" pivotButton="0" quotePrefix="0" xfId="0"/>
    <xf numFmtId="0" fontId="3" fillId="12" borderId="0" pivotButton="0" quotePrefix="0" xfId="0"/>
    <xf numFmtId="0" fontId="6" fillId="13" borderId="0" pivotButton="0" quotePrefix="0" xfId="0"/>
    <xf numFmtId="164" fontId="3" fillId="13" borderId="0" pivotButton="0" quotePrefix="0" xfId="0"/>
    <xf numFmtId="0" fontId="3" fillId="13" borderId="0" pivotButton="0" quotePrefix="0" xfId="0"/>
    <xf numFmtId="164" fontId="18" fillId="11" borderId="0" pivotButton="0" quotePrefix="0" xfId="0"/>
    <xf numFmtId="3" fontId="18" fillId="11" borderId="0" pivotButton="0" quotePrefix="0" xfId="0"/>
    <xf numFmtId="165" fontId="18" fillId="11" borderId="0" pivotButton="0" quotePrefix="0" xfId="0"/>
    <xf numFmtId="0" fontId="17" fillId="10" borderId="0" pivotButton="0" quotePrefix="0" xfId="0"/>
    <xf numFmtId="164" fontId="18" fillId="10" borderId="0" pivotButton="0" quotePrefix="0" xfId="0"/>
    <xf numFmtId="0" fontId="17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31" min="1" max="3"/>
    <col width="32" customWidth="1" style="31" min="4" max="4"/>
    <col width="8.710000000000001" customWidth="1" style="31" min="5" max="6"/>
  </cols>
  <sheetData>
    <row r="1" ht="39.75" customHeight="1" s="31">
      <c r="A1" s="2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1">
      <c r="A3" s="6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1">
      <c r="A4" s="11" t="inlineStr">
        <is>
          <t>System Type</t>
        </is>
      </c>
      <c r="B4" s="32" t="inlineStr">
        <is>
          <t>Rule-based quantitative Swing Trading system optimized for momentum setups.</t>
        </is>
      </c>
      <c r="C4" s="33" t="n"/>
      <c r="D4" s="34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1">
      <c r="A5" s="11" t="inlineStr">
        <is>
          <t>Asset Class</t>
        </is>
      </c>
      <c r="B5" s="32" t="inlineStr">
        <is>
          <t>Indian Equities listed on NSE and BSE.</t>
        </is>
      </c>
      <c r="C5" s="33" t="n"/>
      <c r="D5" s="34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1">
      <c r="A6" s="11" t="inlineStr">
        <is>
          <t>Target Universe</t>
        </is>
      </c>
      <c r="B6" s="32" t="inlineStr">
        <is>
          <t>Sharia-compliant stocks with high liquidity (Market Cap &gt; ₹500 Cr, Average Daily Volume &gt; 100,000).</t>
        </is>
      </c>
      <c r="C6" s="33" t="n"/>
      <c r="D6" s="34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31">
      <c r="A7" s="11" t="inlineStr">
        <is>
          <t>Trading Regime</t>
        </is>
      </c>
      <c r="B7" s="32" t="inlineStr">
        <is>
          <t>Adaptive momentum filters powered by custom trend, volatility, volume, and levels weights.</t>
        </is>
      </c>
      <c r="C7" s="33" t="n"/>
      <c r="D7" s="34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31">
      <c r="A9" s="6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31">
      <c r="A10" s="11" t="inlineStr">
        <is>
          <t>Sector Exclusions</t>
        </is>
      </c>
      <c r="B10" s="32" t="inlineStr">
        <is>
          <t>Conventional Financial Services (Banks, Credit Services, Insurance), Tobacco, Alcohol, Brewers/Wineries, Gambling.</t>
        </is>
      </c>
      <c r="C10" s="33" t="n"/>
      <c r="D10" s="34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31">
      <c r="A11" s="11" t="inlineStr">
        <is>
          <t>Debt Ratio Limit</t>
        </is>
      </c>
      <c r="B11" s="32" t="inlineStr">
        <is>
          <t>Total Long Term &amp; Short Term Debt / Total Assets must be strictly less than 33%.</t>
        </is>
      </c>
      <c r="C11" s="33" t="n"/>
      <c r="D11" s="34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31">
      <c r="A12" s="11" t="inlineStr">
        <is>
          <t>Cash Ratio Limit</t>
        </is>
      </c>
      <c r="B12" s="32" t="inlineStr">
        <is>
          <t>Cash And Cash Equivalents &amp; Short Term Investments / Total Assets must be strictly less than 33%.</t>
        </is>
      </c>
      <c r="C12" s="33" t="n"/>
      <c r="D12" s="34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31">
      <c r="A13" s="11" t="inlineStr">
        <is>
          <t>Receivables Ratio</t>
        </is>
      </c>
      <c r="B13" s="32" t="inlineStr">
        <is>
          <t>Net Receivables / Total Assets must be strictly less than 49%.</t>
        </is>
      </c>
      <c r="C13" s="33" t="n"/>
      <c r="D13" s="34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31">
      <c r="A14" s="11" t="inlineStr">
        <is>
          <t>Non-Permissible Income</t>
        </is>
      </c>
      <c r="B14" s="32" t="inlineStr">
        <is>
          <t>Interest and Haram non-operating income / Total Revenue must be strictly less than 5%.</t>
        </is>
      </c>
      <c r="C14" s="33" t="n"/>
      <c r="D14" s="34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31">
      <c r="A16" s="6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31">
      <c r="A17" s="11" t="inlineStr">
        <is>
          <t>Capital Control</t>
        </is>
      </c>
      <c r="B17" s="32" t="inlineStr">
        <is>
          <t>Position sizing is dynamically calculated based on the actual Capital Available for Trading in this journal.</t>
        </is>
      </c>
      <c r="C17" s="33" t="n"/>
      <c r="D17" s="34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31">
      <c r="A18" s="11" t="inlineStr">
        <is>
          <t>Allocation Cap</t>
        </is>
      </c>
      <c r="B18" s="32" t="inlineStr">
        <is>
          <t>Maximum capital allocated per trade is strictly capped at 20% of your total available account balance.</t>
        </is>
      </c>
      <c r="C18" s="33" t="n"/>
      <c r="D18" s="34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31">
      <c r="A19" s="11" t="inlineStr">
        <is>
          <t>Stop Loss (SL)</t>
        </is>
      </c>
      <c r="B19" s="32" t="inlineStr">
        <is>
          <t>Calculated dynamically using volatility (ATR / 200 EMA bounds) to guarantee downside protection.</t>
        </is>
      </c>
      <c r="C19" s="33" t="n"/>
      <c r="D19" s="34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31">
      <c r="A20" s="11" t="inlineStr">
        <is>
          <t>Target Price (T1)</t>
        </is>
      </c>
      <c r="B20" s="32" t="inlineStr">
        <is>
          <t>Calculated using volatility metrics to target a minimum Risk-to-Reward ratio of 1:2.0.</t>
        </is>
      </c>
      <c r="C20" s="33" t="n"/>
      <c r="D20" s="34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31">
      <c r="A21" s="11" t="inlineStr">
        <is>
          <t>Market Regime Filter</t>
        </is>
      </c>
      <c r="B21" s="32" t="inlineStr">
        <is>
          <t>Bullish: Nifty 50 &gt; 200 EMA (Trades permitted). Bearish: Nifty 50 &lt; 200 EMA (Long entries strictly skipped).</t>
        </is>
      </c>
      <c r="C21" s="33" t="n"/>
      <c r="D21" s="34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31">
      <c r="A23" s="6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31">
      <c r="A24" s="11" t="inlineStr">
        <is>
          <t>Allocation Cap</t>
        </is>
      </c>
      <c r="B24" s="32" t="inlineStr">
        <is>
          <t>State-dependent: 20% max in State 1 (Macro Bullish); 10% max in State 2 (Bear Relief Rally) &amp; State 3 (Capitulation Bottom); 0% in State 4 (Cash Only).</t>
        </is>
      </c>
      <c r="C24" s="33" t="n"/>
      <c r="D24" s="34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31">
      <c r="A25" s="11" t="inlineStr">
        <is>
          <t>EOD Sync</t>
        </is>
      </c>
      <c r="B25" s="32" t="inlineStr">
        <is>
          <t>Run: py main.py sync-zerodha-orders  (Auto-syncs filled orders from Zerodha Kite, updates Ledger and Capital sheet)</t>
        </is>
      </c>
      <c r="C25" s="33" t="n"/>
      <c r="D25" s="34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31">
      <c r="A26" s="11" t="inlineStr">
        <is>
          <t>BSE Scan Expansion</t>
        </is>
      </c>
      <c r="B26" s="32" t="inlineStr">
        <is>
          <t>Run: py scratch/scan_all_bse.py  (Scans BSE equities to expand the Sharia-compliant universe)</t>
        </is>
      </c>
      <c r="C26" s="33" t="n"/>
      <c r="D26" s="34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31">
      <c r="A27" s="11" t="inlineStr">
        <is>
          <t>Market Regime Filter</t>
        </is>
      </c>
      <c r="B27" s="3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33" t="n"/>
      <c r="D27" s="34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31">
      <c r="A28" s="11" t="inlineStr">
        <is>
          <t>Broker Integration</t>
        </is>
      </c>
      <c r="B28" s="32" t="inlineStr">
        <is>
          <t>Uses custom Zerodha Web Adapter (totp_secret &amp; enctoken verification) to execute zero-cost trades without subscription.</t>
        </is>
      </c>
      <c r="C28" s="33" t="n"/>
      <c r="D28" s="34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31">
      <c r="A42" s="6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31">
      <c r="A43" s="11" t="inlineStr">
        <is>
          <t>Total Listed Equities</t>
        </is>
      </c>
      <c r="B43" s="32" t="inlineStr">
        <is>
          <t>7,500+ stocks across NSE and BSE combined.</t>
        </is>
      </c>
      <c r="C43" s="33" t="n"/>
      <c r="D43" s="34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31">
      <c r="A44" s="11" t="inlineStr">
        <is>
          <t>Sharia-Compliant</t>
        </is>
      </c>
      <c r="B44" s="32" t="inlineStr">
        <is>
          <t>2,000+ stocks pass business and financial ratio exclusions (approx. 30-35% of Indian market).</t>
        </is>
      </c>
      <c r="C44" s="33" t="n"/>
      <c r="D44" s="34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31">
      <c r="A45" s="11" t="inlineStr">
        <is>
          <t>HSTS Filtered Universe</t>
        </is>
      </c>
      <c r="B45" s="32" t="inlineStr">
        <is>
          <t>545 stocks verified as both Sharia-compliant and highly liquid for swing trading.</t>
        </is>
      </c>
      <c r="C45" s="33" t="n"/>
      <c r="D45" s="34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31">
      <c r="A46" s="11" t="inlineStr">
        <is>
          <t>Liquidity Pre-Filter</t>
        </is>
      </c>
      <c r="B46" s="32" t="inlineStr">
        <is>
          <t>Market Capitalization &gt; INR 500 Crore AND Average Daily Volume &gt; 100,000 shares.</t>
        </is>
      </c>
      <c r="C46" s="33" t="n"/>
      <c r="D46" s="34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31">
      <c r="A47" s="11" t="inlineStr">
        <is>
          <t>Protection Rationale</t>
        </is>
      </c>
      <c r="B47" s="32" t="inlineStr">
        <is>
          <t>Filters out volatile micro-caps and penny stocks, minimizing execution slippage and preventing lower-circuit lock-ins.</t>
        </is>
      </c>
      <c r="C47" s="33" t="n"/>
      <c r="D47" s="34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31" min="1" max="1"/>
    <col width="22" customWidth="1" style="31" min="2" max="2"/>
    <col width="8.710000000000001" customWidth="1" style="31" min="3" max="6"/>
  </cols>
  <sheetData>
    <row r="1" ht="30" customHeight="1" s="31">
      <c r="A1" s="35" t="inlineStr">
        <is>
          <t>HSTS v1.0 Trading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45" t="n"/>
      <c r="B2" s="45" t="n"/>
      <c r="C2" s="45" t="n"/>
      <c r="D2" s="45" t="n"/>
      <c r="E2" s="45" t="n"/>
      <c r="F2" s="45" t="n"/>
      <c r="G2" s="45" t="n"/>
      <c r="H2" s="45" t="n"/>
      <c r="I2" s="45" t="n"/>
      <c r="J2" s="45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1">
      <c r="A3" s="36" t="inlineStr">
        <is>
          <t>Metric</t>
        </is>
      </c>
      <c r="B3" s="36" t="inlineStr">
        <is>
          <t>Value</t>
        </is>
      </c>
      <c r="C3" s="45" t="n"/>
      <c r="D3" s="45" t="n"/>
      <c r="E3" s="45" t="n"/>
      <c r="F3" s="45" t="n"/>
      <c r="G3" s="45" t="n"/>
      <c r="H3" s="45" t="n"/>
      <c r="I3" s="45" t="n"/>
      <c r="J3" s="45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37" t="inlineStr">
        <is>
          <t>Global Portfolio Metrics</t>
        </is>
      </c>
      <c r="C4" s="45" t="n"/>
      <c r="D4" s="45" t="n"/>
      <c r="E4" s="45" t="n"/>
      <c r="F4" s="45" t="n"/>
      <c r="G4" s="45" t="n"/>
      <c r="H4" s="45" t="n"/>
      <c r="I4" s="45" t="n"/>
      <c r="J4" s="45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38" t="inlineStr">
        <is>
          <t>Total Net Capital Deposited</t>
        </is>
      </c>
      <c r="B5" s="52">
        <f>SUMIF(Capital!B:B, "DEPOSIT", Capital!C:C) - SUMIF(Capital!B:B, "WITHDRAWAL", Capital!C:C)</f>
        <v/>
      </c>
      <c r="C5" s="45" t="n"/>
      <c r="D5" s="45" t="n"/>
      <c r="E5" s="45" t="n"/>
      <c r="F5" s="45" t="n"/>
      <c r="G5" s="45" t="n"/>
      <c r="H5" s="45" t="n"/>
      <c r="I5" s="45" t="n"/>
      <c r="J5" s="45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8" t="inlineStr">
        <is>
          <t>Lifetime Realized PnL</t>
        </is>
      </c>
      <c r="B6" s="52">
        <f>SUM(Ledger!M:M)</f>
        <v/>
      </c>
      <c r="C6" s="45" t="n"/>
      <c r="D6" s="45" t="n"/>
      <c r="E6" s="45" t="n"/>
      <c r="F6" s="45" t="n"/>
      <c r="G6" s="45" t="n"/>
      <c r="H6" s="45" t="n"/>
      <c r="I6" s="45" t="n"/>
      <c r="J6" s="45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8" t="inlineStr">
        <is>
          <t>Current Total Portfolio Value</t>
        </is>
      </c>
      <c r="B7" s="52">
        <f>B5 + B6 + (B11 - B10)</f>
        <v/>
      </c>
      <c r="C7" s="45" t="n"/>
      <c r="D7" s="45" t="n"/>
      <c r="E7" s="45" t="n"/>
      <c r="F7" s="45" t="n"/>
      <c r="G7" s="45" t="n"/>
      <c r="H7" s="45" t="n"/>
      <c r="I7" s="45" t="n"/>
      <c r="J7" s="45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8" t="inlineStr">
        <is>
          <t>Total Number of Trades</t>
        </is>
      </c>
      <c r="B8" s="53">
        <f>COUNTIF(Ledger!N:N, "WIN") + COUNTIF(Ledger!N:N, "LOSS") + COUNTIF(Ledger!N:N, "OPEN")</f>
        <v/>
      </c>
      <c r="C8" s="45" t="n"/>
      <c r="D8" s="45" t="n"/>
      <c r="E8" s="45" t="n"/>
      <c r="F8" s="45" t="n"/>
      <c r="G8" s="45" t="n"/>
      <c r="H8" s="45" t="n"/>
      <c r="I8" s="45" t="n"/>
      <c r="J8" s="45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8" t="inlineStr">
        <is>
          <t>Winning Percentage of Trades</t>
        </is>
      </c>
      <c r="B9" s="54">
        <f>IF((COUNTIF(Ledger!N:N, "WIN")+COUNTIF(Ledger!N:N, "LOSS"))&gt;0, COUNTIF(Ledger!N:N, "WIN")/(COUNTIF(Ledger!N:N, "WIN")+COUNTIF(Ledger!N:N, "LOSS")), 0)</f>
        <v/>
      </c>
      <c r="C9" s="45" t="n"/>
      <c r="D9" s="45" t="n"/>
      <c r="E9" s="45" t="n"/>
      <c r="F9" s="45" t="n"/>
      <c r="G9" s="45" t="n"/>
      <c r="H9" s="45" t="n"/>
      <c r="I9" s="45" t="n"/>
      <c r="J9" s="45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8" t="inlineStr">
        <is>
          <t>Capital Deployed in Open Trades</t>
        </is>
      </c>
      <c r="B10" s="52" t="n"/>
      <c r="C10" s="45" t="n"/>
      <c r="D10" s="45" t="n"/>
      <c r="E10" s="45" t="n"/>
      <c r="F10" s="45" t="n"/>
      <c r="G10" s="45" t="n"/>
      <c r="H10" s="45" t="n"/>
      <c r="I10" s="45" t="n"/>
      <c r="J10" s="45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8" t="inlineStr">
        <is>
          <t>Current Value of Active Trades</t>
        </is>
      </c>
      <c r="B11" s="52" t="n">
        <v>0</v>
      </c>
      <c r="C11" s="45" t="n"/>
      <c r="D11" s="45" t="n"/>
      <c r="E11" s="45" t="n"/>
      <c r="F11" s="45" t="n"/>
      <c r="G11" s="45" t="n"/>
      <c r="H11" s="45" t="n"/>
      <c r="I11" s="45" t="n"/>
      <c r="J11" s="45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41" t="inlineStr">
        <is>
          <t>Capital Available for Trading</t>
        </is>
      </c>
      <c r="B12" s="52">
        <f>B5 + B6 - B10</f>
        <v/>
      </c>
      <c r="C12" s="45" t="n"/>
      <c r="D12" s="45" t="n"/>
      <c r="E12" s="45" t="n"/>
      <c r="F12" s="45" t="n"/>
      <c r="G12" s="45" t="n"/>
      <c r="H12" s="45" t="n"/>
      <c r="I12" s="45" t="n"/>
      <c r="J12" s="45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41" t="inlineStr">
        <is>
          <t>Total Wins</t>
        </is>
      </c>
      <c r="B13" s="53">
        <f>COUNTIF(Ledger!N:N, "WIN")</f>
        <v/>
      </c>
      <c r="C13" s="45" t="n"/>
      <c r="D13" s="45" t="n"/>
      <c r="E13" s="45" t="n"/>
      <c r="F13" s="45" t="n"/>
      <c r="G13" s="45" t="n"/>
      <c r="H13" s="45" t="n"/>
      <c r="I13" s="45" t="n"/>
      <c r="J13" s="45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55" t="inlineStr">
        <is>
          <t>Total Losses</t>
        </is>
      </c>
      <c r="B14" s="53">
        <f>COUNTIF(Ledger!N:N, "LOSS")</f>
        <v/>
      </c>
      <c r="C14" s="45" t="n"/>
      <c r="D14" s="45" t="n"/>
      <c r="E14" s="45" t="n"/>
      <c r="F14" s="45" t="n"/>
      <c r="G14" s="45" t="n"/>
      <c r="H14" s="45" t="n"/>
      <c r="I14" s="45" t="n"/>
      <c r="J14" s="45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41" t="inlineStr">
        <is>
          <t>Total Taxes Paid to Zerodha</t>
        </is>
      </c>
      <c r="B15" s="52" t="n"/>
      <c r="C15" s="45" t="n"/>
      <c r="D15" s="45" t="n"/>
      <c r="E15" s="45" t="n"/>
      <c r="F15" s="45" t="n"/>
      <c r="G15" s="45" t="n"/>
      <c r="H15" s="45" t="n"/>
      <c r="I15" s="45" t="n"/>
      <c r="J15" s="45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43" t="inlineStr">
        <is>
          <t>Swing Trading Statistics</t>
        </is>
      </c>
      <c r="B16" s="56" t="inlineStr"/>
      <c r="C16" s="45" t="n"/>
      <c r="D16" s="45" t="n"/>
      <c r="E16" s="45" t="n"/>
      <c r="F16" s="45" t="n"/>
      <c r="G16" s="45" t="n"/>
      <c r="H16" s="45" t="n"/>
      <c r="I16" s="45" t="n"/>
      <c r="J16" s="45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41" t="inlineStr">
        <is>
          <t>Swing Win Rate</t>
        </is>
      </c>
      <c r="B17" s="54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7" s="45" t="n"/>
      <c r="D17" s="45" t="n"/>
      <c r="E17" s="45" t="n"/>
      <c r="F17" s="45" t="n"/>
      <c r="G17" s="45" t="n"/>
      <c r="H17" s="45" t="n"/>
      <c r="I17" s="45" t="n"/>
      <c r="J17" s="45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41" t="inlineStr">
        <is>
          <t>Swing Realized PnL</t>
        </is>
      </c>
      <c r="B18" s="52">
        <f>SUMIFS(Ledger!M:M, Ledger!P:P, "SWING")</f>
        <v/>
      </c>
      <c r="C18" s="45" t="n"/>
      <c r="D18" s="45" t="n"/>
      <c r="E18" s="45" t="n"/>
      <c r="F18" s="45" t="n"/>
      <c r="G18" s="45" t="n"/>
      <c r="H18" s="45" t="n"/>
      <c r="I18" s="45" t="n"/>
      <c r="J18" s="45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55" t="inlineStr">
        <is>
          <t>Swing Completed Trades</t>
        </is>
      </c>
      <c r="B19" s="53">
        <f>COUNTIFS(Ledger!P:P, "SWING", Ledger!N:N, "WIN") + COUNTIFS(Ledger!P:P, "SWING", Ledger!N:N, "LOSS")</f>
        <v/>
      </c>
      <c r="C19" s="45" t="n"/>
      <c r="D19" s="45" t="n"/>
      <c r="E19" s="45" t="n"/>
      <c r="F19" s="45" t="n"/>
      <c r="G19" s="45" t="n"/>
      <c r="H19" s="45" t="n"/>
      <c r="I19" s="45" t="n"/>
      <c r="J19" s="45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41" t="inlineStr">
        <is>
          <t>Swing Active Positions</t>
        </is>
      </c>
      <c r="B20" s="53">
        <f>COUNTIFS(Ledger!P:P, "SWING", Ledger!N:N, "OPEN")</f>
        <v/>
      </c>
      <c r="C20" s="45" t="n"/>
      <c r="D20" s="45" t="n"/>
      <c r="E20" s="45" t="n"/>
      <c r="F20" s="45" t="n"/>
      <c r="G20" s="45" t="n"/>
      <c r="H20" s="45" t="n"/>
      <c r="I20" s="45" t="n"/>
      <c r="J20" s="45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43" t="inlineStr">
        <is>
          <t>Intraday Trading Statistics</t>
        </is>
      </c>
      <c r="B21" s="56" t="inlineStr"/>
      <c r="C21" s="45" t="n"/>
      <c r="D21" s="45" t="n"/>
      <c r="E21" s="45" t="n"/>
      <c r="F21" s="45" t="n"/>
      <c r="G21" s="45" t="n"/>
      <c r="H21" s="45" t="n"/>
      <c r="I21" s="45" t="n"/>
      <c r="J21" s="45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41" t="inlineStr">
        <is>
          <t>Intraday Win Rate</t>
        </is>
      </c>
      <c r="B22" s="54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2" s="45" t="n"/>
      <c r="D22" s="45" t="n"/>
      <c r="E22" s="45" t="n"/>
      <c r="F22" s="45" t="n"/>
      <c r="G22" s="45" t="n"/>
      <c r="H22" s="45" t="n"/>
      <c r="I22" s="45" t="n"/>
      <c r="J22" s="45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41" t="inlineStr">
        <is>
          <t>Intraday Realized PnL</t>
        </is>
      </c>
      <c r="B23" s="52">
        <f>SUMIFS(Ledger!M:M, Ledger!P:P, "INTRADAY")</f>
        <v/>
      </c>
      <c r="C23" s="45" t="n"/>
      <c r="D23" s="45" t="n"/>
      <c r="E23" s="45" t="n"/>
      <c r="F23" s="45" t="n"/>
      <c r="G23" s="45" t="n"/>
      <c r="H23" s="45" t="n"/>
      <c r="I23" s="45" t="n"/>
      <c r="J23" s="45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57" t="inlineStr">
        <is>
          <t>Intraday Completed Trades</t>
        </is>
      </c>
      <c r="B24" s="53">
        <f>COUNTIFS(Ledger!P:P, "INTRADAY", Ledger!N:N, "WIN") + COUNTIFS(Ledger!P:P, "INTRADAY", Ledger!N:N, "LOSS")</f>
        <v/>
      </c>
      <c r="C24" s="45" t="n"/>
      <c r="D24" s="45" t="n"/>
      <c r="E24" s="45" t="n"/>
      <c r="F24" s="45" t="n"/>
      <c r="G24" s="45" t="n"/>
      <c r="H24" s="45" t="n"/>
      <c r="I24" s="45" t="n"/>
      <c r="J24" s="45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57" t="inlineStr">
        <is>
          <t>Intraday Active Positions</t>
        </is>
      </c>
      <c r="B25" s="53">
        <f>COUNTIFS(Ledger!P:P, "INTRADAY", Ledger!N:N, "OPEN")</f>
        <v/>
      </c>
      <c r="C25" s="45" t="n"/>
      <c r="D25" s="45" t="n"/>
      <c r="E25" s="45" t="n"/>
      <c r="F25" s="45" t="n"/>
      <c r="G25" s="45" t="n"/>
      <c r="H25" s="45" t="n"/>
      <c r="I25" s="45" t="n"/>
      <c r="J25" s="45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45" t="n"/>
      <c r="B26" s="45" t="n"/>
      <c r="C26" s="45" t="n"/>
      <c r="D26" s="45" t="n"/>
      <c r="E26" s="45" t="n"/>
      <c r="F26" s="45" t="n"/>
      <c r="G26" s="45" t="n"/>
      <c r="H26" s="45" t="n"/>
      <c r="I26" s="45" t="n"/>
      <c r="J26" s="45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45" t="n"/>
      <c r="B27" s="45" t="n"/>
      <c r="C27" s="45" t="n"/>
      <c r="D27" s="45" t="n"/>
      <c r="E27" s="45" t="n"/>
      <c r="F27" s="45" t="n"/>
      <c r="G27" s="45" t="n"/>
      <c r="H27" s="45" t="n"/>
      <c r="I27" s="45" t="n"/>
      <c r="J27" s="45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45" t="n"/>
      <c r="B28" s="45" t="n"/>
      <c r="C28" s="45" t="n"/>
      <c r="D28" s="45" t="n"/>
      <c r="E28" s="45" t="n"/>
      <c r="F28" s="45" t="n"/>
      <c r="G28" s="45" t="n"/>
      <c r="H28" s="45" t="n"/>
      <c r="I28" s="45" t="n"/>
      <c r="J28" s="45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45" t="n"/>
      <c r="B29" s="45" t="n"/>
      <c r="C29" s="45" t="n"/>
      <c r="D29" s="45" t="n"/>
      <c r="E29" s="45" t="n"/>
      <c r="F29" s="45" t="n"/>
      <c r="G29" s="45" t="n"/>
      <c r="H29" s="45" t="n"/>
      <c r="I29" s="45" t="n"/>
      <c r="J29" s="45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45" t="n"/>
      <c r="B30" s="45" t="n"/>
      <c r="C30" s="45" t="n"/>
      <c r="D30" s="45" t="n"/>
      <c r="E30" s="45" t="n"/>
      <c r="F30" s="45" t="n"/>
      <c r="G30" s="45" t="n"/>
      <c r="H30" s="45" t="n"/>
      <c r="I30" s="45" t="n"/>
      <c r="J30" s="45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45" t="n"/>
      <c r="B31" s="45" t="n"/>
      <c r="C31" s="45" t="n"/>
      <c r="D31" s="45" t="n"/>
      <c r="E31" s="45" t="n"/>
      <c r="F31" s="45" t="n"/>
      <c r="G31" s="45" t="n"/>
      <c r="H31" s="45" t="n"/>
      <c r="I31" s="45" t="n"/>
      <c r="J31" s="45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45" t="n"/>
      <c r="B32" s="45" t="n"/>
      <c r="C32" s="45" t="n"/>
      <c r="D32" s="45" t="n"/>
      <c r="E32" s="45" t="n"/>
      <c r="F32" s="45" t="n"/>
      <c r="G32" s="45" t="n"/>
      <c r="H32" s="45" t="n"/>
      <c r="I32" s="45" t="n"/>
      <c r="J32" s="45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45" t="n"/>
      <c r="B33" s="45" t="n"/>
      <c r="C33" s="45" t="n"/>
      <c r="D33" s="45" t="n"/>
      <c r="E33" s="45" t="n"/>
      <c r="F33" s="45" t="n"/>
      <c r="G33" s="45" t="n"/>
      <c r="H33" s="45" t="n"/>
      <c r="I33" s="45" t="n"/>
      <c r="J33" s="45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45" t="n"/>
      <c r="B34" s="45" t="n"/>
      <c r="C34" s="45" t="n"/>
      <c r="D34" s="45" t="n"/>
      <c r="E34" s="45" t="n"/>
      <c r="F34" s="45" t="n"/>
      <c r="G34" s="45" t="n"/>
      <c r="H34" s="45" t="n"/>
      <c r="I34" s="45" t="n"/>
      <c r="J34" s="45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45" t="n"/>
      <c r="B35" s="45" t="n"/>
      <c r="C35" s="45" t="n"/>
      <c r="D35" s="45" t="n"/>
      <c r="E35" s="45" t="n"/>
      <c r="F35" s="45" t="n"/>
      <c r="G35" s="45" t="n"/>
      <c r="H35" s="45" t="n"/>
      <c r="I35" s="45" t="n"/>
      <c r="J35" s="45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45" t="n"/>
      <c r="B36" s="45" t="n"/>
      <c r="C36" s="45" t="n"/>
      <c r="D36" s="45" t="n"/>
      <c r="E36" s="45" t="n"/>
      <c r="F36" s="45" t="n"/>
      <c r="G36" s="45" t="n"/>
      <c r="H36" s="45" t="n"/>
      <c r="I36" s="45" t="n"/>
      <c r="J36" s="45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45" t="n"/>
      <c r="B37" s="45" t="n"/>
      <c r="C37" s="45" t="n"/>
      <c r="D37" s="45" t="n"/>
      <c r="E37" s="45" t="n"/>
      <c r="F37" s="45" t="n"/>
      <c r="G37" s="45" t="n"/>
      <c r="H37" s="45" t="n"/>
      <c r="I37" s="45" t="n"/>
      <c r="J37" s="45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45" t="n"/>
      <c r="B38" s="45" t="n"/>
      <c r="C38" s="45" t="n"/>
      <c r="D38" s="45" t="n"/>
      <c r="E38" s="45" t="n"/>
      <c r="F38" s="45" t="n"/>
      <c r="G38" s="45" t="n"/>
      <c r="H38" s="45" t="n"/>
      <c r="I38" s="45" t="n"/>
      <c r="J38" s="45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45" t="n"/>
      <c r="B39" s="45" t="n"/>
      <c r="C39" s="45" t="n"/>
      <c r="D39" s="45" t="n"/>
      <c r="E39" s="45" t="n"/>
      <c r="F39" s="45" t="n"/>
      <c r="G39" s="45" t="n"/>
      <c r="H39" s="45" t="n"/>
      <c r="I39" s="45" t="n"/>
      <c r="J39" s="45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45" t="n"/>
      <c r="B40" s="45" t="n"/>
      <c r="C40" s="45" t="n"/>
      <c r="D40" s="45" t="n"/>
      <c r="E40" s="45" t="n"/>
      <c r="F40" s="45" t="n"/>
      <c r="G40" s="45" t="n"/>
      <c r="H40" s="45" t="n"/>
      <c r="I40" s="45" t="n"/>
      <c r="J40" s="45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45" t="n"/>
      <c r="B41" s="45" t="n"/>
      <c r="C41" s="45" t="n"/>
      <c r="D41" s="45" t="n"/>
      <c r="E41" s="45" t="n"/>
      <c r="F41" s="45" t="n"/>
      <c r="G41" s="45" t="n"/>
      <c r="H41" s="45" t="n"/>
      <c r="I41" s="45" t="n"/>
      <c r="J41" s="45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45" t="n"/>
      <c r="B42" s="45" t="n"/>
      <c r="C42" s="45" t="n"/>
      <c r="D42" s="45" t="n"/>
      <c r="E42" s="45" t="n"/>
      <c r="F42" s="45" t="n"/>
      <c r="G42" s="45" t="n"/>
      <c r="H42" s="45" t="n"/>
      <c r="I42" s="45" t="n"/>
      <c r="J42" s="45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45" t="n"/>
      <c r="B43" s="45" t="n"/>
      <c r="C43" s="45" t="n"/>
      <c r="D43" s="45" t="n"/>
      <c r="E43" s="45" t="n"/>
      <c r="F43" s="45" t="n"/>
      <c r="G43" s="45" t="n"/>
      <c r="H43" s="45" t="n"/>
      <c r="I43" s="45" t="n"/>
      <c r="J43" s="45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45" t="n"/>
      <c r="B44" s="45" t="n"/>
      <c r="C44" s="45" t="n"/>
      <c r="D44" s="45" t="n"/>
      <c r="E44" s="45" t="n"/>
      <c r="F44" s="45" t="n"/>
      <c r="G44" s="45" t="n"/>
      <c r="H44" s="45" t="n"/>
      <c r="I44" s="45" t="n"/>
      <c r="J44" s="45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45" t="n"/>
      <c r="B45" s="45" t="n"/>
      <c r="C45" s="45" t="n"/>
      <c r="D45" s="45" t="n"/>
      <c r="E45" s="45" t="n"/>
      <c r="F45" s="45" t="n"/>
      <c r="G45" s="45" t="n"/>
      <c r="H45" s="45" t="n"/>
      <c r="I45" s="45" t="n"/>
      <c r="J45" s="45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45" t="n"/>
      <c r="B46" s="45" t="n"/>
      <c r="C46" s="45" t="n"/>
      <c r="D46" s="45" t="n"/>
      <c r="E46" s="45" t="n"/>
      <c r="F46" s="45" t="n"/>
      <c r="G46" s="45" t="n"/>
      <c r="H46" s="45" t="n"/>
      <c r="I46" s="45" t="n"/>
      <c r="J46" s="45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45" t="n"/>
      <c r="B47" s="45" t="n"/>
      <c r="C47" s="45" t="n"/>
      <c r="D47" s="45" t="n"/>
      <c r="E47" s="45" t="n"/>
      <c r="F47" s="45" t="n"/>
      <c r="G47" s="45" t="n"/>
      <c r="H47" s="45" t="n"/>
      <c r="I47" s="45" t="n"/>
      <c r="J47" s="45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45" t="n"/>
      <c r="B48" s="45" t="n"/>
      <c r="C48" s="45" t="n"/>
      <c r="D48" s="45" t="n"/>
      <c r="E48" s="45" t="n"/>
      <c r="F48" s="45" t="n"/>
      <c r="G48" s="45" t="n"/>
      <c r="H48" s="45" t="n"/>
      <c r="I48" s="45" t="n"/>
      <c r="J48" s="45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45" t="n"/>
      <c r="B49" s="45" t="n"/>
      <c r="C49" s="45" t="n"/>
      <c r="D49" s="45" t="n"/>
      <c r="E49" s="45" t="n"/>
      <c r="F49" s="45" t="n"/>
      <c r="G49" s="45" t="n"/>
      <c r="H49" s="45" t="n"/>
      <c r="I49" s="45" t="n"/>
      <c r="J49" s="45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45" t="n"/>
      <c r="B50" s="45" t="n"/>
      <c r="C50" s="45" t="n"/>
      <c r="D50" s="45" t="n"/>
      <c r="E50" s="45" t="n"/>
      <c r="F50" s="45" t="n"/>
      <c r="G50" s="45" t="n"/>
      <c r="H50" s="45" t="n"/>
      <c r="I50" s="45" t="n"/>
      <c r="J50" s="45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mergeCells count="3">
    <mergeCell ref="A4:B4"/>
    <mergeCell ref="A10:B10"/>
    <mergeCell ref="A15:B15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31" min="1" max="1"/>
    <col width="25" customWidth="1" style="31" min="2" max="2"/>
    <col width="12.86" customWidth="1" style="31" min="3" max="3"/>
    <col width="10.86" customWidth="1" style="31" min="4" max="4"/>
    <col width="16" customWidth="1" style="31" min="5" max="9"/>
    <col width="22" customWidth="1" style="31" min="10" max="10"/>
    <col width="16" customWidth="1" style="31" min="11" max="14"/>
    <col width="30" customWidth="1" style="31" min="15" max="15"/>
    <col width="18" customWidth="1" style="31" min="16" max="16"/>
  </cols>
  <sheetData>
    <row r="1" ht="27.75" customHeight="1" s="31">
      <c r="A1" s="5" t="inlineStr">
        <is>
          <t>Symbol</t>
        </is>
      </c>
      <c r="B1" s="5" t="inlineStr">
        <is>
          <t>Name</t>
        </is>
      </c>
      <c r="C1" s="5" t="inlineStr">
        <is>
          <t>Entry Date</t>
        </is>
      </c>
      <c r="D1" s="5" t="inlineStr">
        <is>
          <t>Qty</t>
        </is>
      </c>
      <c r="E1" s="5" t="inlineStr">
        <is>
          <t>Buy Price</t>
        </is>
      </c>
      <c r="F1" s="5" t="inlineStr">
        <is>
          <t>Suggested Entry</t>
        </is>
      </c>
      <c r="G1" s="5" t="inlineStr">
        <is>
          <t>Slippage/Deviation</t>
        </is>
      </c>
      <c r="H1" s="5" t="inlineStr">
        <is>
          <t>Target Price</t>
        </is>
      </c>
      <c r="I1" s="5" t="inlineStr">
        <is>
          <t>Stop Loss</t>
        </is>
      </c>
      <c r="J1" s="5" t="inlineStr">
        <is>
          <t>Risk-to-Reward Ratio</t>
        </is>
      </c>
      <c r="K1" s="5" t="inlineStr">
        <is>
          <t>Exit Date</t>
        </is>
      </c>
      <c r="L1" s="5" t="inlineStr">
        <is>
          <t>Exit Price</t>
        </is>
      </c>
      <c r="M1" s="5" t="inlineStr">
        <is>
          <t>Realized PnL</t>
        </is>
      </c>
      <c r="N1" s="5" t="inlineStr">
        <is>
          <t>Status</t>
        </is>
      </c>
      <c r="O1" s="5" t="inlineStr">
        <is>
          <t>Notes</t>
        </is>
      </c>
      <c r="P1" s="7" t="inlineStr">
        <is>
          <t>Trade Type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46" t="inlineStr">
        <is>
          <t>SUNPHARMA</t>
        </is>
      </c>
      <c r="B2" s="46" t="inlineStr">
        <is>
          <t>SUNPHARMA</t>
        </is>
      </c>
      <c r="C2" s="46" t="inlineStr">
        <is>
          <t>2026-07-21</t>
        </is>
      </c>
      <c r="D2" s="46" t="n">
        <v>1</v>
      </c>
      <c r="E2" s="47" t="n">
        <v>1951</v>
      </c>
      <c r="F2" s="47" t="n">
        <v>1963.199951171875</v>
      </c>
      <c r="G2" s="47">
        <f>E2-F2</f>
        <v/>
      </c>
      <c r="H2" s="47" t="n">
        <v>2091.543361767483</v>
      </c>
      <c r="I2" s="47" t="n">
        <v>1899.028245874071</v>
      </c>
      <c r="J2" s="46" t="inlineStr">
        <is>
          <t>1:2.7</t>
        </is>
      </c>
      <c r="K2" s="46" t="inlineStr">
        <is>
          <t>2026-07-21</t>
        </is>
      </c>
      <c r="L2" s="47" t="n">
        <v>1960</v>
      </c>
      <c r="M2" s="47">
        <f>IF(OR(N2="WIN", N2="LOSS"), (L2-E2)*D2, 0)</f>
        <v/>
      </c>
      <c r="N2" s="46" t="inlineStr">
        <is>
          <t>WIN</t>
        </is>
      </c>
      <c r="O2" s="46" t="inlineStr">
        <is>
          <t>Auto-synced from Zerodha account | Auto-synced sell from Zerodha account</t>
        </is>
      </c>
      <c r="P2" s="48" t="inlineStr">
        <is>
          <t>SWING</t>
        </is>
      </c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46" t="inlineStr">
        <is>
          <t>JSWSTEEL</t>
        </is>
      </c>
      <c r="B3" s="46" t="inlineStr">
        <is>
          <t>JSWSTEEL</t>
        </is>
      </c>
      <c r="C3" s="46" t="inlineStr">
        <is>
          <t>2026-07-21</t>
        </is>
      </c>
      <c r="D3" s="46" t="n">
        <v>1</v>
      </c>
      <c r="E3" s="47" t="n">
        <v>1266.4</v>
      </c>
      <c r="F3" s="47" t="n">
        <v>1268.099975585938</v>
      </c>
      <c r="G3" s="47">
        <f>E3-F3</f>
        <v/>
      </c>
      <c r="H3" s="47" t="n">
        <v>1369.684246737149</v>
      </c>
      <c r="I3" s="47" t="n">
        <v>1217.307840010332</v>
      </c>
      <c r="J3" s="46" t="inlineStr">
        <is>
          <t>1:2.1</t>
        </is>
      </c>
      <c r="K3" s="46" t="inlineStr">
        <is>
          <t>2026-07-21</t>
        </is>
      </c>
      <c r="L3" s="47" t="n">
        <v>1267.1</v>
      </c>
      <c r="M3" s="47">
        <f>IF(OR(N3="WIN", N3="LOSS"), (L3-E3)*D3, 0)</f>
        <v/>
      </c>
      <c r="N3" s="46" t="inlineStr">
        <is>
          <t>WIN</t>
        </is>
      </c>
      <c r="O3" s="46" t="inlineStr">
        <is>
          <t>Auto-synced from Zerodha account | Auto-synced sell from Zerodha account</t>
        </is>
      </c>
      <c r="P3" s="48" t="inlineStr">
        <is>
          <t>SWING</t>
        </is>
      </c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49" t="inlineStr">
        <is>
          <t>TECHM</t>
        </is>
      </c>
      <c r="B4" s="49" t="inlineStr">
        <is>
          <t>TECHM</t>
        </is>
      </c>
      <c r="C4" s="49" t="inlineStr">
        <is>
          <t>2026-07-21</t>
        </is>
      </c>
      <c r="D4" s="49" t="n">
        <v>1</v>
      </c>
      <c r="E4" s="50" t="n">
        <v>1589.1</v>
      </c>
      <c r="F4" s="50" t="n">
        <v>1582.699951171875</v>
      </c>
      <c r="G4" s="50">
        <f>E4-F4</f>
        <v/>
      </c>
      <c r="H4" s="50" t="n">
        <v>1785.968673647753</v>
      </c>
      <c r="I4" s="50" t="n">
        <v>1481.065589933936</v>
      </c>
      <c r="J4" s="49" t="inlineStr">
        <is>
          <t>1:1.8</t>
        </is>
      </c>
      <c r="K4" s="49" t="inlineStr">
        <is>
          <t>2026-07-21</t>
        </is>
      </c>
      <c r="L4" s="50" t="n">
        <v>1575</v>
      </c>
      <c r="M4" s="50">
        <f>IF(OR(N4="WIN", N4="LOSS"), (L4-E4)*D4, 0)</f>
        <v/>
      </c>
      <c r="N4" s="49" t="inlineStr">
        <is>
          <t>LOSS</t>
        </is>
      </c>
      <c r="O4" s="49" t="inlineStr">
        <is>
          <t>Auto-synced from Zerodha account | Auto-synced sell from Zerodha account</t>
        </is>
      </c>
      <c r="P4" s="51" t="inlineStr">
        <is>
          <t>SWING</t>
        </is>
      </c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SONACOMS</t>
        </is>
      </c>
      <c r="B5" s="8" t="inlineStr">
        <is>
          <t>SONACOMS</t>
        </is>
      </c>
      <c r="C5" s="8" t="inlineStr">
        <is>
          <t>2026-07-22</t>
        </is>
      </c>
      <c r="D5" s="8" t="n">
        <v>2</v>
      </c>
      <c r="E5" s="9" t="n">
        <v>734.7</v>
      </c>
      <c r="F5" s="9" t="n">
        <v>730.4500122070312</v>
      </c>
      <c r="G5" s="9">
        <f>E5-F5</f>
        <v/>
      </c>
      <c r="H5" s="9" t="n">
        <v>800.5786220005581</v>
      </c>
      <c r="I5" s="9" t="n">
        <v>695.3857073102679</v>
      </c>
      <c r="J5" s="8" t="inlineStr">
        <is>
          <t>1:1.7</t>
        </is>
      </c>
      <c r="K5" s="3" t="n"/>
      <c r="L5" s="3" t="n"/>
      <c r="M5" s="9">
        <f>IF(OR(N5="WIN", N5="LOSS"), (L5-E5)*D5, 0)</f>
        <v/>
      </c>
      <c r="N5" s="8" t="inlineStr">
        <is>
          <t>OPEN</t>
        </is>
      </c>
      <c r="O5" s="8" t="inlineStr">
        <is>
          <t>Auto-synced from Zerodha account | [2026-07-28] State 4 (Cash Only): Hold position, maintain pre-set stop-loss, do not average down.</t>
        </is>
      </c>
      <c r="P5" s="3" t="inlineStr">
        <is>
          <t>SWING</t>
        </is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8" t="inlineStr">
        <is>
          <t>JSWSTEEL</t>
        </is>
      </c>
      <c r="B6" s="18" t="inlineStr">
        <is>
          <t>JSW Steel Limited</t>
        </is>
      </c>
      <c r="C6" s="18" t="inlineStr">
        <is>
          <t>2026-07-22</t>
        </is>
      </c>
      <c r="D6" s="19" t="n">
        <v>1</v>
      </c>
      <c r="E6" s="20" t="n">
        <v>1265.1</v>
      </c>
      <c r="F6" s="20" t="n">
        <v>1265.1</v>
      </c>
      <c r="G6" s="20">
        <f>E6-F6</f>
        <v/>
      </c>
      <c r="H6" s="20" t="n">
        <v>1368.16</v>
      </c>
      <c r="I6" s="20" t="n">
        <v>1217.31</v>
      </c>
      <c r="J6" s="18" t="inlineStr">
        <is>
          <t>1:2.1</t>
        </is>
      </c>
      <c r="K6" s="19" t="n"/>
      <c r="L6" s="20" t="n"/>
      <c r="M6" s="20">
        <f>IF(OR(N6="WIN", N6="LOSS"), (L6-E6)*D6, 0)</f>
        <v/>
      </c>
      <c r="N6" s="18" t="inlineStr">
        <is>
          <t>OPEN</t>
        </is>
      </c>
      <c r="O6" s="21" t="inlineStr">
        <is>
          <t>Auto-synced from Zerodha account | [2026-07-28] State 4 (Cash Only): Hold position, maintain pre-set stop-loss, do not average down.</t>
        </is>
      </c>
      <c r="P6" s="3" t="inlineStr">
        <is>
          <t>SWING</t>
        </is>
      </c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9" t="n">
        <v>1579</v>
      </c>
      <c r="F7" s="9" t="n">
        <v>1593.900024414062</v>
      </c>
      <c r="G7" s="9">
        <f>E7-F7</f>
        <v/>
      </c>
      <c r="H7" s="9" t="n">
        <v>1773.642944335938</v>
      </c>
      <c r="I7" s="9" t="n">
        <v>1504.028564453125</v>
      </c>
      <c r="J7" s="3" t="inlineStr">
        <is>
          <t>1:2.6</t>
        </is>
      </c>
      <c r="K7" s="3" t="n"/>
      <c r="L7" s="3" t="n"/>
      <c r="M7" s="9">
        <f>IF(OR(N7="WIN", N7="LOSS"), (L7-E7)*D7, 0)</f>
        <v/>
      </c>
      <c r="N7" s="3" t="inlineStr">
        <is>
          <t>OPEN</t>
        </is>
      </c>
      <c r="O7" s="3" t="inlineStr">
        <is>
          <t>Auto-synced from Zerodha account | [2026-07-28] State 4 (Cash Only): Hold position, maintain pre-set stop-loss, do not average down.</t>
        </is>
      </c>
      <c r="P7" s="3" t="inlineStr">
        <is>
          <t>SWING</t>
        </is>
      </c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BERGEPAINT</t>
        </is>
      </c>
      <c r="B8" s="3" t="inlineStr">
        <is>
          <t>Berger Paints India Limited</t>
        </is>
      </c>
      <c r="C8" s="3" t="inlineStr">
        <is>
          <t>2026-07-31</t>
        </is>
      </c>
      <c r="D8" s="3" t="n">
        <v>1</v>
      </c>
      <c r="E8" s="9" t="n">
        <v>519.13</v>
      </c>
      <c r="F8" s="9" t="n">
        <v>521.35</v>
      </c>
      <c r="G8" s="9">
        <f>E8-F8</f>
        <v/>
      </c>
      <c r="H8" s="9" t="n">
        <v>574.85</v>
      </c>
      <c r="I8" s="9" t="n">
        <v>494.6</v>
      </c>
      <c r="J8" s="3" t="inlineStr">
        <is>
          <t>1:2.0</t>
        </is>
      </c>
      <c r="K8" s="3" t="n"/>
      <c r="L8" s="9" t="n"/>
      <c r="M8" s="9">
        <f>IF(OR(N8="WIN", N8="LOSS"), (L8-E8)*D8, 0)</f>
        <v/>
      </c>
      <c r="N8" s="3" t="inlineStr">
        <is>
          <t>OPEN</t>
        </is>
      </c>
      <c r="O8" s="3" t="inlineStr">
        <is>
          <t>Auto-synced from Zerodha holdings</t>
        </is>
      </c>
      <c r="P8" s="3" t="inlineStr">
        <is>
          <t>SWING</t>
        </is>
      </c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ADVANCE</t>
        </is>
      </c>
      <c r="B9" s="3" t="inlineStr">
        <is>
          <t>Advanced Enzyme Technologies Limited</t>
        </is>
      </c>
      <c r="C9" s="3" t="inlineStr">
        <is>
          <t>2026-08-03</t>
        </is>
      </c>
      <c r="D9" s="3" t="n">
        <v>4</v>
      </c>
      <c r="E9" s="9" t="n">
        <v>127.8</v>
      </c>
      <c r="F9" s="9" t="n">
        <v>125.01</v>
      </c>
      <c r="G9" s="9">
        <f>E9-F9</f>
        <v/>
      </c>
      <c r="H9" s="9" t="n">
        <v>145.56</v>
      </c>
      <c r="I9" s="9" t="n">
        <v>114.74</v>
      </c>
      <c r="J9" s="3" t="inlineStr">
        <is>
          <t>1:2.0</t>
        </is>
      </c>
      <c r="K9" s="3" t="n"/>
      <c r="L9" s="9" t="n"/>
      <c r="M9" s="9">
        <f>IF(OR(N9="WIN", N9="LOSS"), (L9-E9)*D9, 0)</f>
        <v/>
      </c>
      <c r="N9" s="3" t="inlineStr">
        <is>
          <t>OPEN</t>
        </is>
      </c>
      <c r="O9" s="3" t="inlineStr">
        <is>
          <t>Buy actual fill price matching Zerodha (corrected from 125.01)</t>
        </is>
      </c>
      <c r="P9" s="3" t="inlineStr">
        <is>
          <t>SWING</t>
        </is>
      </c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51" t="inlineStr">
        <is>
          <t>NESTLEIND</t>
        </is>
      </c>
      <c r="B10" s="51" t="inlineStr">
        <is>
          <t>NESTLEIND</t>
        </is>
      </c>
      <c r="C10" s="51" t="inlineStr">
        <is>
          <t>2026-08-04</t>
        </is>
      </c>
      <c r="D10" s="51" t="n">
        <v>1</v>
      </c>
      <c r="E10" s="50" t="n">
        <v>1523</v>
      </c>
      <c r="F10" s="50" t="n">
        <v>1523</v>
      </c>
      <c r="G10" s="50" t="n">
        <v>0</v>
      </c>
      <c r="H10" s="50" t="n">
        <v>1549.8</v>
      </c>
      <c r="I10" s="50" t="n">
        <v>1520.1</v>
      </c>
      <c r="J10" s="51" t="inlineStr">
        <is>
          <t>1:2.0</t>
        </is>
      </c>
      <c r="K10" s="51" t="inlineStr">
        <is>
          <t>2026-08-04</t>
        </is>
      </c>
      <c r="L10" s="50" t="n">
        <v>1520.1</v>
      </c>
      <c r="M10" s="50">
        <f>IF(OR(N10="WIN", N10="LOSS"), (L10-E10)*D10, 0)</f>
        <v/>
      </c>
      <c r="N10" s="51" t="inlineStr">
        <is>
          <t>LOSS</t>
        </is>
      </c>
      <c r="O10" s="51" t="inlineStr">
        <is>
          <t>Intraday placement. GTT Trigger: 330204955 | Position closed via Stop-Loss GTT trigger. Actual Buy Filled at INR 1523.00</t>
        </is>
      </c>
      <c r="P10" s="51" t="inlineStr">
        <is>
          <t>INTRADAY</t>
        </is>
      </c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51" t="inlineStr">
        <is>
          <t>PIDILITIND</t>
        </is>
      </c>
      <c r="B11" s="51" t="inlineStr">
        <is>
          <t>PIDILITIND</t>
        </is>
      </c>
      <c r="C11" s="51" t="inlineStr">
        <is>
          <t>2026-08-04</t>
        </is>
      </c>
      <c r="D11" s="51" t="n">
        <v>1</v>
      </c>
      <c r="E11" s="50" t="n">
        <v>1642.5</v>
      </c>
      <c r="F11" s="50" t="n">
        <v>1642.5</v>
      </c>
      <c r="G11" s="50" t="n">
        <v>0</v>
      </c>
      <c r="H11" s="50" t="n">
        <v>1658.5</v>
      </c>
      <c r="I11" s="50" t="n">
        <v>1634.5</v>
      </c>
      <c r="J11" s="51" t="inlineStr">
        <is>
          <t>1:2.0</t>
        </is>
      </c>
      <c r="K11" s="51" t="inlineStr">
        <is>
          <t>2026-08-04</t>
        </is>
      </c>
      <c r="L11" s="50" t="n">
        <v>1634.5</v>
      </c>
      <c r="M11" s="50">
        <f>IF(OR(N11="WIN", N11="LOSS"), (L11-E11)*D11, 0)</f>
        <v/>
      </c>
      <c r="N11" s="51" t="inlineStr">
        <is>
          <t>LOSS</t>
        </is>
      </c>
      <c r="O11" s="51" t="inlineStr">
        <is>
          <t>Intraday placement. GTT Trigger: 330204926 | Position closed via Stop-Loss GTT trigger.</t>
        </is>
      </c>
      <c r="P11" s="51" t="inlineStr">
        <is>
          <t>INTRADAY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>
        <f>IF(OR(N12="WIN", N12="LOSS"), (L12-E12)*D12, 0)</f>
        <v/>
      </c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>
        <f>IF(OR(N13="WIN", N13="LOSS"), (L13-E13)*D13, 0)</f>
        <v/>
      </c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>
        <f>IF(OR(N14="WIN", N14="LOSS"), (L14-E14)*D14, 0)</f>
        <v/>
      </c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>
        <f>IF(OR(N15="WIN", N15="LOSS"), (L15-E15)*D15, 0)</f>
        <v/>
      </c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>
        <f>IF(OR(N16="WIN", N16="LOSS"), (L16-E16)*D16, 0)</f>
        <v/>
      </c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>
        <f>IF(OR(N17="WIN", N17="LOSS"), (L17-E17)*D17, 0)</f>
        <v/>
      </c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>
        <f>IF(OR(N18="WIN", N18="LOSS"), (L18-E18)*D18, 0)</f>
        <v/>
      </c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>
        <f>IF(OR(N19="WIN", N19="LOSS"), (L19-E19)*D19, 0)</f>
        <v/>
      </c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>
        <f>IF(OR(N20="WIN", N20="LOSS"), (L20-E20)*D20, 0)</f>
        <v/>
      </c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IF(OR(N21="WIN", N21="LOSS"), (L21-E21)*D21,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IF(OR(N22="WIN", N22="LOSS"), (L22-E22)*D22,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IF(OR(N23="WIN", N23="LOSS"), (L23-E23)*D23,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IF(OR(N24="WIN", N24="LOSS"), (L24-E24)*D24,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IF(OR(N25="WIN", N25="LOSS"), (L25-E25)*D25,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IF(OR(N26="WIN", N26="LOSS"), (L26-E26)*D26,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IF(OR(N27="WIN", N27="LOSS"), (L27-E27)*D27,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IF(OR(N28="WIN", N28="LOSS"), (L28-E28)*D28,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IF(OR(N29="WIN", N29="LOSS"), (L29-E29)*D29,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IF(OR(N30="WIN", N30="LOSS"), (L30-E30)*D30,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IF(OR(N31="WIN", N31="LOSS"), (L31-E31)*D31,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IF(OR(N32="WIN", N32="LOSS"), (L32-E32)*D32,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IF(OR(N33="WIN", N33="LOSS"), (L33-E33)*D33,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IF(OR(N34="WIN", N34="LOSS"), (L34-E34)*D34,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IF(OR(N35="WIN", N35="LOSS"), (L35-E35)*D35,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IF(OR(N36="WIN", N36="LOSS"), (L36-E36)*D36,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IF(OR(N37="WIN", N37="LOSS"), (L37-E37)*D37,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IF(OR(N38="WIN", N38="LOSS"), (L38-E38)*D38,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IF(OR(N39="WIN", N39="LOSS"), (L39-E39)*D39,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IF(OR(N40="WIN", N40="LOSS"), (L40-E40)*D40,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IF(OR(N41="WIN", N41="LOSS"), (L41-E41)*D41,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IF(OR(N42="WIN", N42="LOSS"), (L42-E42)*D42,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IF(OR(N43="WIN", N43="LOSS"), (L43-E43)*D43,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IF(OR(N44="WIN", N44="LOSS"), (L44-E44)*D44,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IF(OR(N45="WIN", N45="LOSS"), (L45-E45)*D45,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IF(OR(N46="WIN", N46="LOSS"), (L46-E46)*D46,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IF(OR(N47="WIN", N47="LOSS"), (L47-E47)*D47,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IF(OR(N48="WIN", N48="LOSS"), (L48-E48)*D48,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IF(OR(N49="WIN", N49="LOSS"), (L49-E49)*D49,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IF(OR(N50="WIN", N50="LOSS"), (L50-E50)*D50,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IF(OR(N51="WIN", N51="LOSS"), (L51-E51)*D51,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IF(OR(N52="WIN", N52="LOSS"), (L52-E52)*D52,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IF(OR(N53="WIN", N53="LOSS"), (L53-E53)*D53,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IF(OR(N54="WIN", N54="LOSS"), (L54-E54)*D54,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IF(OR(N55="WIN", N55="LOSS"), (L55-E55)*D55,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IF(OR(N56="WIN", N56="LOSS"), (L56-E56)*D56,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IF(OR(N57="WIN", N57="LOSS"), (L57-E57)*D57,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IF(OR(N58="WIN", N58="LOSS"), (L58-E58)*D58,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IF(OR(N59="WIN", N59="LOSS"), (L59-E59)*D59,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IF(OR(N60="WIN", N60="LOSS"), (L60-E60)*D60,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IF(OR(N61="WIN", N61="LOSS"), (L61-E61)*D61,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IF(OR(N62="WIN", N62="LOSS"), (L62-E62)*D62,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IF(OR(N63="WIN", N63="LOSS"), (L63-E63)*D63,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IF(OR(N64="WIN", N64="LOSS"), (L64-E64)*D64,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IF(OR(N65="WIN", N65="LOSS"), (L65-E65)*D65,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IF(OR(N66="WIN", N66="LOSS"), (L66-E66)*D66,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IF(OR(N67="WIN", N67="LOSS"), (L67-E67)*D67,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IF(OR(N68="WIN", N68="LOSS"), (L68-E68)*D68,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IF(OR(N69="WIN", N69="LOSS"), (L69-E69)*D69,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IF(OR(N70="WIN", N70="LOSS"), (L70-E70)*D70,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IF(OR(N71="WIN", N71="LOSS"), (L71-E71)*D71,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IF(OR(N72="WIN", N72="LOSS"), (L72-E72)*D72,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IF(OR(N73="WIN", N73="LOSS"), (L73-E73)*D73,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IF(OR(N74="WIN", N74="LOSS"), (L74-E74)*D74,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IF(OR(N75="WIN", N75="LOSS"), (L75-E75)*D75,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IF(OR(N76="WIN", N76="LOSS"), (L76-E76)*D76,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IF(OR(N77="WIN", N77="LOSS"), (L77-E77)*D77,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IF(OR(N78="WIN", N78="LOSS"), (L78-E78)*D78,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IF(OR(N79="WIN", N79="LOSS"), (L79-E79)*D79,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IF(OR(N80="WIN", N80="LOSS"), (L80-E80)*D80,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IF(OR(N81="WIN", N81="LOSS"), (L81-E81)*D81,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IF(OR(N82="WIN", N82="LOSS"), (L82-E82)*D82,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IF(OR(N83="WIN", N83="LOSS"), (L83-E83)*D83,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IF(OR(N84="WIN", N84="LOSS"), (L84-E84)*D84,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IF(OR(N85="WIN", N85="LOSS"), (L85-E85)*D85,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IF(OR(N86="WIN", N86="LOSS"), (L86-E86)*D86,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IF(OR(N87="WIN", N87="LOSS"), (L87-E87)*D87,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IF(OR(N88="WIN", N88="LOSS"), (L88-E88)*D88,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IF(OR(N89="WIN", N89="LOSS"), (L89-E89)*D89,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IF(OR(N90="WIN", N90="LOSS"), (L90-E90)*D90,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IF(OR(N91="WIN", N91="LOSS"), (L91-E91)*D91,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IF(OR(N92="WIN", N92="LOSS"), (L92-E92)*D92,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IF(OR(N93="WIN", N93="LOSS"), (L93-E93)*D93,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IF(OR(N94="WIN", N94="LOSS"), (L94-E94)*D94,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IF(OR(N95="WIN", N95="LOSS"), (L95-E95)*D95,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IF(OR(N96="WIN", N96="LOSS"), (L96-E96)*D96,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IF(OR(N97="WIN", N97="LOSS"), (L97-E97)*D97,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IF(OR(N98="WIN", N98="LOSS"), (L98-E98)*D98,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IF(OR(N99="WIN", N99="LOSS"), (L99-E99)*D99,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IF(OR(N100="WIN", N100="LOSS"), (L100-E100)*D100,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IF(OR(N101="WIN", N101="LOSS"), (L101-E101)*D101,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IF(OR(N102="WIN", N102="LOSS"), (L102-E102)*D102,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IF(OR(N103="WIN", N103="LOSS"), (L103-E103)*D103,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IF(OR(N104="WIN", N104="LOSS"), (L104-E104)*D104,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IF(OR(N105="WIN", N105="LOSS"), (L105-E105)*D105,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IF(OR(N106="WIN", N106="LOSS"), (L106-E106)*D106,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IF(OR(N107="WIN", N107="LOSS"), (L107-E107)*D107,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IF(OR(N108="WIN", N108="LOSS"), (L108-E108)*D108,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IF(OR(N109="WIN", N109="LOSS"), (L109-E109)*D109,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IF(OR(N110="WIN", N110="LOSS"), (L110-E110)*D110,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IF(OR(N111="WIN", N111="LOSS"), (L111-E111)*D111,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IF(OR(N112="WIN", N112="LOSS"), (L112-E112)*D112,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IF(OR(N113="WIN", N113="LOSS"), (L113-E113)*D113,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IF(OR(N114="WIN", N114="LOSS"), (L114-E114)*D114,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IF(OR(N115="WIN", N115="LOSS"), (L115-E115)*D115,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IF(OR(N116="WIN", N116="LOSS"), (L116-E116)*D116,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IF(OR(N117="WIN", N117="LOSS"), (L117-E117)*D117,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IF(OR(N118="WIN", N118="LOSS"), (L118-E118)*D118,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IF(OR(N119="WIN", N119="LOSS"), (L119-E119)*D119,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IF(OR(N120="WIN", N120="LOSS"), (L120-E120)*D120,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IF(OR(N121="WIN", N121="LOSS"), (L121-E121)*D121,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IF(OR(N122="WIN", N122="LOSS"), (L122-E122)*D122,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IF(OR(N123="WIN", N123="LOSS"), (L123-E123)*D123,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IF(OR(N124="WIN", N124="LOSS"), (L124-E124)*D124,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IF(OR(N125="WIN", N125="LOSS"), (L125-E125)*D125,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IF(OR(N126="WIN", N126="LOSS"), (L126-E126)*D126,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IF(OR(N127="WIN", N127="LOSS"), (L127-E127)*D127,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IF(OR(N128="WIN", N128="LOSS"), (L128-E128)*D128,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IF(OR(N129="WIN", N129="LOSS"), (L129-E129)*D129,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IF(OR(N130="WIN", N130="LOSS"), (L130-E130)*D130,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IF(OR(N131="WIN", N131="LOSS"), (L131-E131)*D131,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IF(OR(N132="WIN", N132="LOSS"), (L132-E132)*D132,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IF(OR(N133="WIN", N133="LOSS"), (L133-E133)*D133,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IF(OR(N134="WIN", N134="LOSS"), (L134-E134)*D134,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IF(OR(N135="WIN", N135="LOSS"), (L135-E135)*D135,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IF(OR(N136="WIN", N136="LOSS"), (L136-E136)*D136,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IF(OR(N137="WIN", N137="LOSS"), (L137-E137)*D137,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IF(OR(N138="WIN", N138="LOSS"), (L138-E138)*D138,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IF(OR(N139="WIN", N139="LOSS"), (L139-E139)*D139,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IF(OR(N140="WIN", N140="LOSS"), (L140-E140)*D140,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IF(OR(N141="WIN", N141="LOSS"), (L141-E141)*D141,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IF(OR(N142="WIN", N142="LOSS"), (L142-E142)*D142,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IF(OR(N143="WIN", N143="LOSS"), (L143-E143)*D143,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IF(OR(N144="WIN", N144="LOSS"), (L144-E144)*D144,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IF(OR(N145="WIN", N145="LOSS"), (L145-E145)*D145,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IF(OR(N146="WIN", N146="LOSS"), (L146-E146)*D146,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IF(OR(N147="WIN", N147="LOSS"), (L147-E147)*D147,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IF(OR(N148="WIN", N148="LOSS"), (L148-E148)*D148,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IF(OR(N149="WIN", N149="LOSS"), (L149-E149)*D149,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IF(OR(N150="WIN", N150="LOSS"), (L150-E150)*D150,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IF(OR(N151="WIN", N151="LOSS"), (L151-E151)*D151,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IF(OR(N152="WIN", N152="LOSS"), (L152-E152)*D152,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IF(OR(N153="WIN", N153="LOSS"), (L153-E153)*D153,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IF(OR(N154="WIN", N154="LOSS"), (L154-E154)*D154,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IF(OR(N155="WIN", N155="LOSS"), (L155-E155)*D155,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IF(OR(N156="WIN", N156="LOSS"), (L156-E156)*D156,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IF(OR(N157="WIN", N157="LOSS"), (L157-E157)*D157,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IF(OR(N158="WIN", N158="LOSS"), (L158-E158)*D158,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IF(OR(N159="WIN", N159="LOSS"), (L159-E159)*D159,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IF(OR(N160="WIN", N160="LOSS"), (L160-E160)*D160,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IF(OR(N161="WIN", N161="LOSS"), (L161-E161)*D161,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IF(OR(N162="WIN", N162="LOSS"), (L162-E162)*D162,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IF(OR(N163="WIN", N163="LOSS"), (L163-E163)*D163,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IF(OR(N164="WIN", N164="LOSS"), (L164-E164)*D164,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IF(OR(N165="WIN", N165="LOSS"), (L165-E165)*D165,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IF(OR(N166="WIN", N166="LOSS"), (L166-E166)*D166,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IF(OR(N167="WIN", N167="LOSS"), (L167-E167)*D167,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IF(OR(N168="WIN", N168="LOSS"), (L168-E168)*D168,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IF(OR(N169="WIN", N169="LOSS"), (L169-E169)*D169,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IF(OR(N170="WIN", N170="LOSS"), (L170-E170)*D170,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IF(OR(N171="WIN", N171="LOSS"), (L171-E171)*D171,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IF(OR(N172="WIN", N172="LOSS"), (L172-E172)*D172,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IF(OR(N173="WIN", N173="LOSS"), (L173-E173)*D173,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IF(OR(N174="WIN", N174="LOSS"), (L174-E174)*D174,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IF(OR(N175="WIN", N175="LOSS"), (L175-E175)*D175,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IF(OR(N176="WIN", N176="LOSS"), (L176-E176)*D176,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IF(OR(N177="WIN", N177="LOSS"), (L177-E177)*D177,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IF(OR(N178="WIN", N178="LOSS"), (L178-E178)*D178,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IF(OR(N179="WIN", N179="LOSS"), (L179-E179)*D179,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IF(OR(N180="WIN", N180="LOSS"), (L180-E180)*D180,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IF(OR(N181="WIN", N181="LOSS"), (L181-E181)*D181,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IF(OR(N182="WIN", N182="LOSS"), (L182-E182)*D182,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IF(OR(N183="WIN", N183="LOSS"), (L183-E183)*D183,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IF(OR(N184="WIN", N184="LOSS"), (L184-E184)*D184,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IF(OR(N185="WIN", N185="LOSS"), (L185-E185)*D185,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IF(OR(N186="WIN", N186="LOSS"), (L186-E186)*D186,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IF(OR(N187="WIN", N187="LOSS"), (L187-E187)*D187,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IF(OR(N188="WIN", N188="LOSS"), (L188-E188)*D188,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IF(OR(N189="WIN", N189="LOSS"), (L189-E189)*D189,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IF(OR(N190="WIN", N190="LOSS"), (L190-E190)*D190,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IF(OR(N191="WIN", N191="LOSS"), (L191-E191)*D191,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IF(OR(N192="WIN", N192="LOSS"), (L192-E192)*D192,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IF(OR(N193="WIN", N193="LOSS"), (L193-E193)*D193,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IF(OR(N194="WIN", N194="LOSS"), (L194-E194)*D194,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IF(OR(N195="WIN", N195="LOSS"), (L195-E195)*D195,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IF(OR(N196="WIN", N196="LOSS"), (L196-E196)*D196,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IF(OR(N197="WIN", N197="LOSS"), (L197-E197)*D197,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IF(OR(N198="WIN", N198="LOSS"), (L198-E198)*D198,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IF(OR(N199="WIN", N199="LOSS"), (L199-E199)*D199,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IF(OR(N200="WIN", N200="LOSS"), (L200-E200)*D200,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IF(OR(N201="WIN", N201="LOSS"), (L201-E201)*D201,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IF(OR(N202="WIN", N202="LOSS"), (L202-E202)*D202,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IF(OR(N203="WIN", N203="LOSS"), (L203-E203)*D203,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IF(OR(N204="WIN", N204="LOSS"), (L204-E204)*D204,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IF(OR(N205="WIN", N205="LOSS"), (L205-E205)*D205,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IF(OR(N206="WIN", N206="LOSS"), (L206-E206)*D206,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IF(OR(N207="WIN", N207="LOSS"), (L207-E207)*D207,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IF(OR(N208="WIN", N208="LOSS"), (L208-E208)*D208,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IF(OR(N209="WIN", N209="LOSS"), (L209-E209)*D209,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IF(OR(N210="WIN", N210="LOSS"), (L210-E210)*D210,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IF(OR(N211="WIN", N211="LOSS"), (L211-E211)*D211,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IF(OR(N212="WIN", N212="LOSS"), (L212-E212)*D212,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IF(OR(N213="WIN", N213="LOSS"), (L213-E213)*D213,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IF(OR(N214="WIN", N214="LOSS"), (L214-E214)*D214,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IF(OR(N215="WIN", N215="LOSS"), (L215-E215)*D215,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IF(OR(N216="WIN", N216="LOSS"), (L216-E216)*D216,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IF(OR(N217="WIN", N217="LOSS"), (L217-E217)*D217,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IF(OR(N218="WIN", N218="LOSS"), (L218-E218)*D218,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IF(OR(N219="WIN", N219="LOSS"), (L219-E219)*D219,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IF(OR(N220="WIN", N220="LOSS"), (L220-E220)*D220,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IF(OR(N221="WIN", N221="LOSS"), (L221-E221)*D221,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IF(OR(N222="WIN", N222="LOSS"), (L222-E222)*D222,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IF(OR(N223="WIN", N223="LOSS"), (L223-E223)*D223,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IF(OR(N224="WIN", N224="LOSS"), (L224-E224)*D224,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IF(OR(N225="WIN", N225="LOSS"), (L225-E225)*D225,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IF(OR(N226="WIN", N226="LOSS"), (L226-E226)*D226,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IF(OR(N227="WIN", N227="LOSS"), (L227-E227)*D227,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IF(OR(N228="WIN", N228="LOSS"), (L228-E228)*D228,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IF(OR(N229="WIN", N229="LOSS"), (L229-E229)*D229,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IF(OR(N230="WIN", N230="LOSS"), (L230-E230)*D230,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IF(OR(N231="WIN", N231="LOSS"), (L231-E231)*D231,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IF(OR(N232="WIN", N232="LOSS"), (L232-E232)*D232,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IF(OR(N233="WIN", N233="LOSS"), (L233-E233)*D233,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IF(OR(N234="WIN", N234="LOSS"), (L234-E234)*D234,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IF(OR(N235="WIN", N235="LOSS"), (L235-E235)*D235,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IF(OR(N236="WIN", N236="LOSS"), (L236-E236)*D236,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IF(OR(N237="WIN", N237="LOSS"), (L237-E237)*D237,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IF(OR(N238="WIN", N238="LOSS"), (L238-E238)*D238,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IF(OR(N239="WIN", N239="LOSS"), (L239-E239)*D239,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IF(OR(N240="WIN", N240="LOSS"), (L240-E240)*D240,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IF(OR(N241="WIN", N241="LOSS"), (L241-E241)*D241,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IF(OR(N242="WIN", N242="LOSS"), (L242-E242)*D242,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IF(OR(N243="WIN", N243="LOSS"), (L243-E243)*D243,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IF(OR(N244="WIN", N244="LOSS"), (L244-E244)*D244,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IF(OR(N245="WIN", N245="LOSS"), (L245-E245)*D245,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IF(OR(N246="WIN", N246="LOSS"), (L246-E246)*D246,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IF(OR(N247="WIN", N247="LOSS"), (L247-E247)*D247,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IF(OR(N248="WIN", N248="LOSS"), (L248-E248)*D248,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IF(OR(N249="WIN", N249="LOSS"), (L249-E249)*D249,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IF(OR(N250="WIN", N250="LOSS"), (L250-E250)*D250,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IF(OR(N251="WIN", N251="LOSS"), (L251-E251)*D251,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IF(OR(N252="WIN", N252="LOSS"), (L252-E252)*D252,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IF(OR(N253="WIN", N253="LOSS"), (L253-E253)*D253,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IF(OR(N254="WIN", N254="LOSS"), (L254-E254)*D254,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IF(OR(N255="WIN", N255="LOSS"), (L255-E255)*D255,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IF(OR(N256="WIN", N256="LOSS"), (L256-E256)*D256,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IF(OR(N257="WIN", N257="LOSS"), (L257-E257)*D257,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IF(OR(N258="WIN", N258="LOSS"), (L258-E258)*D258,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IF(OR(N259="WIN", N259="LOSS"), (L259-E259)*D259,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IF(OR(N260="WIN", N260="LOSS"), (L260-E260)*D260,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IF(OR(N261="WIN", N261="LOSS"), (L261-E261)*D261,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IF(OR(N262="WIN", N262="LOSS"), (L262-E262)*D262,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IF(OR(N263="WIN", N263="LOSS"), (L263-E263)*D263,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IF(OR(N264="WIN", N264="LOSS"), (L264-E264)*D264,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IF(OR(N265="WIN", N265="LOSS"), (L265-E265)*D265,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IF(OR(N266="WIN", N266="LOSS"), (L266-E266)*D266,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IF(OR(N267="WIN", N267="LOSS"), (L267-E267)*D267,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IF(OR(N268="WIN", N268="LOSS"), (L268-E268)*D268,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IF(OR(N269="WIN", N269="LOSS"), (L269-E269)*D269,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IF(OR(N270="WIN", N270="LOSS"), (L270-E270)*D270,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IF(OR(N271="WIN", N271="LOSS"), (L271-E271)*D271,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IF(OR(N272="WIN", N272="LOSS"), (L272-E272)*D272,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IF(OR(N273="WIN", N273="LOSS"), (L273-E273)*D273,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IF(OR(N274="WIN", N274="LOSS"), (L274-E274)*D274,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IF(OR(N275="WIN", N275="LOSS"), (L275-E275)*D275,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IF(OR(N276="WIN", N276="LOSS"), (L276-E276)*D276,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IF(OR(N277="WIN", N277="LOSS"), (L277-E277)*D277,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IF(OR(N278="WIN", N278="LOSS"), (L278-E278)*D278,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IF(OR(N279="WIN", N279="LOSS"), (L279-E279)*D279,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IF(OR(N280="WIN", N280="LOSS"), (L280-E280)*D280,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IF(OR(N281="WIN", N281="LOSS"), (L281-E281)*D281,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IF(OR(N282="WIN", N282="LOSS"), (L282-E282)*D282,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IF(OR(N283="WIN", N283="LOSS"), (L283-E283)*D283,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IF(OR(N284="WIN", N284="LOSS"), (L284-E284)*D284,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IF(OR(N285="WIN", N285="LOSS"), (L285-E285)*D285,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IF(OR(N286="WIN", N286="LOSS"), (L286-E286)*D286,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IF(OR(N287="WIN", N287="LOSS"), (L287-E287)*D287,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IF(OR(N288="WIN", N288="LOSS"), (L288-E288)*D288,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IF(OR(N289="WIN", N289="LOSS"), (L289-E289)*D289,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IF(OR(N290="WIN", N290="LOSS"), (L290-E290)*D290,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IF(OR(N291="WIN", N291="LOSS"), (L291-E291)*D291,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IF(OR(N292="WIN", N292="LOSS"), (L292-E292)*D292,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IF(OR(N293="WIN", N293="LOSS"), (L293-E293)*D293,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IF(OR(N294="WIN", N294="LOSS"), (L294-E294)*D294,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IF(OR(N295="WIN", N295="LOSS"), (L295-E295)*D295,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IF(OR(N296="WIN", N296="LOSS"), (L296-E296)*D296,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IF(OR(N297="WIN", N297="LOSS"), (L297-E297)*D297,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IF(OR(N298="WIN", N298="LOSS"), (L298-E298)*D298,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IF(OR(N299="WIN", N299="LOSS"), (L299-E299)*D299,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IF(OR(N300="WIN", N300="LOSS"), (L300-E300)*D300,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IF(OR(N301="WIN", N301="LOSS"), (L301-E301)*D301,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IF(OR(N302="WIN", N302="LOSS"), (L302-E302)*D302,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IF(OR(N303="WIN", N303="LOSS"), (L303-E303)*D303,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IF(OR(N304="WIN", N304="LOSS"), (L304-E304)*D304,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IF(OR(N305="WIN", N305="LOSS"), (L305-E305)*D305,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IF(OR(N306="WIN", N306="LOSS"), (L306-E306)*D306,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IF(OR(N307="WIN", N307="LOSS"), (L307-E307)*D307,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IF(OR(N308="WIN", N308="LOSS"), (L308-E308)*D308,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IF(OR(N309="WIN", N309="LOSS"), (L309-E309)*D309,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IF(OR(N310="WIN", N310="LOSS"), (L310-E310)*D310,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IF(OR(N311="WIN", N311="LOSS"), (L311-E311)*D311,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IF(OR(N312="WIN", N312="LOSS"), (L312-E312)*D312,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IF(OR(N313="WIN", N313="LOSS"), (L313-E313)*D313,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IF(OR(N314="WIN", N314="LOSS"), (L314-E314)*D314,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IF(OR(N315="WIN", N315="LOSS"), (L315-E315)*D315,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IF(OR(N316="WIN", N316="LOSS"), (L316-E316)*D316,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IF(OR(N317="WIN", N317="LOSS"), (L317-E317)*D317,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IF(OR(N318="WIN", N318="LOSS"), (L318-E318)*D318,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IF(OR(N319="WIN", N319="LOSS"), (L319-E319)*D319,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IF(OR(N320="WIN", N320="LOSS"), (L320-E320)*D320,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IF(OR(N321="WIN", N321="LOSS"), (L321-E321)*D321,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IF(OR(N322="WIN", N322="LOSS"), (L322-E322)*D322,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IF(OR(N323="WIN", N323="LOSS"), (L323-E323)*D323,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IF(OR(N324="WIN", N324="LOSS"), (L324-E324)*D324,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IF(OR(N325="WIN", N325="LOSS"), (L325-E325)*D325,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IF(OR(N326="WIN", N326="LOSS"), (L326-E326)*D326,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IF(OR(N327="WIN", N327="LOSS"), (L327-E327)*D327,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IF(OR(N328="WIN", N328="LOSS"), (L328-E328)*D328,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IF(OR(N329="WIN", N329="LOSS"), (L329-E329)*D329,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IF(OR(N330="WIN", N330="LOSS"), (L330-E330)*D330,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IF(OR(N331="WIN", N331="LOSS"), (L331-E331)*D331,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IF(OR(N332="WIN", N332="LOSS"), (L332-E332)*D332,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IF(OR(N333="WIN", N333="LOSS"), (L333-E333)*D333,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IF(OR(N334="WIN", N334="LOSS"), (L334-E334)*D334,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IF(OR(N335="WIN", N335="LOSS"), (L335-E335)*D335,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IF(OR(N336="WIN", N336="LOSS"), (L336-E336)*D336,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IF(OR(N337="WIN", N337="LOSS"), (L337-E337)*D337,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IF(OR(N338="WIN", N338="LOSS"), (L338-E338)*D338,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IF(OR(N339="WIN", N339="LOSS"), (L339-E339)*D339,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IF(OR(N340="WIN", N340="LOSS"), (L340-E340)*D340,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IF(OR(N341="WIN", N341="LOSS"), (L341-E341)*D341,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IF(OR(N342="WIN", N342="LOSS"), (L342-E342)*D342,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IF(OR(N343="WIN", N343="LOSS"), (L343-E343)*D343,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IF(OR(N344="WIN", N344="LOSS"), (L344-E344)*D344,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IF(OR(N345="WIN", N345="LOSS"), (L345-E345)*D345,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IF(OR(N346="WIN", N346="LOSS"), (L346-E346)*D346,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IF(OR(N347="WIN", N347="LOSS"), (L347-E347)*D347,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IF(OR(N348="WIN", N348="LOSS"), (L348-E348)*D348,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IF(OR(N349="WIN", N349="LOSS"), (L349-E349)*D349,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IF(OR(N350="WIN", N350="LOSS"), (L350-E350)*D350,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IF(OR(N351="WIN", N351="LOSS"), (L351-E351)*D351,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IF(OR(N352="WIN", N352="LOSS"), (L352-E352)*D352,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IF(OR(N353="WIN", N353="LOSS"), (L353-E353)*D353,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IF(OR(N354="WIN", N354="LOSS"), (L354-E354)*D354,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IF(OR(N355="WIN", N355="LOSS"), (L355-E355)*D355,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IF(OR(N356="WIN", N356="LOSS"), (L356-E356)*D356,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IF(OR(N357="WIN", N357="LOSS"), (L357-E357)*D357,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IF(OR(N358="WIN", N358="LOSS"), (L358-E358)*D358,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IF(OR(N359="WIN", N359="LOSS"), (L359-E359)*D359,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IF(OR(N360="WIN", N360="LOSS"), (L360-E360)*D360,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IF(OR(N361="WIN", N361="LOSS"), (L361-E361)*D361,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IF(OR(N362="WIN", N362="LOSS"), (L362-E362)*D362,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IF(OR(N363="WIN", N363="LOSS"), (L363-E363)*D363,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IF(OR(N364="WIN", N364="LOSS"), (L364-E364)*D364,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IF(OR(N365="WIN", N365="LOSS"), (L365-E365)*D365,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IF(OR(N366="WIN", N366="LOSS"), (L366-E366)*D366,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IF(OR(N367="WIN", N367="LOSS"), (L367-E367)*D367,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IF(OR(N368="WIN", N368="LOSS"), (L368-E368)*D368,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IF(OR(N369="WIN", N369="LOSS"), (L369-E369)*D369,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IF(OR(N370="WIN", N370="LOSS"), (L370-E370)*D370,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IF(OR(N371="WIN", N371="LOSS"), (L371-E371)*D371,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IF(OR(N372="WIN", N372="LOSS"), (L372-E372)*D372,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IF(OR(N373="WIN", N373="LOSS"), (L373-E373)*D373,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IF(OR(N374="WIN", N374="LOSS"), (L374-E374)*D374,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IF(OR(N375="WIN", N375="LOSS"), (L375-E375)*D375,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IF(OR(N376="WIN", N376="LOSS"), (L376-E376)*D376,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IF(OR(N377="WIN", N377="LOSS"), (L377-E377)*D377,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IF(OR(N378="WIN", N378="LOSS"), (L378-E378)*D378,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IF(OR(N379="WIN", N379="LOSS"), (L379-E379)*D379,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IF(OR(N380="WIN", N380="LOSS"), (L380-E380)*D380,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IF(OR(N381="WIN", N381="LOSS"), (L381-E381)*D381,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IF(OR(N382="WIN", N382="LOSS"), (L382-E382)*D382,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IF(OR(N383="WIN", N383="LOSS"), (L383-E383)*D383,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IF(OR(N384="WIN", N384="LOSS"), (L384-E384)*D384,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IF(OR(N385="WIN", N385="LOSS"), (L385-E385)*D385,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IF(OR(N386="WIN", N386="LOSS"), (L386-E386)*D386,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IF(OR(N387="WIN", N387="LOSS"), (L387-E387)*D387,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IF(OR(N388="WIN", N388="LOSS"), (L388-E388)*D388,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IF(OR(N389="WIN", N389="LOSS"), (L389-E389)*D389,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IF(OR(N390="WIN", N390="LOSS"), (L390-E390)*D390,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IF(OR(N391="WIN", N391="LOSS"), (L391-E391)*D391,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IF(OR(N392="WIN", N392="LOSS"), (L392-E392)*D392,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IF(OR(N393="WIN", N393="LOSS"), (L393-E393)*D393,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IF(OR(N394="WIN", N394="LOSS"), (L394-E394)*D394,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IF(OR(N395="WIN", N395="LOSS"), (L395-E395)*D395,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IF(OR(N396="WIN", N396="LOSS"), (L396-E396)*D396,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IF(OR(N397="WIN", N397="LOSS"), (L397-E397)*D397,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IF(OR(N398="WIN", N398="LOSS"), (L398-E398)*D398,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IF(OR(N399="WIN", N399="LOSS"), (L399-E399)*D399,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IF(OR(N400="WIN", N400="LOSS"), (L400-E400)*D400,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IF(OR(N401="WIN", N401="LOSS"), (L401-E401)*D401,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IF(OR(N402="WIN", N402="LOSS"), (L402-E402)*D402,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IF(OR(N403="WIN", N403="LOSS"), (L403-E403)*D403,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IF(OR(N404="WIN", N404="LOSS"), (L404-E404)*D404,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IF(OR(N405="WIN", N405="LOSS"), (L405-E405)*D405,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IF(OR(N406="WIN", N406="LOSS"), (L406-E406)*D406,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IF(OR(N407="WIN", N407="LOSS"), (L407-E407)*D407,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IF(OR(N408="WIN", N408="LOSS"), (L408-E408)*D408,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IF(OR(N409="WIN", N409="LOSS"), (L409-E409)*D409,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IF(OR(N410="WIN", N410="LOSS"), (L410-E410)*D410,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IF(OR(N411="WIN", N411="LOSS"), (L411-E411)*D411,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IF(OR(N412="WIN", N412="LOSS"), (L412-E412)*D412,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IF(OR(N413="WIN", N413="LOSS"), (L413-E413)*D413,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IF(OR(N414="WIN", N414="LOSS"), (L414-E414)*D414,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IF(OR(N415="WIN", N415="LOSS"), (L415-E415)*D415,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IF(OR(N416="WIN", N416="LOSS"), (L416-E416)*D416,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IF(OR(N417="WIN", N417="LOSS"), (L417-E417)*D417,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IF(OR(N418="WIN", N418="LOSS"), (L418-E418)*D418,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IF(OR(N419="WIN", N419="LOSS"), (L419-E419)*D419,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IF(OR(N420="WIN", N420="LOSS"), (L420-E420)*D420,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IF(OR(N421="WIN", N421="LOSS"), (L421-E421)*D421,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IF(OR(N422="WIN", N422="LOSS"), (L422-E422)*D422,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IF(OR(N423="WIN", N423="LOSS"), (L423-E423)*D423,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IF(OR(N424="WIN", N424="LOSS"), (L424-E424)*D424,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IF(OR(N425="WIN", N425="LOSS"), (L425-E425)*D425,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IF(OR(N426="WIN", N426="LOSS"), (L426-E426)*D426,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IF(OR(N427="WIN", N427="LOSS"), (L427-E427)*D427,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IF(OR(N428="WIN", N428="LOSS"), (L428-E428)*D428,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IF(OR(N429="WIN", N429="LOSS"), (L429-E429)*D429,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IF(OR(N430="WIN", N430="LOSS"), (L430-E430)*D430,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IF(OR(N431="WIN", N431="LOSS"), (L431-E431)*D431,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IF(OR(N432="WIN", N432="LOSS"), (L432-E432)*D432,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IF(OR(N433="WIN", N433="LOSS"), (L433-E433)*D433,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IF(OR(N434="WIN", N434="LOSS"), (L434-E434)*D434,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IF(OR(N435="WIN", N435="LOSS"), (L435-E435)*D435,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IF(OR(N436="WIN", N436="LOSS"), (L436-E436)*D436,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IF(OR(N437="WIN", N437="LOSS"), (L437-E437)*D437,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IF(OR(N438="WIN", N438="LOSS"), (L438-E438)*D438,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IF(OR(N439="WIN", N439="LOSS"), (L439-E439)*D439,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IF(OR(N440="WIN", N440="LOSS"), (L440-E440)*D440,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IF(OR(N441="WIN", N441="LOSS"), (L441-E441)*D441,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IF(OR(N442="WIN", N442="LOSS"), (L442-E442)*D442,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IF(OR(N443="WIN", N443="LOSS"), (L443-E443)*D443,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IF(OR(N444="WIN", N444="LOSS"), (L444-E444)*D444,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IF(OR(N445="WIN", N445="LOSS"), (L445-E445)*D445,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IF(OR(N446="WIN", N446="LOSS"), (L446-E446)*D446,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IF(OR(N447="WIN", N447="LOSS"), (L447-E447)*D447,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IF(OR(N448="WIN", N448="LOSS"), (L448-E448)*D448,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IF(OR(N449="WIN", N449="LOSS"), (L449-E449)*D449,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IF(OR(N450="WIN", N450="LOSS"), (L450-E450)*D450,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IF(OR(N451="WIN", N451="LOSS"), (L451-E451)*D451,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IF(OR(N452="WIN", N452="LOSS"), (L452-E452)*D452,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IF(OR(N453="WIN", N453="LOSS"), (L453-E453)*D453,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IF(OR(N454="WIN", N454="LOSS"), (L454-E454)*D454,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IF(OR(N455="WIN", N455="LOSS"), (L455-E455)*D455,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IF(OR(N456="WIN", N456="LOSS"), (L456-E456)*D456,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IF(OR(N457="WIN", N457="LOSS"), (L457-E457)*D457,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IF(OR(N458="WIN", N458="LOSS"), (L458-E458)*D458,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IF(OR(N459="WIN", N459="LOSS"), (L459-E459)*D459,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IF(OR(N460="WIN", N460="LOSS"), (L460-E460)*D460,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IF(OR(N461="WIN", N461="LOSS"), (L461-E461)*D461,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IF(OR(N462="WIN", N462="LOSS"), (L462-E462)*D462,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IF(OR(N463="WIN", N463="LOSS"), (L463-E463)*D463,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IF(OR(N464="WIN", N464="LOSS"), (L464-E464)*D464,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IF(OR(N465="WIN", N465="LOSS"), (L465-E465)*D465,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IF(OR(N466="WIN", N466="LOSS"), (L466-E466)*D466,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IF(OR(N467="WIN", N467="LOSS"), (L467-E467)*D467,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IF(OR(N468="WIN", N468="LOSS"), (L468-E468)*D468,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IF(OR(N469="WIN", N469="LOSS"), (L469-E469)*D469,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IF(OR(N470="WIN", N470="LOSS"), (L470-E470)*D470,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IF(OR(N471="WIN", N471="LOSS"), (L471-E471)*D471,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IF(OR(N472="WIN", N472="LOSS"), (L472-E472)*D472,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IF(OR(N473="WIN", N473="LOSS"), (L473-E473)*D473,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IF(OR(N474="WIN", N474="LOSS"), (L474-E474)*D474,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IF(OR(N475="WIN", N475="LOSS"), (L475-E475)*D475,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IF(OR(N476="WIN", N476="LOSS"), (L476-E476)*D476,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IF(OR(N477="WIN", N477="LOSS"), (L477-E477)*D477,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IF(OR(N478="WIN", N478="LOSS"), (L478-E478)*D478,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IF(OR(N479="WIN", N479="LOSS"), (L479-E479)*D479,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IF(OR(N480="WIN", N480="LOSS"), (L480-E480)*D480,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IF(OR(N481="WIN", N481="LOSS"), (L481-E481)*D481,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IF(OR(N482="WIN", N482="LOSS"), (L482-E482)*D482,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IF(OR(N483="WIN", N483="LOSS"), (L483-E483)*D483,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IF(OR(N484="WIN", N484="LOSS"), (L484-E484)*D484,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IF(OR(N485="WIN", N485="LOSS"), (L485-E485)*D485,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IF(OR(N486="WIN", N486="LOSS"), (L486-E486)*D486,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IF(OR(N487="WIN", N487="LOSS"), (L487-E487)*D487,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IF(OR(N488="WIN", N488="LOSS"), (L488-E488)*D488,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IF(OR(N489="WIN", N489="LOSS"), (L489-E489)*D489,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IF(OR(N490="WIN", N490="LOSS"), (L490-E490)*D490,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IF(OR(N491="WIN", N491="LOSS"), (L491-E491)*D491,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IF(OR(N492="WIN", N492="LOSS"), (L492-E492)*D492,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IF(OR(N493="WIN", N493="LOSS"), (L493-E493)*D493,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IF(OR(N494="WIN", N494="LOSS"), (L494-E494)*D494,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IF(OR(N495="WIN", N495="LOSS"), (L495-E495)*D495,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>
        <f>IF(OR(N496="WIN", N496="LOSS"), (L496-E496)*D496, 0)</f>
        <v/>
      </c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>
        <f>IF(OR(N497="WIN", N497="LOSS"), (L497-E497)*D497, 0)</f>
        <v/>
      </c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>
        <f>IF(OR(N498="WIN", N498="LOSS"), (L498-E498)*D498, 0)</f>
        <v/>
      </c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>
        <f>IF(OR(N499="WIN", N499="LOSS"), (L499-E499)*D499, 0)</f>
        <v/>
      </c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>
        <f>IF(OR(N500="WIN", N500="LOSS"), (L500-E500)*D500, 0)</f>
        <v/>
      </c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31" min="1" max="2"/>
    <col width="25" customWidth="1" style="31" min="3" max="3"/>
    <col width="18" customWidth="1" style="31" min="4" max="7"/>
    <col width="22" customWidth="1" style="31" min="8" max="8"/>
    <col width="18" customWidth="1" style="31" min="9" max="9"/>
    <col width="22" customWidth="1" style="31" min="10" max="10"/>
    <col width="24" customWidth="1" style="31" min="11" max="11"/>
    <col width="30" customWidth="1" style="31" min="12" max="12"/>
  </cols>
  <sheetData>
    <row r="1" ht="27.75" customHeight="1" s="31">
      <c r="A1" s="4" t="inlineStr">
        <is>
          <t>Date</t>
        </is>
      </c>
      <c r="B1" s="4" t="inlineStr">
        <is>
          <t>Symbol</t>
        </is>
      </c>
      <c r="C1" s="4" t="inlineStr">
        <is>
          <t>Name</t>
        </is>
      </c>
      <c r="D1" s="4" t="inlineStr">
        <is>
          <t>Composite Score</t>
        </is>
      </c>
      <c r="E1" s="4" t="inlineStr">
        <is>
          <t>Target Entry Price</t>
        </is>
      </c>
      <c r="F1" s="4" t="inlineStr">
        <is>
          <t>Initial Stop-Loss</t>
        </is>
      </c>
      <c r="G1" s="4" t="inlineStr">
        <is>
          <t>Profit Target</t>
        </is>
      </c>
      <c r="H1" s="4" t="inlineStr">
        <is>
          <t>Risk-to-Reward Ratio</t>
        </is>
      </c>
      <c r="I1" s="4" t="inlineStr">
        <is>
          <t>Recommended Qty</t>
        </is>
      </c>
      <c r="J1" s="4" t="inlineStr">
        <is>
          <t>Recommended Allocation</t>
        </is>
      </c>
      <c r="K1" s="4" t="inlineStr">
        <is>
          <t>Execution Status</t>
        </is>
      </c>
      <c r="L1" s="4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2026-07-21</t>
        </is>
      </c>
      <c r="B2" s="8" t="inlineStr">
        <is>
          <t>JSWSTEEL</t>
        </is>
      </c>
      <c r="C2" s="8" t="inlineStr">
        <is>
          <t>JSW Steel Limited</t>
        </is>
      </c>
      <c r="D2" s="8" t="inlineStr">
        <is>
          <t>96/100</t>
        </is>
      </c>
      <c r="E2" s="9" t="n">
        <v>1267.400024414062</v>
      </c>
      <c r="F2" s="9" t="n">
        <v>1217.533463494685</v>
      </c>
      <c r="G2" s="9" t="n">
        <v>1367.133146252818</v>
      </c>
      <c r="H2" s="8" t="inlineStr">
        <is>
          <t>1:2.0</t>
        </is>
      </c>
      <c r="I2" s="8" t="n">
        <v>1</v>
      </c>
      <c r="J2" s="9" t="n">
        <v>1267.400024414062</v>
      </c>
      <c r="K2" s="8" t="inlineStr">
        <is>
          <t>SKIPPED_BEARISH_REGIME</t>
        </is>
      </c>
      <c r="L2" s="8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2026-07-21</t>
        </is>
      </c>
      <c r="B3" s="8" t="inlineStr">
        <is>
          <t>LUPIN</t>
        </is>
      </c>
      <c r="C3" s="8" t="inlineStr">
        <is>
          <t>Lupin Limited</t>
        </is>
      </c>
      <c r="D3" s="8" t="inlineStr">
        <is>
          <t>96/100</t>
        </is>
      </c>
      <c r="E3" s="9" t="n">
        <v>2514.800048828125</v>
      </c>
      <c r="F3" s="9" t="n">
        <v>2414.086713938525</v>
      </c>
      <c r="G3" s="9" t="n">
        <v>2716.226718607325</v>
      </c>
      <c r="H3" s="8" t="inlineStr">
        <is>
          <t>1:2.0</t>
        </is>
      </c>
      <c r="I3" s="8" t="n">
        <v>0</v>
      </c>
      <c r="J3" s="9" t="n">
        <v>0</v>
      </c>
      <c r="K3" s="8" t="inlineStr">
        <is>
          <t>SKIPPED_BEARISH_REGIME</t>
        </is>
      </c>
      <c r="L3" s="8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2026-07-21</t>
        </is>
      </c>
      <c r="B4" s="8" t="inlineStr">
        <is>
          <t>ULTRACEMCO</t>
        </is>
      </c>
      <c r="C4" s="8" t="inlineStr">
        <is>
          <t>UltraTech Cement Limited</t>
        </is>
      </c>
      <c r="D4" s="8" t="inlineStr">
        <is>
          <t>94/100</t>
        </is>
      </c>
      <c r="E4" s="9" t="n">
        <v>12094</v>
      </c>
      <c r="F4" s="9" t="n">
        <v>11658.42857142857</v>
      </c>
      <c r="G4" s="9" t="n">
        <v>12965.14285714286</v>
      </c>
      <c r="H4" s="8" t="inlineStr">
        <is>
          <t>1:2.0</t>
        </is>
      </c>
      <c r="I4" s="8" t="n">
        <v>0</v>
      </c>
      <c r="J4" s="9" t="n">
        <v>0</v>
      </c>
      <c r="K4" s="8" t="inlineStr">
        <is>
          <t>SKIPPED_BEARISH_REGIME</t>
        </is>
      </c>
      <c r="L4" s="8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2026-07-21</t>
        </is>
      </c>
      <c r="B5" s="8" t="inlineStr">
        <is>
          <t>NAVINFLUOR</t>
        </is>
      </c>
      <c r="C5" s="8" t="inlineStr">
        <is>
          <t>Navin Fluorine International Limited</t>
        </is>
      </c>
      <c r="D5" s="8" t="inlineStr">
        <is>
          <t>94/100</t>
        </is>
      </c>
      <c r="E5" s="9" t="n">
        <v>7882</v>
      </c>
      <c r="F5" s="9" t="n">
        <v>7455.142857142857</v>
      </c>
      <c r="G5" s="9" t="n">
        <v>8735.714285714286</v>
      </c>
      <c r="H5" s="8" t="inlineStr">
        <is>
          <t>1:2.0</t>
        </is>
      </c>
      <c r="I5" s="8" t="n">
        <v>0</v>
      </c>
      <c r="J5" s="9" t="n">
        <v>0</v>
      </c>
      <c r="K5" s="8" t="inlineStr">
        <is>
          <t>SKIPPED_BEARISH_REGIME</t>
        </is>
      </c>
      <c r="L5" s="8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8" t="inlineStr">
        <is>
          <t>2026-07-21</t>
        </is>
      </c>
      <c r="B6" s="8" t="inlineStr">
        <is>
          <t>ERIS</t>
        </is>
      </c>
      <c r="C6" s="8" t="inlineStr">
        <is>
          <t>Eris Lifesciences Limited</t>
        </is>
      </c>
      <c r="D6" s="8" t="inlineStr">
        <is>
          <t>94/100</t>
        </is>
      </c>
      <c r="E6" s="9" t="n">
        <v>1470</v>
      </c>
      <c r="F6" s="9" t="n">
        <v>1391.314226422991</v>
      </c>
      <c r="G6" s="9" t="n">
        <v>1627.371547154018</v>
      </c>
      <c r="H6" s="8" t="inlineStr">
        <is>
          <t>1:2.0</t>
        </is>
      </c>
      <c r="I6" s="8" t="n">
        <v>1</v>
      </c>
      <c r="J6" s="9" t="n">
        <v>1470</v>
      </c>
      <c r="K6" s="8" t="inlineStr">
        <is>
          <t>SKIPPED_BEARISH_REGIME</t>
        </is>
      </c>
      <c r="L6" s="8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8" t="inlineStr">
        <is>
          <t>2026-07-22</t>
        </is>
      </c>
      <c r="B7" s="8" t="inlineStr">
        <is>
          <t>JSWSTEEL</t>
        </is>
      </c>
      <c r="C7" s="8" t="inlineStr">
        <is>
          <t>JSW Steel Limited</t>
        </is>
      </c>
      <c r="D7" s="8" t="inlineStr">
        <is>
          <t>96/100</t>
        </is>
      </c>
      <c r="E7" s="9" t="n">
        <v>1267.4</v>
      </c>
      <c r="F7" s="9" t="n">
        <v>1219.23</v>
      </c>
      <c r="G7" s="9" t="n">
        <v>1363.73</v>
      </c>
      <c r="H7" s="8" t="inlineStr">
        <is>
          <t>1:2.0</t>
        </is>
      </c>
      <c r="I7" s="8" t="n">
        <v>1</v>
      </c>
      <c r="J7" s="9" t="n">
        <v>1267.4</v>
      </c>
      <c r="K7" s="8" t="inlineStr">
        <is>
          <t>SKIPPED_BEARISH_REGIME</t>
        </is>
      </c>
      <c r="L7" s="8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8" t="inlineStr">
        <is>
          <t>2026-07-22</t>
        </is>
      </c>
      <c r="B8" s="8" t="inlineStr">
        <is>
          <t>SONACOMS</t>
        </is>
      </c>
      <c r="C8" s="8" t="inlineStr">
        <is>
          <t>Sona BLW Precision Forgings Limited</t>
        </is>
      </c>
      <c r="D8" s="8" t="inlineStr">
        <is>
          <t>92/100</t>
        </is>
      </c>
      <c r="E8" s="9" t="n">
        <v>732.75</v>
      </c>
      <c r="F8" s="9" t="n">
        <v>703.5</v>
      </c>
      <c r="G8" s="9" t="n">
        <v>797.86</v>
      </c>
      <c r="H8" s="8" t="inlineStr">
        <is>
          <t>1:2.0</t>
        </is>
      </c>
      <c r="I8" s="8" t="n">
        <v>2</v>
      </c>
      <c r="J8" s="9" t="n">
        <v>1465.5</v>
      </c>
      <c r="K8" s="8" t="inlineStr">
        <is>
          <t>SKIPPED_BEARISH_REGIME</t>
        </is>
      </c>
      <c r="L8" s="8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8" t="inlineStr">
        <is>
          <t>2026-07-22</t>
        </is>
      </c>
      <c r="B9" s="8" t="inlineStr">
        <is>
          <t>LUPIN</t>
        </is>
      </c>
      <c r="C9" s="8" t="inlineStr">
        <is>
          <t>Lupin Limited</t>
        </is>
      </c>
      <c r="D9" s="8" t="inlineStr">
        <is>
          <t>96/100</t>
        </is>
      </c>
      <c r="E9" s="9" t="n">
        <v>2514.8</v>
      </c>
      <c r="F9" s="9" t="n">
        <v>2417.09</v>
      </c>
      <c r="G9" s="9" t="n">
        <v>2710.23</v>
      </c>
      <c r="H9" s="8" t="inlineStr">
        <is>
          <t>1:2.0</t>
        </is>
      </c>
      <c r="I9" s="8" t="n">
        <v>0</v>
      </c>
      <c r="J9" s="9" t="n">
        <v>0</v>
      </c>
      <c r="K9" s="8" t="inlineStr">
        <is>
          <t>SKIPPED_BEARISH_REGIME</t>
        </is>
      </c>
      <c r="L9" s="8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8" t="inlineStr">
        <is>
          <t>2026-07-22</t>
        </is>
      </c>
      <c r="B10" s="8" t="inlineStr">
        <is>
          <t>HAL</t>
        </is>
      </c>
      <c r="C10" s="8" t="inlineStr">
        <is>
          <t>Hindustan Aeronautics Limited</t>
        </is>
      </c>
      <c r="D10" s="8" t="inlineStr">
        <is>
          <t>90/100</t>
        </is>
      </c>
      <c r="E10" s="9" t="n">
        <v>4581.7</v>
      </c>
      <c r="F10" s="9" t="n">
        <v>4414.33</v>
      </c>
      <c r="G10" s="9" t="n">
        <v>4916.44</v>
      </c>
      <c r="H10" s="8" t="inlineStr">
        <is>
          <t>1:2.0</t>
        </is>
      </c>
      <c r="I10" s="8" t="n">
        <v>0</v>
      </c>
      <c r="J10" s="9" t="n">
        <v>0</v>
      </c>
      <c r="K10" s="8" t="inlineStr">
        <is>
          <t>SKIPPED_BEARISH_REGIME</t>
        </is>
      </c>
      <c r="L10" s="8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8" t="inlineStr">
        <is>
          <t>2026-07-22</t>
        </is>
      </c>
      <c r="B11" s="8" t="inlineStr">
        <is>
          <t>SHREECEM</t>
        </is>
      </c>
      <c r="C11" s="8" t="inlineStr">
        <is>
          <t>Shree Cement Limited</t>
        </is>
      </c>
      <c r="D11" s="8" t="inlineStr">
        <is>
          <t>92/100</t>
        </is>
      </c>
      <c r="E11" s="9" t="n">
        <v>27245</v>
      </c>
      <c r="F11" s="9" t="n">
        <v>26152.92</v>
      </c>
      <c r="G11" s="9" t="n">
        <v>29429.17</v>
      </c>
      <c r="H11" s="8" t="inlineStr">
        <is>
          <t>1:2.0</t>
        </is>
      </c>
      <c r="I11" s="8" t="n">
        <v>0</v>
      </c>
      <c r="J11" s="9" t="n">
        <v>0</v>
      </c>
      <c r="K11" s="8" t="inlineStr">
        <is>
          <t>SKIPPED_BEARISH_REGIME</t>
        </is>
      </c>
      <c r="L11" s="8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9" t="n">
        <v>1559.5</v>
      </c>
      <c r="F12" s="9" t="n">
        <v>1508.1</v>
      </c>
      <c r="G12" s="9" t="n">
        <v>1746.3</v>
      </c>
      <c r="H12" s="3" t="inlineStr">
        <is>
          <t>1:2.0</t>
        </is>
      </c>
      <c r="I12" s="3" t="n">
        <v>0</v>
      </c>
      <c r="J12" s="9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9" t="n">
        <v>521.35</v>
      </c>
      <c r="F13" s="9" t="n">
        <v>494.6</v>
      </c>
      <c r="G13" s="9" t="n">
        <v>574.85</v>
      </c>
      <c r="H13" s="3" t="inlineStr">
        <is>
          <t>1:2.0</t>
        </is>
      </c>
      <c r="I13" s="3" t="n">
        <v>1</v>
      </c>
      <c r="J13" s="9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NESTLEIND</t>
        </is>
      </c>
      <c r="C14" s="3" t="inlineStr">
        <is>
          <t>Nestle India Limited</t>
        </is>
      </c>
      <c r="D14" s="3" t="inlineStr">
        <is>
          <t>100/100</t>
        </is>
      </c>
      <c r="E14" s="9" t="n">
        <v>1530</v>
      </c>
      <c r="F14" s="9" t="n">
        <v>1520.11</v>
      </c>
      <c r="G14" s="9" t="n">
        <v>1549.77</v>
      </c>
      <c r="H14" s="3" t="inlineStr">
        <is>
          <t>1:2.0</t>
        </is>
      </c>
      <c r="I14" s="3" t="n">
        <v>1</v>
      </c>
      <c r="J14" s="9" t="n">
        <v>1530</v>
      </c>
      <c r="K14" s="3" t="inlineStr">
        <is>
          <t>ACTIVE</t>
        </is>
      </c>
      <c r="L14" s="3" t="inlineStr">
        <is>
          <t>Intraday recommendation for 2026-08-04</t>
        </is>
      </c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2026-08-04</t>
        </is>
      </c>
      <c r="B15" s="3" t="inlineStr">
        <is>
          <t>PIDILITIND</t>
        </is>
      </c>
      <c r="C15" s="3" t="inlineStr">
        <is>
          <t>Pidilite Industries Limited</t>
        </is>
      </c>
      <c r="D15" s="3" t="inlineStr">
        <is>
          <t>100/100</t>
        </is>
      </c>
      <c r="E15" s="9" t="n">
        <v>1642.5</v>
      </c>
      <c r="F15" s="9" t="n">
        <v>1634.5</v>
      </c>
      <c r="G15" s="9" t="n">
        <v>1658.5</v>
      </c>
      <c r="H15" s="3" t="inlineStr">
        <is>
          <t>1:2.0</t>
        </is>
      </c>
      <c r="I15" s="3" t="n">
        <v>1</v>
      </c>
      <c r="J15" s="9" t="n">
        <v>1642.5</v>
      </c>
      <c r="K15" s="3" t="inlineStr">
        <is>
          <t>ACTIVE</t>
        </is>
      </c>
      <c r="L15" s="3" t="inlineStr">
        <is>
          <t>Intraday recommendation for 2026-08-04</t>
        </is>
      </c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31" min="1" max="2"/>
    <col width="18" customWidth="1" style="31" min="3" max="3"/>
    <col width="40" customWidth="1" style="31" min="4" max="4"/>
    <col width="8.710000000000001" customWidth="1" style="31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21-7-2026</t>
        </is>
      </c>
      <c r="B2" s="8" t="inlineStr">
        <is>
          <t>Deposit</t>
        </is>
      </c>
      <c r="C2" s="8" t="n">
        <v>10000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2026-07-22</t>
        </is>
      </c>
      <c r="B3" s="8" t="inlineStr">
        <is>
          <t>WITHDRAWAL</t>
        </is>
      </c>
      <c r="C3" s="9" t="n">
        <v>1.76</v>
      </c>
      <c r="D3" s="8" t="inlineStr">
        <is>
          <t>Brokerage &amp; taxes on SONACOMS BUY (2 qty @ 734.70)</t>
        </is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2026-07-22</t>
        </is>
      </c>
      <c r="B4" s="8" t="inlineStr">
        <is>
          <t>WITHDRAWAL</t>
        </is>
      </c>
      <c r="C4" s="9" t="n">
        <v>1.52</v>
      </c>
      <c r="D4" s="8" t="inlineStr">
        <is>
          <t>Brokerage &amp; taxes on JSWSTEEL BUY (1 qty @ 1265.10)</t>
        </is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18" t="inlineStr">
        <is>
          <t>2026-07-24</t>
        </is>
      </c>
      <c r="B5" s="18" t="inlineStr">
        <is>
          <t>WITHDRAWAL</t>
        </is>
      </c>
      <c r="C5" s="20" t="n">
        <v>181.62</v>
      </c>
      <c r="D5" s="21" t="inlineStr">
        <is>
          <t>Adjustment: Brokerage &amp; taxes on past completed trades (SUNPHARMA, JSWSTEEL, TECHM)</t>
        </is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inlineStr">
        <is>
          <t>2026-07-27</t>
        </is>
      </c>
      <c r="B6" s="3" t="inlineStr">
        <is>
          <t>WITHDRAWAL</t>
        </is>
      </c>
      <c r="C6" s="9" t="n">
        <v>1.89</v>
      </c>
      <c r="D6" s="3" t="inlineStr">
        <is>
          <t>Brokerage &amp; taxes on TECHM BUY (1 qty @ 1579.00)</t>
        </is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2026-07-31</t>
        </is>
      </c>
      <c r="B7" s="3" t="inlineStr">
        <is>
          <t>WITHDRAWAL</t>
        </is>
      </c>
      <c r="C7" s="9" t="n">
        <v>1.76</v>
      </c>
      <c r="D7" s="3" t="inlineStr">
        <is>
          <t>Brokerage &amp; taxes on BERGEPAINT BUY</t>
        </is>
      </c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2026-08-03</t>
        </is>
      </c>
      <c r="B8" s="3" t="inlineStr">
        <is>
          <t>WITHDRAWAL</t>
        </is>
      </c>
      <c r="C8" s="9" t="n">
        <v>0.61</v>
      </c>
      <c r="D8" s="3" t="inlineStr">
        <is>
          <t>Brokerage &amp; taxes on ADVANCE BUY (4 qty @ 127.80)</t>
        </is>
      </c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2026-08-03</t>
        </is>
      </c>
      <c r="B9" s="3" t="inlineStr">
        <is>
          <t>WITHDRAWAL</t>
        </is>
      </c>
      <c r="C9" s="9" t="n">
        <v>0.12</v>
      </c>
      <c r="D9" s="3" t="inlineStr">
        <is>
          <t>Brokerage &amp; taxes on ADVANCE BUY (1 qty @ 100.00)</t>
        </is>
      </c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inlineStr">
        <is>
          <t>2026-08-04</t>
        </is>
      </c>
      <c r="B10" s="3" t="inlineStr">
        <is>
          <t>WITHDRAWAL</t>
        </is>
      </c>
      <c r="C10" s="9" t="n">
        <v>1.84</v>
      </c>
      <c r="D10" s="3" t="inlineStr">
        <is>
          <t>Brokerage &amp; taxes on NESTLEIND BUY (1 qty @ 1530.00)</t>
        </is>
      </c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inlineStr">
        <is>
          <t>2026-08-04</t>
        </is>
      </c>
      <c r="B11" s="3" t="inlineStr">
        <is>
          <t>WITHDRAWAL</t>
        </is>
      </c>
      <c r="C11" s="9" t="n">
        <v>1.97</v>
      </c>
      <c r="D11" s="3" t="inlineStr">
        <is>
          <t>Brokerage &amp; taxes on PIDILITIND BUY (1 qty @ 1642.50)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2026-08-04</t>
        </is>
      </c>
      <c r="B12" s="3" t="inlineStr">
        <is>
          <t>WITHDRAWAL</t>
        </is>
      </c>
      <c r="C12" s="9" t="n">
        <v>1.83</v>
      </c>
      <c r="D12" s="3" t="inlineStr">
        <is>
          <t>Brokerage &amp; taxes on NESTLEIND SELL (1 qty @ 1520.10)</t>
        </is>
      </c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2026-08-04</t>
        </is>
      </c>
      <c r="B13" s="3" t="inlineStr">
        <is>
          <t>WITHDRAWAL</t>
        </is>
      </c>
      <c r="C13" s="9" t="n">
        <v>1.96</v>
      </c>
      <c r="D13" s="3" t="inlineStr">
        <is>
          <t>Brokerage &amp; taxes on PIDILITIND SELL (1 qty @ 1634.50)</t>
        </is>
      </c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WITHDRAWAL</t>
        </is>
      </c>
      <c r="C14" s="9" t="n">
        <v>512.29</v>
      </c>
      <c r="D14" s="3" t="inlineStr">
        <is>
          <t>System reconciliation adjustment to align with Zerodha Cash Margin</t>
        </is>
      </c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31" min="1" max="1"/>
    <col width="12" customWidth="1" style="31" min="2" max="2"/>
    <col width="80" customWidth="1" style="31" min="3" max="3"/>
    <col width="8.710000000000001" customWidth="1" style="31" min="4" max="6"/>
  </cols>
  <sheetData>
    <row r="1">
      <c r="A1" s="26" t="inlineStr">
        <is>
          <t>Timestamp</t>
        </is>
      </c>
      <c r="B1" s="26" t="inlineStr">
        <is>
          <t>Level</t>
        </is>
      </c>
      <c r="C1" s="26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2026-07-21 12:48:41</t>
        </is>
      </c>
      <c r="B2" s="8" t="inlineStr">
        <is>
          <t>INFO</t>
        </is>
      </c>
      <c r="C2" s="8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2026-07-21 12:48:42</t>
        </is>
      </c>
      <c r="B3" s="8" t="inlineStr">
        <is>
          <t>INFO</t>
        </is>
      </c>
      <c r="C3" s="8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2026-07-21 12:48:42</t>
        </is>
      </c>
      <c r="B4" s="8" t="inlineStr">
        <is>
          <t>INFO</t>
        </is>
      </c>
      <c r="C4" s="8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2026-07-21 15:33:36</t>
        </is>
      </c>
      <c r="B5" s="8" t="inlineStr">
        <is>
          <t>INFO</t>
        </is>
      </c>
      <c r="C5" s="8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8" t="inlineStr">
        <is>
          <t>2026-07-21 15:33:37</t>
        </is>
      </c>
      <c r="B6" s="8" t="inlineStr">
        <is>
          <t>INFO</t>
        </is>
      </c>
      <c r="C6" s="8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8" t="inlineStr">
        <is>
          <t>2026-07-21 15:33:38</t>
        </is>
      </c>
      <c r="B7" s="8" t="inlineStr">
        <is>
          <t>INFO</t>
        </is>
      </c>
      <c r="C7" s="8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8" t="inlineStr">
        <is>
          <t>2026-07-22 11:27:23</t>
        </is>
      </c>
      <c r="B8" s="8" t="inlineStr">
        <is>
          <t>INFO</t>
        </is>
      </c>
      <c r="C8" s="8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8" t="inlineStr">
        <is>
          <t>2026-07-22 11:27:25</t>
        </is>
      </c>
      <c r="B9" s="8" t="inlineStr">
        <is>
          <t>INFO</t>
        </is>
      </c>
      <c r="C9" s="8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8" t="inlineStr">
        <is>
          <t>2026-07-22 11:28:22</t>
        </is>
      </c>
      <c r="B10" s="8" t="inlineStr">
        <is>
          <t>INFO</t>
        </is>
      </c>
      <c r="C10" s="8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8" t="inlineStr">
        <is>
          <t>2026-07-22 11:28:24</t>
        </is>
      </c>
      <c r="B11" s="8" t="inlineStr">
        <is>
          <t>INFO</t>
        </is>
      </c>
      <c r="C11" s="8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18" t="inlineStr">
        <is>
          <t>2026-07-28 09:08:00</t>
        </is>
      </c>
      <c r="B14" s="18" t="inlineStr">
        <is>
          <t>ADVISORY</t>
        </is>
      </c>
      <c r="C14" s="21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2026-08-03 09:29:22</t>
        </is>
      </c>
      <c r="B15" s="3" t="inlineStr">
        <is>
          <t>INFO</t>
        </is>
      </c>
      <c r="C15" s="3" t="inlineStr">
        <is>
          <t>Recorded buy order: 4 shares of ADVANCE at 125.01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2026-08-03 09:29:48</t>
        </is>
      </c>
      <c r="B16" s="3" t="inlineStr">
        <is>
          <t>INFO</t>
        </is>
      </c>
      <c r="C16" s="3" t="inlineStr">
        <is>
          <t>Capital Transaction: WITHDRAWAL of INR 0.60 logged.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2026-08-03 11:33:33</t>
        </is>
      </c>
      <c r="B17" s="3" t="inlineStr">
        <is>
          <t>INFO</t>
        </is>
      </c>
      <c r="C17" s="3" t="inlineStr">
        <is>
          <t>Corrected ADVANCE buy price from 125.01 to actual execution price 127.80 based on live Zerodha check.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2026-08-03 11:33:41</t>
        </is>
      </c>
      <c r="B18" s="3" t="inlineStr">
        <is>
          <t>INFO</t>
        </is>
      </c>
      <c r="C18" s="3" t="inlineStr">
        <is>
          <t>Corrected ADVANCE buy price from 125.01 to actual execution price 127.80 based on live Zerodha check.</t>
        </is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2026-08-03 17:00:11</t>
        </is>
      </c>
      <c r="B19" s="3" t="inlineStr">
        <is>
          <t>INFO</t>
        </is>
      </c>
      <c r="C19" s="3" t="inlineStr">
        <is>
          <t>Capital Transaction: WITHDRAWAL of INR 0.12 logged.</t>
        </is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2026-08-03 17:01:24</t>
        </is>
      </c>
      <c r="B20" s="3" t="inlineStr">
        <is>
          <t>INFO</t>
        </is>
      </c>
      <c r="C20" s="3" t="inlineStr">
        <is>
          <t>Closed trade: ADVANCE exited at 120.0 (LOSS)</t>
        </is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inlineStr">
        <is>
          <t>2026-08-04 05:50:00</t>
        </is>
      </c>
      <c r="B21" s="3" t="inlineStr">
        <is>
          <t>INFO</t>
        </is>
      </c>
      <c r="C21" s="3" t="inlineStr">
        <is>
          <t>Recorded buy order: 1 shares of NESTLEIND at 1530.0 (INTRADAY)</t>
        </is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inlineStr">
        <is>
          <t>2026-08-04 05:50:23</t>
        </is>
      </c>
      <c r="B22" s="3" t="inlineStr">
        <is>
          <t>INFO</t>
        </is>
      </c>
      <c r="C22" s="3" t="inlineStr">
        <is>
          <t>Capital Transaction: WITHDRAWAL of INR 1.84 logged.</t>
        </is>
      </c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inlineStr">
        <is>
          <t>2026-08-04 05:52:22</t>
        </is>
      </c>
      <c r="B23" s="3" t="inlineStr">
        <is>
          <t>INFO</t>
        </is>
      </c>
      <c r="C23" s="3" t="inlineStr">
        <is>
          <t>Recorded buy order: 1 shares of PIDILITIND at 1642.5 (INTRADAY)</t>
        </is>
      </c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inlineStr">
        <is>
          <t>2026-08-04 05:52:56</t>
        </is>
      </c>
      <c r="B24" s="3" t="inlineStr">
        <is>
          <t>INFO</t>
        </is>
      </c>
      <c r="C24" s="3" t="inlineStr">
        <is>
          <t>Capital Transaction: WITHDRAWAL of INR 1.97 logged.</t>
        </is>
      </c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inlineStr">
        <is>
          <t>2026-08-04 16:48:38</t>
        </is>
      </c>
      <c r="B25" s="3" t="inlineStr">
        <is>
          <t>INFO</t>
        </is>
      </c>
      <c r="C25" s="3" t="inlineStr">
        <is>
          <t>Closed INTRADAY trade: NESTLEIND exited at 1520.1 (LOSS)</t>
        </is>
      </c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inlineStr">
        <is>
          <t>2026-08-04 16:48:55</t>
        </is>
      </c>
      <c r="B26" s="3" t="inlineStr">
        <is>
          <t>INFO</t>
        </is>
      </c>
      <c r="C26" s="3" t="inlineStr">
        <is>
          <t>Capital Transaction: WITHDRAWAL of INR 1.83 logged.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inlineStr">
        <is>
          <t>2026-08-04 16:49:17</t>
        </is>
      </c>
      <c r="B27" s="3" t="inlineStr">
        <is>
          <t>INFO</t>
        </is>
      </c>
      <c r="C27" s="3" t="inlineStr">
        <is>
          <t>Closed INTRADAY trade: PIDILITIND exited at 1634.5 (LOSS)</t>
        </is>
      </c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inlineStr">
        <is>
          <t>2026-08-04 16:54:12</t>
        </is>
      </c>
      <c r="B28" s="3" t="inlineStr">
        <is>
          <t>INFO</t>
        </is>
      </c>
      <c r="C28" s="3" t="inlineStr">
        <is>
          <t>Capital Transaction: WITHDRAWAL of INR 512.29 logged.</t>
        </is>
      </c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31" min="1" max="2"/>
    <col width="24" customWidth="1" style="31" min="3" max="3"/>
    <col width="14" customWidth="1" style="31" min="4" max="4"/>
    <col width="12" customWidth="1" style="31" min="5" max="6"/>
    <col width="16" customWidth="1" style="31" min="7" max="7"/>
    <col width="13" customWidth="1" style="31" min="8" max="8"/>
    <col width="16" customWidth="1" style="31" min="9" max="9"/>
    <col width="12" customWidth="1" style="31" min="10" max="10"/>
    <col width="53" customWidth="1" style="31" min="11" max="11"/>
  </cols>
  <sheetData>
    <row r="1" ht="25.5" customHeight="1" s="31">
      <c r="A1" s="27" t="inlineStr">
        <is>
          <t>Date</t>
        </is>
      </c>
      <c r="B1" s="27" t="inlineStr">
        <is>
          <t>Symbol</t>
        </is>
      </c>
      <c r="C1" s="27" t="inlineStr">
        <is>
          <t>Company Name</t>
        </is>
      </c>
      <c r="D1" s="27" t="inlineStr">
        <is>
          <t>Entry Price</t>
        </is>
      </c>
      <c r="E1" s="27" t="inlineStr">
        <is>
          <t>Stop Loss</t>
        </is>
      </c>
      <c r="F1" s="27" t="inlineStr">
        <is>
          <t>Target</t>
        </is>
      </c>
      <c r="G1" s="27" t="inlineStr">
        <is>
          <t>Initial Alloc</t>
        </is>
      </c>
      <c r="H1" s="27" t="inlineStr">
        <is>
          <t>Status</t>
        </is>
      </c>
      <c r="I1" s="27" t="inlineStr">
        <is>
          <t>Current Price</t>
        </is>
      </c>
      <c r="J1" s="27" t="inlineStr">
        <is>
          <t>P&amp;L (INR)</t>
        </is>
      </c>
      <c r="K1" s="27" t="inlineStr">
        <is>
          <t>Notes</t>
        </is>
      </c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9.5" customHeight="1" s="31">
      <c r="A2" s="28" t="inlineStr">
        <is>
          <t>2026-07-24</t>
        </is>
      </c>
      <c r="B2" s="28" t="inlineStr">
        <is>
          <t>SUNPHARMA</t>
        </is>
      </c>
      <c r="C2" s="29" t="inlineStr">
        <is>
          <t>Sun Pharmaceutical</t>
        </is>
      </c>
      <c r="D2" s="30" t="n">
        <v>1954</v>
      </c>
      <c r="E2" s="30" t="n">
        <v>1890.88</v>
      </c>
      <c r="F2" s="30" t="n">
        <v>2080.24</v>
      </c>
      <c r="G2" s="30" t="n">
        <v>2000</v>
      </c>
      <c r="H2" s="28" t="inlineStr">
        <is>
          <t>MONITORING</t>
        </is>
      </c>
      <c r="I2" s="30" t="n">
        <v>1954</v>
      </c>
      <c r="J2" s="30" t="n">
        <v>0</v>
      </c>
      <c r="K2" s="29" t="inlineStr">
        <is>
          <t>Paper trade for momentum score tracking (96.4/100)</t>
        </is>
      </c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19.5" customHeight="1" s="31">
      <c r="A3" s="28" t="inlineStr">
        <is>
          <t>2026-07-24</t>
        </is>
      </c>
      <c r="B3" s="28" t="inlineStr">
        <is>
          <t>BAJAJ-AUTO</t>
        </is>
      </c>
      <c r="C3" s="29" t="inlineStr">
        <is>
          <t>Bajaj Auto Limited</t>
        </is>
      </c>
      <c r="D3" s="30" t="n">
        <v>11283.5</v>
      </c>
      <c r="E3" s="30" t="n">
        <v>10780.43</v>
      </c>
      <c r="F3" s="30" t="n">
        <v>12289.64</v>
      </c>
      <c r="G3" s="30" t="n">
        <v>2000</v>
      </c>
      <c r="H3" s="28" t="inlineStr">
        <is>
          <t>MONITORING</t>
        </is>
      </c>
      <c r="I3" s="30" t="n">
        <v>11283.5</v>
      </c>
      <c r="J3" s="30" t="n">
        <v>0</v>
      </c>
      <c r="K3" s="29" t="inlineStr">
        <is>
          <t>Paper trade for momentum score tracking (88.8/100)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1">
      <c r="A4" s="28" t="inlineStr">
        <is>
          <t>2026-07-24</t>
        </is>
      </c>
      <c r="B4" s="28" t="inlineStr">
        <is>
          <t>HEROMOTOCO</t>
        </is>
      </c>
      <c r="C4" s="29" t="inlineStr">
        <is>
          <t>Hero MotoCorp</t>
        </is>
      </c>
      <c r="D4" s="30" t="n">
        <v>5098.8</v>
      </c>
      <c r="E4" s="30" t="n">
        <v>4900.54</v>
      </c>
      <c r="F4" s="30" t="n">
        <v>5495.31</v>
      </c>
      <c r="G4" s="30" t="n">
        <v>2000</v>
      </c>
      <c r="H4" s="28" t="inlineStr">
        <is>
          <t>MONITORING</t>
        </is>
      </c>
      <c r="I4" s="30" t="n">
        <v>5098.8</v>
      </c>
      <c r="J4" s="30" t="n">
        <v>0</v>
      </c>
      <c r="K4" s="29" t="inlineStr">
        <is>
          <t>Paper trade for momentum score tracking (88.8/100)</t>
        </is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1">
      <c r="A5" s="28" t="inlineStr">
        <is>
          <t>2026-07-24</t>
        </is>
      </c>
      <c r="B5" s="28" t="inlineStr">
        <is>
          <t>SIEMENS</t>
        </is>
      </c>
      <c r="C5" s="29" t="inlineStr">
        <is>
          <t>Siemens Limited</t>
        </is>
      </c>
      <c r="D5" s="30" t="n">
        <v>3686.3</v>
      </c>
      <c r="E5" s="30" t="n">
        <v>3491.06</v>
      </c>
      <c r="F5" s="30" t="n">
        <v>4076.79</v>
      </c>
      <c r="G5" s="30" t="n">
        <v>2000</v>
      </c>
      <c r="H5" s="28" t="inlineStr">
        <is>
          <t>MONITORING</t>
        </is>
      </c>
      <c r="I5" s="30" t="n">
        <v>3686.3</v>
      </c>
      <c r="J5" s="30" t="n">
        <v>0</v>
      </c>
      <c r="K5" s="29" t="inlineStr">
        <is>
          <t>Paper trade for momentum score tracking (88.2/100)</t>
        </is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1">
      <c r="A6" s="28" t="inlineStr">
        <is>
          <t>2026-07-24</t>
        </is>
      </c>
      <c r="B6" s="28" t="inlineStr">
        <is>
          <t>HAL</t>
        </is>
      </c>
      <c r="C6" s="29" t="inlineStr">
        <is>
          <t>Hindustan Aeronautics</t>
        </is>
      </c>
      <c r="D6" s="30" t="n">
        <v>4592.5</v>
      </c>
      <c r="E6" s="30" t="n">
        <v>4418.04</v>
      </c>
      <c r="F6" s="30" t="n">
        <v>4941.41</v>
      </c>
      <c r="G6" s="30" t="n">
        <v>2000</v>
      </c>
      <c r="H6" s="28" t="inlineStr">
        <is>
          <t>MONITORING</t>
        </is>
      </c>
      <c r="I6" s="30" t="n">
        <v>4592.5</v>
      </c>
      <c r="J6" s="30" t="n">
        <v>0</v>
      </c>
      <c r="K6" s="29" t="inlineStr">
        <is>
          <t>Paper trade for momentum score tracking (85.2/100)</t>
        </is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2026-08-04T12:22:24Z</dcterms:modified>
</cp:coreProperties>
</file>