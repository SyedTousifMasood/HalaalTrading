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edger" sheetId="2" state="visible" r:id="rId2"/>
    <sheet name="Recommendations" sheetId="3" state="visible" r:id="rId3"/>
    <sheet name="Capital" sheetId="4" state="visible" r:id="rId4"/>
    <sheet name="Lo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  <scheme val="minor"/>
    </font>
    <font>
      <name val="Calibri"/>
      <color theme="1"/>
      <sz val="11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</fonts>
  <fills count="8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9" fillId="7" borderId="1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7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12" min="1" max="1"/>
    <col width="22" customWidth="1" style="12" min="2" max="2"/>
    <col width="8.710000000000001" customWidth="1" style="12" min="3" max="26"/>
  </cols>
  <sheetData>
    <row r="1" ht="30" customHeight="1" s="12">
      <c r="A1" s="13" t="inlineStr">
        <is>
          <t>HSTS v1.0 Trading Dashboard</t>
        </is>
      </c>
    </row>
    <row r="3" ht="24" customHeight="1" s="12">
      <c r="A3" s="14" t="inlineStr">
        <is>
          <t>Metric</t>
        </is>
      </c>
      <c r="B3" s="14" t="inlineStr">
        <is>
          <t>Value</t>
        </is>
      </c>
    </row>
    <row r="4">
      <c r="A4" s="15" t="inlineStr">
        <is>
          <t>Total Net Capital Deposited</t>
        </is>
      </c>
      <c r="B4" s="16">
        <f>SUMIF(Capital!B:B, "DEPOSIT", Capital!C:C) - SUMIF(Capital!B:B, "WITHDRAWAL", Capital!C:C)</f>
        <v/>
      </c>
    </row>
    <row r="5">
      <c r="A5" s="15" t="inlineStr">
        <is>
          <t>Lifetime Realized PnL</t>
        </is>
      </c>
      <c r="B5" s="16">
        <f>SUM(Ledger!M:M)</f>
        <v/>
      </c>
    </row>
    <row r="6">
      <c r="A6" s="15" t="inlineStr">
        <is>
          <t>Current Total Portfolio Value</t>
        </is>
      </c>
      <c r="B6" s="16">
        <f>B4 + B5</f>
        <v/>
      </c>
    </row>
    <row r="7">
      <c r="A7" s="15" t="inlineStr">
        <is>
          <t>Capital Deployed in Open Trades</t>
        </is>
      </c>
      <c r="B7" s="16">
        <f>SUMPRODUCT((Ledger!N2:N500="OPEN")*(Ledger!E2:E500)*(Ledger!D2:D500))</f>
        <v/>
      </c>
    </row>
    <row r="8">
      <c r="A8" s="15" t="inlineStr">
        <is>
          <t>Capital Available for Trading</t>
        </is>
      </c>
      <c r="B8" s="16">
        <f>B6 - B7</f>
        <v/>
      </c>
    </row>
    <row r="9">
      <c r="A9" s="15" t="inlineStr">
        <is>
          <t>Win Rate</t>
        </is>
      </c>
      <c r="B9" s="17">
        <f>IF((COUNTIF(Ledger!N:N, "WIN")+COUNTIF(Ledger!N:N, "LOSS"))&gt;0, COUNTIF(Ledger!N:N, "WIN")/(COUNTIF(Ledger!N:N, "WIN")+COUNTIF(Ledger!N:N, "LOSS")), 0)</f>
        <v/>
      </c>
    </row>
    <row r="10">
      <c r="A10" s="15" t="inlineStr">
        <is>
          <t>Total Completed Trades</t>
        </is>
      </c>
      <c r="B10" s="18">
        <f>COUNTIF(Ledger!N:N, "WIN") + COUNTIF(Ledger!N:N, "LOSS")</f>
        <v/>
      </c>
    </row>
    <row r="11">
      <c r="A11" s="15" t="inlineStr">
        <is>
          <t>Active Open Positions</t>
        </is>
      </c>
      <c r="B11" s="18">
        <f>COUNTIF(Ledger!N:N, "OPEN")</f>
        <v/>
      </c>
    </row>
    <row r="12">
      <c r="A12" s="19" t="inlineStr">
        <is>
          <t>Win Trades</t>
        </is>
      </c>
      <c r="B12" s="18">
        <f>COUNTIF(Ledger!N:N, "WIN")</f>
        <v/>
      </c>
    </row>
    <row r="13">
      <c r="A13" s="19" t="inlineStr">
        <is>
          <t>Loss Trades</t>
        </is>
      </c>
      <c r="B13" s="18">
        <f>COUNTIF(Ledger!N:N, "LOSS")</f>
        <v/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1"/>
    <col width="25" customWidth="1" style="12" min="2" max="2"/>
    <col width="16" customWidth="1" style="12" min="3" max="9"/>
    <col width="22" customWidth="1" style="12" min="10" max="10"/>
    <col width="16" customWidth="1" style="12" min="11" max="14"/>
    <col width="30" customWidth="1" style="12" min="15" max="15"/>
    <col width="8.710000000000001" customWidth="1" style="12" min="16" max="26"/>
  </cols>
  <sheetData>
    <row r="1" ht="27.75" customHeight="1" s="1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</row>
    <row r="2">
      <c r="A2" s="10" t="inlineStr">
        <is>
          <t>SUNPHARMA</t>
        </is>
      </c>
      <c r="B2" s="10" t="inlineStr">
        <is>
          <t>SUNPHARMA</t>
        </is>
      </c>
      <c r="C2" s="10" t="inlineStr">
        <is>
          <t>2026-07-21</t>
        </is>
      </c>
      <c r="D2" s="10" t="n">
        <v>1</v>
      </c>
      <c r="E2" s="8" t="n">
        <v>1951</v>
      </c>
      <c r="F2" s="8" t="n">
        <v>1963.199951171875</v>
      </c>
      <c r="G2" s="8" t="n">
        <v>-12.199951171875</v>
      </c>
      <c r="H2" s="8" t="n">
        <v>2091.543361767483</v>
      </c>
      <c r="I2" s="8" t="n">
        <v>1899.028245874071</v>
      </c>
      <c r="J2" s="10" t="inlineStr">
        <is>
          <t>1:2.7</t>
        </is>
      </c>
      <c r="K2" s="0" t="inlineStr">
        <is>
          <t>2026-07-21</t>
        </is>
      </c>
      <c r="L2" s="20" t="n">
        <v>1960</v>
      </c>
      <c r="M2" s="8">
        <f>IF(N2="OPEN", 0, (L2-E2)*D2)</f>
        <v/>
      </c>
      <c r="N2" s="10" t="inlineStr">
        <is>
          <t>WIN</t>
        </is>
      </c>
      <c r="O2" s="10" t="inlineStr">
        <is>
          <t>Auto-synced from Zerodha account | Auto-synced sell from Zerodha account</t>
        </is>
      </c>
    </row>
    <row r="3">
      <c r="A3" s="10" t="inlineStr">
        <is>
          <t>JSWSTEEL</t>
        </is>
      </c>
      <c r="B3" s="10" t="inlineStr">
        <is>
          <t>JSWSTEEL</t>
        </is>
      </c>
      <c r="C3" s="10" t="inlineStr">
        <is>
          <t>2026-07-21</t>
        </is>
      </c>
      <c r="D3" s="10" t="n">
        <v>1</v>
      </c>
      <c r="E3" s="8" t="n">
        <v>1266.4</v>
      </c>
      <c r="F3" s="8" t="n">
        <v>1268.099975585938</v>
      </c>
      <c r="G3" s="8" t="n">
        <v>-1.699975585937409</v>
      </c>
      <c r="H3" s="8" t="n">
        <v>1369.684246737149</v>
      </c>
      <c r="I3" s="8" t="n">
        <v>1217.307840010332</v>
      </c>
      <c r="J3" s="10" t="inlineStr">
        <is>
          <t>1:2.1</t>
        </is>
      </c>
      <c r="K3" s="0" t="inlineStr">
        <is>
          <t>2026-07-21</t>
        </is>
      </c>
      <c r="L3" s="20" t="n">
        <v>1267.1</v>
      </c>
      <c r="M3" s="8">
        <f>IF(N3="OPEN", 0, (L3-E3)*D3)</f>
        <v/>
      </c>
      <c r="N3" s="10" t="inlineStr">
        <is>
          <t>WIN</t>
        </is>
      </c>
      <c r="O3" s="10" t="inlineStr">
        <is>
          <t>Auto-synced from Zerodha account | Auto-synced sell from Zerodha account</t>
        </is>
      </c>
    </row>
    <row r="4">
      <c r="A4" s="10" t="inlineStr">
        <is>
          <t>TECHM</t>
        </is>
      </c>
      <c r="B4" s="10" t="inlineStr">
        <is>
          <t>TECHM</t>
        </is>
      </c>
      <c r="C4" s="10" t="inlineStr">
        <is>
          <t>2026-07-21</t>
        </is>
      </c>
      <c r="D4" s="10" t="n">
        <v>1</v>
      </c>
      <c r="E4" s="8" t="n">
        <v>1589.1</v>
      </c>
      <c r="F4" s="8" t="n">
        <v>1582.699951171875</v>
      </c>
      <c r="G4" s="8" t="n">
        <v>6.400048828124909</v>
      </c>
      <c r="H4" s="8" t="n">
        <v>1785.968673647753</v>
      </c>
      <c r="I4" s="8" t="n">
        <v>1481.065589933936</v>
      </c>
      <c r="J4" s="10" t="inlineStr">
        <is>
          <t>1:1.8</t>
        </is>
      </c>
      <c r="K4" s="0" t="inlineStr">
        <is>
          <t>2026-07-21</t>
        </is>
      </c>
      <c r="L4" s="20" t="n">
        <v>1575</v>
      </c>
      <c r="M4" s="8">
        <f>IF(N4="OPEN", 0, (L4-E4)*D4)</f>
        <v/>
      </c>
      <c r="N4" s="10" t="inlineStr">
        <is>
          <t>WIN</t>
        </is>
      </c>
      <c r="O4" s="10" t="inlineStr">
        <is>
          <t>Auto-synced from Zerodha account | Auto-synced sell from Zerodha account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2" min="1" max="2"/>
    <col width="25" customWidth="1" style="12" min="3" max="3"/>
    <col width="18" customWidth="1" style="12" min="4" max="7"/>
    <col width="22" customWidth="1" style="12" min="8" max="8"/>
    <col width="18" customWidth="1" style="12" min="9" max="9"/>
    <col width="22" customWidth="1" style="12" min="10" max="10"/>
    <col width="24" customWidth="1" style="12" min="11" max="11"/>
    <col width="30" customWidth="1" style="12" min="12" max="12"/>
    <col width="8.710000000000001" customWidth="1" style="12" min="13" max="26"/>
  </cols>
  <sheetData>
    <row r="1" ht="27.75" customHeight="1" s="12">
      <c r="A1" s="9" t="inlineStr">
        <is>
          <t>Date</t>
        </is>
      </c>
      <c r="B1" s="9" t="inlineStr">
        <is>
          <t>Symbol</t>
        </is>
      </c>
      <c r="C1" s="9" t="inlineStr">
        <is>
          <t>Name</t>
        </is>
      </c>
      <c r="D1" s="9" t="inlineStr">
        <is>
          <t>Composite Score</t>
        </is>
      </c>
      <c r="E1" s="9" t="inlineStr">
        <is>
          <t>Target Entry Price</t>
        </is>
      </c>
      <c r="F1" s="9" t="inlineStr">
        <is>
          <t>Initial Stop-Loss</t>
        </is>
      </c>
      <c r="G1" s="9" t="inlineStr">
        <is>
          <t>Profit Target</t>
        </is>
      </c>
      <c r="H1" s="9" t="inlineStr">
        <is>
          <t>Risk-to-Reward Ratio</t>
        </is>
      </c>
      <c r="I1" s="9" t="inlineStr">
        <is>
          <t>Recommended Qty</t>
        </is>
      </c>
      <c r="J1" s="9" t="inlineStr">
        <is>
          <t>Recommended Allocation</t>
        </is>
      </c>
      <c r="K1" s="9" t="inlineStr">
        <is>
          <t>Execution Status</t>
        </is>
      </c>
      <c r="L1" s="9" t="inlineStr">
        <is>
          <t>Notes</t>
        </is>
      </c>
    </row>
    <row r="2">
      <c r="A2" s="0" t="inlineStr">
        <is>
          <t>2026-07-21</t>
        </is>
      </c>
      <c r="B2" s="0" t="inlineStr">
        <is>
          <t>JSWSTEEL</t>
        </is>
      </c>
      <c r="C2" s="0" t="inlineStr">
        <is>
          <t>JSW Steel Limited</t>
        </is>
      </c>
      <c r="D2" s="0" t="inlineStr">
        <is>
          <t>96/100</t>
        </is>
      </c>
      <c r="E2" s="20" t="n">
        <v>1267.400024414062</v>
      </c>
      <c r="F2" s="20" t="n">
        <v>1217.533463494685</v>
      </c>
      <c r="G2" s="20" t="n">
        <v>1367.133146252818</v>
      </c>
      <c r="H2" s="0" t="inlineStr">
        <is>
          <t>1:2.0</t>
        </is>
      </c>
      <c r="I2" s="0" t="n">
        <v>1</v>
      </c>
      <c r="J2" s="20" t="n">
        <v>1267.400024414062</v>
      </c>
      <c r="K2" s="0" t="inlineStr">
        <is>
          <t>SKIPPED_BEARISH_REGIME</t>
        </is>
      </c>
      <c r="L2" s="0" t="inlineStr">
        <is>
          <t>Scanned under BEARISH regime</t>
        </is>
      </c>
    </row>
    <row r="3">
      <c r="A3" s="0" t="inlineStr">
        <is>
          <t>2026-07-21</t>
        </is>
      </c>
      <c r="B3" s="0" t="inlineStr">
        <is>
          <t>LUPIN</t>
        </is>
      </c>
      <c r="C3" s="0" t="inlineStr">
        <is>
          <t>Lupin Limited</t>
        </is>
      </c>
      <c r="D3" s="0" t="inlineStr">
        <is>
          <t>96/100</t>
        </is>
      </c>
      <c r="E3" s="20" t="n">
        <v>2514.800048828125</v>
      </c>
      <c r="F3" s="20" t="n">
        <v>2414.086713938525</v>
      </c>
      <c r="G3" s="20" t="n">
        <v>2716.226718607325</v>
      </c>
      <c r="H3" s="0" t="inlineStr">
        <is>
          <t>1:2.0</t>
        </is>
      </c>
      <c r="I3" s="0" t="n">
        <v>0</v>
      </c>
      <c r="J3" s="20" t="n">
        <v>0</v>
      </c>
      <c r="K3" s="0" t="inlineStr">
        <is>
          <t>SKIPPED_BEARISH_REGIME</t>
        </is>
      </c>
      <c r="L3" s="0" t="inlineStr">
        <is>
          <t>Scanned under BEARISH regime</t>
        </is>
      </c>
    </row>
    <row r="4">
      <c r="A4" s="0" t="inlineStr">
        <is>
          <t>2026-07-21</t>
        </is>
      </c>
      <c r="B4" s="0" t="inlineStr">
        <is>
          <t>ULTRACEMCO</t>
        </is>
      </c>
      <c r="C4" s="0" t="inlineStr">
        <is>
          <t>UltraTech Cement Limited</t>
        </is>
      </c>
      <c r="D4" s="0" t="inlineStr">
        <is>
          <t>94/100</t>
        </is>
      </c>
      <c r="E4" s="20" t="n">
        <v>12094</v>
      </c>
      <c r="F4" s="20" t="n">
        <v>11658.42857142857</v>
      </c>
      <c r="G4" s="20" t="n">
        <v>12965.14285714286</v>
      </c>
      <c r="H4" s="0" t="inlineStr">
        <is>
          <t>1:2.0</t>
        </is>
      </c>
      <c r="I4" s="0" t="n">
        <v>0</v>
      </c>
      <c r="J4" s="20" t="n">
        <v>0</v>
      </c>
      <c r="K4" s="0" t="inlineStr">
        <is>
          <t>SKIPPED_BEARISH_REGIME</t>
        </is>
      </c>
      <c r="L4" s="0" t="inlineStr">
        <is>
          <t>Scanned under BEARISH regime</t>
        </is>
      </c>
    </row>
    <row r="5">
      <c r="A5" s="0" t="inlineStr">
        <is>
          <t>2026-07-21</t>
        </is>
      </c>
      <c r="B5" s="0" t="inlineStr">
        <is>
          <t>NAVINFLUOR</t>
        </is>
      </c>
      <c r="C5" s="0" t="inlineStr">
        <is>
          <t>Navin Fluorine International Limited</t>
        </is>
      </c>
      <c r="D5" s="0" t="inlineStr">
        <is>
          <t>94/100</t>
        </is>
      </c>
      <c r="E5" s="20" t="n">
        <v>7882</v>
      </c>
      <c r="F5" s="20" t="n">
        <v>7455.142857142857</v>
      </c>
      <c r="G5" s="20" t="n">
        <v>8735.714285714286</v>
      </c>
      <c r="H5" s="0" t="inlineStr">
        <is>
          <t>1:2.0</t>
        </is>
      </c>
      <c r="I5" s="0" t="n">
        <v>0</v>
      </c>
      <c r="J5" s="20" t="n">
        <v>0</v>
      </c>
      <c r="K5" s="0" t="inlineStr">
        <is>
          <t>SKIPPED_BEARISH_REGIME</t>
        </is>
      </c>
      <c r="L5" s="0" t="inlineStr">
        <is>
          <t>Scanned under BEARISH regime</t>
        </is>
      </c>
    </row>
    <row r="6">
      <c r="A6" s="0" t="inlineStr">
        <is>
          <t>2026-07-21</t>
        </is>
      </c>
      <c r="B6" s="0" t="inlineStr">
        <is>
          <t>ERIS</t>
        </is>
      </c>
      <c r="C6" s="0" t="inlineStr">
        <is>
          <t>Eris Lifesciences Limited</t>
        </is>
      </c>
      <c r="D6" s="0" t="inlineStr">
        <is>
          <t>94/100</t>
        </is>
      </c>
      <c r="E6" s="20" t="n">
        <v>1470</v>
      </c>
      <c r="F6" s="20" t="n">
        <v>1391.314226422991</v>
      </c>
      <c r="G6" s="20" t="n">
        <v>1627.371547154018</v>
      </c>
      <c r="H6" s="0" t="inlineStr">
        <is>
          <t>1:2.0</t>
        </is>
      </c>
      <c r="I6" s="0" t="n">
        <v>1</v>
      </c>
      <c r="J6" s="20" t="n">
        <v>1470</v>
      </c>
      <c r="K6" s="0" t="inlineStr">
        <is>
          <t>SKIPPED_BEARISH_REGIME</t>
        </is>
      </c>
      <c r="L6" s="0" t="inlineStr">
        <is>
          <t>Scanned under BEARISH regime</t>
        </is>
      </c>
    </row>
    <row r="7">
      <c r="A7" s="0" t="inlineStr">
        <is>
          <t>2026-07-22</t>
        </is>
      </c>
      <c r="B7" s="0" t="inlineStr">
        <is>
          <t>LAURUSLABS</t>
        </is>
      </c>
      <c r="C7" s="0" t="inlineStr">
        <is>
          <t>Laurus Labs Limited</t>
        </is>
      </c>
      <c r="D7" s="0" t="inlineStr">
        <is>
          <t>92/100</t>
        </is>
      </c>
      <c r="E7" s="20" t="n">
        <v>1592.099975585938</v>
      </c>
      <c r="F7" s="20" t="n">
        <v>1509.742850167411</v>
      </c>
      <c r="G7" s="20" t="n">
        <v>1756.814226422991</v>
      </c>
      <c r="H7" s="0" t="inlineStr">
        <is>
          <t>1:2.0</t>
        </is>
      </c>
      <c r="I7" s="0" t="n">
        <v>1</v>
      </c>
      <c r="J7" s="20" t="n">
        <v>1592.099975585938</v>
      </c>
      <c r="K7" s="0" t="inlineStr">
        <is>
          <t>SKIPPED_BEARISH_REGIME</t>
        </is>
      </c>
      <c r="L7" s="0" t="inlineStr">
        <is>
          <t>Scanned under BEARISH regime</t>
        </is>
      </c>
    </row>
    <row r="8">
      <c r="A8" s="0" t="inlineStr">
        <is>
          <t>2026-07-22</t>
        </is>
      </c>
      <c r="B8" s="0" t="inlineStr">
        <is>
          <t>JSWSTEEL</t>
        </is>
      </c>
      <c r="C8" s="0" t="inlineStr">
        <is>
          <t>JSW Steel Limited</t>
        </is>
      </c>
      <c r="D8" s="0" t="inlineStr">
        <is>
          <t>88/100</t>
        </is>
      </c>
      <c r="E8" s="20" t="n">
        <v>1266.699951171875</v>
      </c>
      <c r="F8" s="20" t="n">
        <v>1218.019111513658</v>
      </c>
      <c r="G8" s="20" t="n">
        <v>1364.061630488309</v>
      </c>
      <c r="H8" s="0" t="inlineStr">
        <is>
          <t>1:2.0</t>
        </is>
      </c>
      <c r="I8" s="0" t="n">
        <v>1</v>
      </c>
      <c r="J8" s="20" t="n">
        <v>1266.699951171875</v>
      </c>
      <c r="K8" s="0" t="inlineStr">
        <is>
          <t>SKIPPED_BEARISH_REGIME</t>
        </is>
      </c>
      <c r="L8" s="0" t="inlineStr">
        <is>
          <t>Scanned under BEARISH regime</t>
        </is>
      </c>
    </row>
    <row r="9">
      <c r="A9" s="0" t="inlineStr">
        <is>
          <t>2026-07-22</t>
        </is>
      </c>
      <c r="B9" s="0" t="inlineStr">
        <is>
          <t>SIEMENS</t>
        </is>
      </c>
      <c r="C9" s="0" t="inlineStr">
        <is>
          <t>Siemens Limited</t>
        </is>
      </c>
      <c r="D9" s="0" t="inlineStr">
        <is>
          <t>88/100</t>
        </is>
      </c>
      <c r="E9" s="20" t="n">
        <v>3692</v>
      </c>
      <c r="F9" s="20" t="n">
        <v>3500.728620256697</v>
      </c>
      <c r="G9" s="20" t="n">
        <v>4074.542759486607</v>
      </c>
      <c r="H9" s="0" t="inlineStr">
        <is>
          <t>1:2.0</t>
        </is>
      </c>
      <c r="I9" s="0" t="n">
        <v>0</v>
      </c>
      <c r="J9" s="20" t="n">
        <v>0</v>
      </c>
      <c r="K9" s="0" t="inlineStr">
        <is>
          <t>SKIPPED_BEARISH_REGIME</t>
        </is>
      </c>
      <c r="L9" s="0" t="inlineStr">
        <is>
          <t>Scanned under BEARISH regime</t>
        </is>
      </c>
    </row>
    <row r="10">
      <c r="A10" s="0" t="inlineStr">
        <is>
          <t>2026-07-22</t>
        </is>
      </c>
      <c r="B10" s="0" t="inlineStr">
        <is>
          <t>SHREECEM</t>
        </is>
      </c>
      <c r="C10" s="0" t="inlineStr">
        <is>
          <t>Shree Cement Limited</t>
        </is>
      </c>
      <c r="D10" s="0" t="inlineStr">
        <is>
          <t>88/100</t>
        </is>
      </c>
      <c r="E10" s="20" t="n">
        <v>27030</v>
      </c>
      <c r="F10" s="20" t="n">
        <v>25937.91632820832</v>
      </c>
      <c r="G10" s="20" t="n">
        <v>29214.16734358335</v>
      </c>
      <c r="H10" s="0" t="inlineStr">
        <is>
          <t>1:2.0</t>
        </is>
      </c>
      <c r="I10" s="0" t="n">
        <v>0</v>
      </c>
      <c r="J10" s="20" t="n">
        <v>0</v>
      </c>
      <c r="K10" s="0" t="inlineStr">
        <is>
          <t>SKIPPED_BEARISH_REGIME</t>
        </is>
      </c>
      <c r="L10" s="0" t="inlineStr">
        <is>
          <t>Scanned under BEARISH regime</t>
        </is>
      </c>
    </row>
    <row r="11">
      <c r="A11" t="inlineStr">
        <is>
          <t>2026-07-22</t>
        </is>
      </c>
      <c r="B11" t="inlineStr">
        <is>
          <t>ULTRACEMCO</t>
        </is>
      </c>
      <c r="C11" t="inlineStr">
        <is>
          <t>UltraTech Cement Limited</t>
        </is>
      </c>
      <c r="D11" t="inlineStr">
        <is>
          <t>86/100</t>
        </is>
      </c>
      <c r="E11" s="20" t="n">
        <v>12071</v>
      </c>
      <c r="F11" s="20" t="n">
        <v>11628.85714285714</v>
      </c>
      <c r="G11" s="20" t="n">
        <v>12955.28571428571</v>
      </c>
      <c r="H11" t="inlineStr">
        <is>
          <t>1:2.0</t>
        </is>
      </c>
      <c r="I11" t="n">
        <v>0</v>
      </c>
      <c r="J11" s="20" t="n">
        <v>0</v>
      </c>
      <c r="K11" t="inlineStr">
        <is>
          <t>SKIPPED_BEARISH_REGIME</t>
        </is>
      </c>
      <c r="L11" t="inlineStr">
        <is>
          <t>Scanned under BEARISH regime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2"/>
    <col width="18" customWidth="1" style="12" min="3" max="3"/>
    <col width="40" customWidth="1" style="12" min="4" max="4"/>
    <col width="8.710000000000001" customWidth="1" style="12" min="5" max="2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  <row r="2">
      <c r="A2" s="10" t="inlineStr">
        <is>
          <t>21-7-2026</t>
        </is>
      </c>
      <c r="B2" s="10" t="inlineStr">
        <is>
          <t>Deposit</t>
        </is>
      </c>
      <c r="C2" s="10" t="n">
        <v>10000</v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2" min="1" max="1"/>
    <col width="12" customWidth="1" style="12" min="2" max="2"/>
    <col width="80" customWidth="1" style="12" min="3" max="3"/>
    <col width="8.710000000000001" customWidth="1" style="12" min="4" max="26"/>
  </cols>
  <sheetData>
    <row r="1">
      <c r="A1" s="11" t="inlineStr">
        <is>
          <t>Timestamp</t>
        </is>
      </c>
      <c r="B1" s="11" t="inlineStr">
        <is>
          <t>Level</t>
        </is>
      </c>
      <c r="C1" s="11" t="inlineStr">
        <is>
          <t>Message</t>
        </is>
      </c>
    </row>
    <row r="2">
      <c r="A2" s="10" t="inlineStr">
        <is>
          <t>2026-07-21 12:48:41</t>
        </is>
      </c>
      <c r="B2" s="10" t="inlineStr">
        <is>
          <t>INFO</t>
        </is>
      </c>
      <c r="C2" s="10" t="inlineStr">
        <is>
          <t>Recorded buy order: 1 shares of SUNPHARMA at 1951</t>
        </is>
      </c>
    </row>
    <row r="3">
      <c r="A3" s="10" t="inlineStr">
        <is>
          <t>2026-07-21 12:48:42</t>
        </is>
      </c>
      <c r="B3" s="10" t="inlineStr">
        <is>
          <t>INFO</t>
        </is>
      </c>
      <c r="C3" s="10" t="inlineStr">
        <is>
          <t>Recorded buy order: 1 shares of JSWSTEEL at 1266.4</t>
        </is>
      </c>
    </row>
    <row r="4">
      <c r="A4" s="10" t="inlineStr">
        <is>
          <t>2026-07-21 12:48:42</t>
        </is>
      </c>
      <c r="B4" s="10" t="inlineStr">
        <is>
          <t>INFO</t>
        </is>
      </c>
      <c r="C4" s="10" t="inlineStr">
        <is>
          <t>Recorded buy order: 1 shares of TECHM at 1589.1</t>
        </is>
      </c>
    </row>
    <row r="5">
      <c r="A5" s="0" t="inlineStr">
        <is>
          <t>2026-07-21 15:33:36</t>
        </is>
      </c>
      <c r="B5" s="0" t="inlineStr">
        <is>
          <t>INFO</t>
        </is>
      </c>
      <c r="C5" s="0" t="inlineStr">
        <is>
          <t>Closed trade: SUNPHARMA exited at 1960 (WIN)</t>
        </is>
      </c>
    </row>
    <row r="6">
      <c r="A6" s="0" t="inlineStr">
        <is>
          <t>2026-07-21 15:33:37</t>
        </is>
      </c>
      <c r="B6" s="0" t="inlineStr">
        <is>
          <t>INFO</t>
        </is>
      </c>
      <c r="C6" s="0" t="inlineStr">
        <is>
          <t>Closed trade: TECHM exited at 1575 (WIN)</t>
        </is>
      </c>
    </row>
    <row r="7">
      <c r="A7" s="0" t="inlineStr">
        <is>
          <t>2026-07-21 15:33:38</t>
        </is>
      </c>
      <c r="B7" s="0" t="inlineStr">
        <is>
          <t>INFO</t>
        </is>
      </c>
      <c r="C7" s="0" t="inlineStr">
        <is>
          <t>Closed trade: JSWSTEEL exited at 1267.1 (WIN)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2026-07-22T03:51:36Z</dcterms:modified>
</cp:coreProperties>
</file>