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ystem_Playbook" sheetId="1" r:id="rId4"/>
    <sheet state="visible" name="Dashboard" sheetId="2" r:id="rId5"/>
    <sheet state="visible" name="Ledger" sheetId="3" r:id="rId6"/>
    <sheet state="visible" name="Recommendations" sheetId="4" r:id="rId7"/>
    <sheet state="visible" name="Capital" sheetId="5" r:id="rId8"/>
    <sheet state="visible" name="Logs" sheetId="6" r:id="rId9"/>
    <sheet state="visible" name="Paper_Trades" sheetId="7" r:id="rId10"/>
    <sheet state="visible" name="HelperData" sheetId="8" r:id="rId11"/>
  </sheets>
  <definedNames/>
  <calcPr/>
  <extLst>
    <ext uri="GoogleSheetsCustomDataVersion2">
      <go:sheetsCustomData xmlns:go="http://customooxmlschemas.google.com/" r:id="rId12" roundtripDataChecksum="fhe1EEY3OYgpIKvNb3EIvkdu8uZ+vqL8KfYCcWMKwFY="/>
    </ext>
  </extLst>
</workbook>
</file>

<file path=xl/sharedStrings.xml><?xml version="1.0" encoding="utf-8"?>
<sst xmlns="http://schemas.openxmlformats.org/spreadsheetml/2006/main" count="1289" uniqueCount="640">
  <si>
    <t>HSTS - HALAL SWING TRADING SYSTEM PLAYBOOK</t>
  </si>
  <si>
    <t>Date</t>
  </si>
  <si>
    <t>Symbol</t>
  </si>
  <si>
    <t>Name</t>
  </si>
  <si>
    <t>Composite Score</t>
  </si>
  <si>
    <t>Target Entry Price</t>
  </si>
  <si>
    <t>Initial Stop-Loss</t>
  </si>
  <si>
    <t>Profit Target</t>
  </si>
  <si>
    <t>Entry Date</t>
  </si>
  <si>
    <t>Risk-to-Reward Ratio</t>
  </si>
  <si>
    <t>Qty</t>
  </si>
  <si>
    <t>Recommended Qty</t>
  </si>
  <si>
    <t>Recommended Allocation</t>
  </si>
  <si>
    <t>Buy Price</t>
  </si>
  <si>
    <t>Execution Status</t>
  </si>
  <si>
    <t>Suggested Entry</t>
  </si>
  <si>
    <t>Notes</t>
  </si>
  <si>
    <t>Slippage/Deviation</t>
  </si>
  <si>
    <t>1. SYSTEM OVERVIEW</t>
  </si>
  <si>
    <t>Target Price</t>
  </si>
  <si>
    <t>Stop Loss</t>
  </si>
  <si>
    <t>Exit Date</t>
  </si>
  <si>
    <t>2026-07-21</t>
  </si>
  <si>
    <t>Exit Price</t>
  </si>
  <si>
    <t>JSWSTEEL</t>
  </si>
  <si>
    <t>JSW Steel Limited</t>
  </si>
  <si>
    <t>96/100</t>
  </si>
  <si>
    <t>Realized PnL</t>
  </si>
  <si>
    <t>System Type</t>
  </si>
  <si>
    <t>Status</t>
  </si>
  <si>
    <t>1:2.0</t>
  </si>
  <si>
    <t>Trade Type</t>
  </si>
  <si>
    <t>SKIPPED_BEARISH_REGIME</t>
  </si>
  <si>
    <t>Rule-based quantitative Swing Trading system optimized for momentum setups.</t>
  </si>
  <si>
    <t>Scanned under BEARISH regime</t>
  </si>
  <si>
    <t>Current Price</t>
  </si>
  <si>
    <t>Unrealized PnL</t>
  </si>
  <si>
    <t>Profit/Loss %</t>
  </si>
  <si>
    <t>LUPIN</t>
  </si>
  <si>
    <t>Lupin Limited</t>
  </si>
  <si>
    <t>SUNPHARMA</t>
  </si>
  <si>
    <t>Asset Class</t>
  </si>
  <si>
    <t>Indian Equities listed on NSE and BSE.</t>
  </si>
  <si>
    <t>ULTRACEMCO</t>
  </si>
  <si>
    <t>1:2.7</t>
  </si>
  <si>
    <t>UltraTech Cement Limited</t>
  </si>
  <si>
    <t>94/100</t>
  </si>
  <si>
    <t>Target Universe</t>
  </si>
  <si>
    <t>Sharia-compliant stocks with high liquidity (Market Cap &gt; ₹500 Cr, Average Daily Volume &gt; 100,000).</t>
  </si>
  <si>
    <t>NAVINFLUOR</t>
  </si>
  <si>
    <t>Navin Fluorine International Limited</t>
  </si>
  <si>
    <t>Trading Regime</t>
  </si>
  <si>
    <t>Adaptive momentum filters powered by custom trend, volatility, volume, and levels weights.</t>
  </si>
  <si>
    <t>ERIS</t>
  </si>
  <si>
    <t>Eris Lifesciences Limited</t>
  </si>
  <si>
    <t>WIN</t>
  </si>
  <si>
    <t>Auto-synced from Zerodha account | Auto-synced sell from Zerodha account</t>
  </si>
  <si>
    <t>SWING</t>
  </si>
  <si>
    <t>2. SHARIA COMPLIANCE RULES (AAOIFI STANDARDS)</t>
  </si>
  <si>
    <t>2026-07-22</t>
  </si>
  <si>
    <t>Manual execution shift requested by user</t>
  </si>
  <si>
    <t>Sector Exclusions</t>
  </si>
  <si>
    <t>Conventional Financial Services (Banks, Credit Services, Insurance), Tobacco, Alcohol, Brewers/Wineries, Gambling.</t>
  </si>
  <si>
    <t>SONACOMS</t>
  </si>
  <si>
    <t>Sona BLW Precision Forgings Limited</t>
  </si>
  <si>
    <t>92/100</t>
  </si>
  <si>
    <t>1:2.1</t>
  </si>
  <si>
    <t>Debt Ratio Limit</t>
  </si>
  <si>
    <t>Total Long Term &amp; Short Term Debt / Total Assets must be strictly less than 33%.</t>
  </si>
  <si>
    <t>TECHM</t>
  </si>
  <si>
    <t>Cash Ratio Limit</t>
  </si>
  <si>
    <t>Cash And Cash Equivalents &amp; Short Term Investments / Total Assets must be strictly less than 33%.</t>
  </si>
  <si>
    <t>1:1.8</t>
  </si>
  <si>
    <t>HAL</t>
  </si>
  <si>
    <t>Hindustan Aeronautics Limited</t>
  </si>
  <si>
    <t>90/100</t>
  </si>
  <si>
    <t>LOSS</t>
  </si>
  <si>
    <t>Receivables Ratio</t>
  </si>
  <si>
    <t>Net Receivables / Total Assets must be strictly less than 49%.</t>
  </si>
  <si>
    <t>SHREECEM</t>
  </si>
  <si>
    <t>Shree Cement Limited</t>
  </si>
  <si>
    <t>1:1.7</t>
  </si>
  <si>
    <t>2026-08-05</t>
  </si>
  <si>
    <t>Auto-synced from Zerodha account | [2026-07-28] State 4 (Cash Only): Hold position, maintain pre-set stop-loss, do not average down. | Auto-synced sell from Zerodha account</t>
  </si>
  <si>
    <t>2026-07-27</t>
  </si>
  <si>
    <t>Non-Permissible Income</t>
  </si>
  <si>
    <t>Tech Mahindra Limited</t>
  </si>
  <si>
    <t>Interest and Haram non-operating income / Total Revenue must be strictly less than 5%.</t>
  </si>
  <si>
    <t>76/100</t>
  </si>
  <si>
    <t>PENDING</t>
  </si>
  <si>
    <t>Scanned under STATE 3: Capitulation Bottom</t>
  </si>
  <si>
    <t>2026-08-13</t>
  </si>
  <si>
    <t>2026-07-30</t>
  </si>
  <si>
    <t>BERGEPAINT</t>
  </si>
  <si>
    <t>Berger Paints India Limited</t>
  </si>
  <si>
    <t>After Market Order (AMO) placed on 2026-07-30 | GTT Trigger ID: 329793870</t>
  </si>
  <si>
    <t>3. RISK &amp; POSITION SIZING CONTROLS</t>
  </si>
  <si>
    <t>1:2.6</t>
  </si>
  <si>
    <t>2026-08-04</t>
  </si>
  <si>
    <t>NESTLEIND</t>
  </si>
  <si>
    <t>Nestle India Limited</t>
  </si>
  <si>
    <t>100/100</t>
  </si>
  <si>
    <t>ACTIVE</t>
  </si>
  <si>
    <t>Intraday recommendation for 2026-08-04</t>
  </si>
  <si>
    <t>Capital Control</t>
  </si>
  <si>
    <t>Position sizing is dynamically calculated based on the actual Capital Available for Trading in this journal.</t>
  </si>
  <si>
    <t>2026-07-31</t>
  </si>
  <si>
    <t>PIDILITIND</t>
  </si>
  <si>
    <t>Pidilite Industries Limited</t>
  </si>
  <si>
    <t>2026-08-12</t>
  </si>
  <si>
    <t>Auto-synced from Zerodha holdings | Auto-synced sell from Zerodha account</t>
  </si>
  <si>
    <t>Allocation Cap</t>
  </si>
  <si>
    <t>Maximum capital allocated per trade is strictly capped at 20% of your total available account balance.</t>
  </si>
  <si>
    <t>ADVANCE</t>
  </si>
  <si>
    <t>Advanced Enzyme Technologies Limited</t>
  </si>
  <si>
    <t>2026-08-03</t>
  </si>
  <si>
    <t>2026-08-11</t>
  </si>
  <si>
    <t>OIL</t>
  </si>
  <si>
    <t>Oil India Limited</t>
  </si>
  <si>
    <t>Swing Scanner (STATE 1: Macro Bullish)</t>
  </si>
  <si>
    <t>Buy actual fill price matching Zerodha (corrected from 125.01) | Auto-synced sell from Zerodha account</t>
  </si>
  <si>
    <t>Stop Loss (SL)</t>
  </si>
  <si>
    <t>Calculated dynamically using volatility (ATR / 200 EMA bounds) to guarantee downside protection.</t>
  </si>
  <si>
    <t>OLECTRA</t>
  </si>
  <si>
    <t>Olectra Greentech Limited</t>
  </si>
  <si>
    <t>Target Price (T1)</t>
  </si>
  <si>
    <t>Calculated using volatility metrics to target a minimum Risk-to-Reward ratio of 1:2.0.</t>
  </si>
  <si>
    <t>Intraday placement. GTT Trigger: 330204955 | Position closed via Stop-Loss GTT trigger. Actual Buy Filled at INR 1523.00</t>
  </si>
  <si>
    <t>INTRADAY</t>
  </si>
  <si>
    <t>AKUMS</t>
  </si>
  <si>
    <t>Market Regime Filter</t>
  </si>
  <si>
    <t>Bullish: Nifty 50 &gt; 200 EMA (Trades permitted). Bearish: Nifty 50 &lt; 200 EMA (Long entries strictly skipped).</t>
  </si>
  <si>
    <t>Intraday placement. GTT Trigger: 330204926 | Position closed via Stop-Loss GTT trigger.</t>
  </si>
  <si>
    <t>CONCORDBIO</t>
  </si>
  <si>
    <t>Concord Biotech Limited</t>
  </si>
  <si>
    <t>VISAKAIND</t>
  </si>
  <si>
    <t>2026-08-10</t>
  </si>
  <si>
    <t>CHENNPETRO</t>
  </si>
  <si>
    <t>Chennai Petroleum Corporation Limited</t>
  </si>
  <si>
    <t>Swing AMO placement. GTT Trigger: 330406766 | Auto-synced sell from Zerodha account</t>
  </si>
  <si>
    <t>4. SYSTEM EXECUTION COMMANDS</t>
  </si>
  <si>
    <t>EXCELSOFT</t>
  </si>
  <si>
    <t>POLYMED</t>
  </si>
  <si>
    <t>Poly Medicure Limited</t>
  </si>
  <si>
    <t>State-dependent: 20% max in State 1 (Macro Bullish); 10% max in State 2 (Bear Relief Rally) &amp; State 3 (Capitulation Bottom); 0% in State 4 (Cash Only).</t>
  </si>
  <si>
    <t>Swing AMO placement. GTT Trigger: 330406774 | Auto-synced sell from Zerodha account</t>
  </si>
  <si>
    <t>Intraday Scanner (STATE 1: Macro Bullish)</t>
  </si>
  <si>
    <t>SONATSOFTW</t>
  </si>
  <si>
    <t>DEVYANI</t>
  </si>
  <si>
    <t>Devyani International Limited</t>
  </si>
  <si>
    <t>EOD Sync</t>
  </si>
  <si>
    <t>88/100</t>
  </si>
  <si>
    <t>Run: py main.py sync-zerodha-orders  (Auto-syncs filled orders from Zerodha Kite, updates Ledger and Capital sheet)</t>
  </si>
  <si>
    <t>Swing Trade placement. GTT Trigger: 330502180 | Auto-synced sell from Zerodha account</t>
  </si>
  <si>
    <t>IFGLEXPOR</t>
  </si>
  <si>
    <t>2026-08-06</t>
  </si>
  <si>
    <t>IPCALAB</t>
  </si>
  <si>
    <t>BSE Scan Expansion</t>
  </si>
  <si>
    <t>IPCA Laboratories Limited</t>
  </si>
  <si>
    <t>86/100</t>
  </si>
  <si>
    <t>Run: py scratch/scan_all_bse.py  (Scans BSE equities to expand the Sharia-compliant universe)</t>
  </si>
  <si>
    <t>2026-08-18</t>
  </si>
  <si>
    <t>Swing AMO placement. GTT Trigger: 330580516</t>
  </si>
  <si>
    <t>GRAPHITE</t>
  </si>
  <si>
    <t>Graphite India Limited</t>
  </si>
  <si>
    <t>SAPPHIRE</t>
  </si>
  <si>
    <t>85/100</t>
  </si>
  <si>
    <t>Adaptive 4-State Engine: State 1 (Nifty &gt; 200 EMA); State 2 (Nifty &lt; 200 EMA, Nifty &gt; 20 EMA, Breadth &gt; 40%); State 3 (Nifty &lt; 200 EMA, RSI &lt;= 35); State 4 (All other Bearish states).</t>
  </si>
  <si>
    <t>HSTS v1.0 Trading Dashboard</t>
  </si>
  <si>
    <t>Swing AMO placement. GTT Trigger: 330580530 | Auto-synced sell from Zerodha account</t>
  </si>
  <si>
    <t>AJANTPHARM</t>
  </si>
  <si>
    <t>Ajanta Pharma Limited</t>
  </si>
  <si>
    <t>Broker Integration</t>
  </si>
  <si>
    <t>83/100</t>
  </si>
  <si>
    <t>Uses custom Zerodha Web Adapter (totp_secret &amp; enctoken verification) to execute zero-cost trades without subscription.</t>
  </si>
  <si>
    <t>AEROENTER</t>
  </si>
  <si>
    <t>Swing AMO placement. GTT Trigger: 330580552</t>
  </si>
  <si>
    <t>CLEAN</t>
  </si>
  <si>
    <t>Clean Science and Technology Limited</t>
  </si>
  <si>
    <t>Last updated on : 2026-08-21 16:55:34</t>
  </si>
  <si>
    <t>TATASTEEL</t>
  </si>
  <si>
    <t>HARSHA</t>
  </si>
  <si>
    <t>Harsha Engineers International Limited</t>
  </si>
  <si>
    <t>Metric</t>
  </si>
  <si>
    <t>Intraday AMO placement. GTT Trigger: 330580570 | Closed via GTT Stop Loss.</t>
  </si>
  <si>
    <t>Value</t>
  </si>
  <si>
    <t>Invested</t>
  </si>
  <si>
    <t>Live Value</t>
  </si>
  <si>
    <t>Target Reach</t>
  </si>
  <si>
    <t>Holding %</t>
  </si>
  <si>
    <t>SCHNEIDER</t>
  </si>
  <si>
    <t>Schneider Electric Infrastructure Limited</t>
  </si>
  <si>
    <t>AMO Swing Trade. GTT Trigger: 331229921</t>
  </si>
  <si>
    <t>Global Portfolio Metrics</t>
  </si>
  <si>
    <t>CONFIPET</t>
  </si>
  <si>
    <t>Confidence Petroleum India Limited</t>
  </si>
  <si>
    <t>BRITANNIA</t>
  </si>
  <si>
    <t>Britannia Industries Limited</t>
  </si>
  <si>
    <t>AMO Swing Trade. GTT Trigger: 10002 | Auto-synced sell from Zerodha account</t>
  </si>
  <si>
    <t>AVALON</t>
  </si>
  <si>
    <t>Avalon Technologies Limited</t>
  </si>
  <si>
    <t>BEL</t>
  </si>
  <si>
    <t>1:1.3</t>
  </si>
  <si>
    <t>CLEAN (4 Qty, ₹3,225)</t>
  </si>
  <si>
    <t>Total Net Capital Deposited</t>
  </si>
  <si>
    <t>Bharat Electronics Limited</t>
  </si>
  <si>
    <t>OPEN</t>
  </si>
  <si>
    <t>Auto-synced from Zerodha account</t>
  </si>
  <si>
    <t>CGPOWER</t>
  </si>
  <si>
    <t>CG Power and Industrial Solutions Limited</t>
  </si>
  <si>
    <t>MRPL</t>
  </si>
  <si>
    <t>OIL (4 Qty, ₹1,892)</t>
  </si>
  <si>
    <t>2026-08-20</t>
  </si>
  <si>
    <t>Lifetime Realized PnL</t>
  </si>
  <si>
    <t>Auto-added SWING via AI recommendation. SL: 165.17, TP: 213.09 (Orders pending 5:30 AM due to Zerodha AMO maintenance).</t>
  </si>
  <si>
    <t>IGL</t>
  </si>
  <si>
    <t>Indraprastha Gas Limited</t>
  </si>
  <si>
    <t>JAIBALAJI</t>
  </si>
  <si>
    <t>LENSKART</t>
  </si>
  <si>
    <t>DRREDDY</t>
  </si>
  <si>
    <t>Dr. Reddy's Laboratories Limited</t>
  </si>
  <si>
    <t>Auto-added SWING via AI recommendation. SL: 560.39, TP: 646.81 (Orders pending 5:30 AM due to Zerodha AMO maintenance).</t>
  </si>
  <si>
    <t>JAIBALAJI (8 Qty, ₹551)</t>
  </si>
  <si>
    <t>Lifetime Realized P/L Percentage</t>
  </si>
  <si>
    <t>TATACOMM</t>
  </si>
  <si>
    <t>Tata Communications Limited</t>
  </si>
  <si>
    <t>IOLCP</t>
  </si>
  <si>
    <t>Auto-added SWING via AI recommendation. SL: 442.9, TP: 525.25 (Orders pending 5:30 AM due to Zerodha AMO maintenance).</t>
  </si>
  <si>
    <t>IOLCP (10 Qty, ₹1,660)</t>
  </si>
  <si>
    <t>AARTIIND</t>
  </si>
  <si>
    <t>5. TARGET UNIVERSE &amp; LIQUIDITY FILTERS</t>
  </si>
  <si>
    <t>Current Total Portfolio Value</t>
  </si>
  <si>
    <t>2026-08-14</t>
  </si>
  <si>
    <t>Auto-added INTRADAY via AI recommendation. SL: 517.1, TP: 562.65 (Orders pending 5:30 AM due to Zerodha AMO maintenance). | Auto-synced from Zerodha account | Auto-synced sell from Zerodha account</t>
  </si>
  <si>
    <t>HAPPSTMNDS</t>
  </si>
  <si>
    <t>Total Listed Equities</t>
  </si>
  <si>
    <t>7,500+ stocks across NSE and BSE combined.</t>
  </si>
  <si>
    <t>BHARATSE (6 Qty, ₹1,472)</t>
  </si>
  <si>
    <t>Total Number of Trades</t>
  </si>
  <si>
    <t>Auto-added INTRADAY via AI recommendation. SL: 1401.05, TP: 1502.9 (Orders pending 5:30 AM due to Zerodha AMO maintenance). | Auto-synced from Zerodha account | Auto-synced sell from Zerodha account</t>
  </si>
  <si>
    <t>Sharia-Compliant</t>
  </si>
  <si>
    <t>2,000+ stocks pass business and financial ratio exclusions (approx. 30-35% of Indian market).</t>
  </si>
  <si>
    <t>Jai Balaji Industries Limited</t>
  </si>
  <si>
    <t>ZEEMEDIA</t>
  </si>
  <si>
    <t>Swing trade setup.</t>
  </si>
  <si>
    <t>HAPPSTMNDS (3 Qty, ₹1,280)</t>
  </si>
  <si>
    <t>HSTS Filtered Universe</t>
  </si>
  <si>
    <t>545 stocks verified as both Sharia-compliant and highly liquid for swing trading.</t>
  </si>
  <si>
    <t>Winning Percentage of Trades</t>
  </si>
  <si>
    <t>IOL Chemicals and Pharmaceuticals Limited</t>
  </si>
  <si>
    <t>Liquidity Pre-Filter</t>
  </si>
  <si>
    <t>Market Capitalization &gt; INR 500 Crore AND Average Daily Volume &gt; 100,000 shares.</t>
  </si>
  <si>
    <t>BHARATSE</t>
  </si>
  <si>
    <t>Bharat Seats Limited</t>
  </si>
  <si>
    <t>GAYAPROJ-BE</t>
  </si>
  <si>
    <t>Protection Rationale</t>
  </si>
  <si>
    <t>Filters out volatile micro-caps and penny stocks, minimizing execution slippage and preventing lower-circuit lock-ins.</t>
  </si>
  <si>
    <t>2026-08-21</t>
  </si>
  <si>
    <t>ZEEMEDIA (150 Qty, ₹1,455)</t>
  </si>
  <si>
    <t>Swing trade setup. | Sold manually on 2026-08-20</t>
  </si>
  <si>
    <t>Capital Deployed in Open Trades</t>
  </si>
  <si>
    <t>Happiest Minds</t>
  </si>
  <si>
    <t>THELEELA</t>
  </si>
  <si>
    <t>Zee Media</t>
  </si>
  <si>
    <t>GAYAPROJ-BE (100 Qty, ₹2,180)</t>
  </si>
  <si>
    <t>Current Value of Active Trades</t>
  </si>
  <si>
    <t>APEX</t>
  </si>
  <si>
    <t>KFINTECH</t>
  </si>
  <si>
    <t>Apex Frozen</t>
  </si>
  <si>
    <t>THELEELA (4 Qty, ₹2,157)</t>
  </si>
  <si>
    <t>Capital Available for Trading</t>
  </si>
  <si>
    <t>Gayatri Projects</t>
  </si>
  <si>
    <t>BOROLTD</t>
  </si>
  <si>
    <t>1:2.5</t>
  </si>
  <si>
    <t>Total Wins</t>
  </si>
  <si>
    <t>Manual Override (Cash Only Regime). GTT Trigger: UNKNOWN</t>
  </si>
  <si>
    <t>KFin Technologies Limited</t>
  </si>
  <si>
    <t>Total Losses</t>
  </si>
  <si>
    <t>Swing Trade. GTT Trigger: UNKNOWN</t>
  </si>
  <si>
    <t>Borosil Limited</t>
  </si>
  <si>
    <t>Total Taxes Paid to Zerodha</t>
  </si>
  <si>
    <t>AMO Swing Trade</t>
  </si>
  <si>
    <t>Swing Trading Statistics</t>
  </si>
  <si>
    <t>Swing Win Rate</t>
  </si>
  <si>
    <t>Swing Realized PnL</t>
  </si>
  <si>
    <t>Swing Completed Trades</t>
  </si>
  <si>
    <t>Swing Active Positions</t>
  </si>
  <si>
    <t>Intraday Trading Statistics</t>
  </si>
  <si>
    <t>Intraday Win Rate</t>
  </si>
  <si>
    <t>Intraday Realized PnL</t>
  </si>
  <si>
    <t>Intraday Completed Trades</t>
  </si>
  <si>
    <t>Intraday Active Positions</t>
  </si>
  <si>
    <t>Activity &amp; Performance Metrics</t>
  </si>
  <si>
    <t>Average Days to Exit a Trade</t>
  </si>
  <si>
    <t>Average Trades per Day</t>
  </si>
  <si>
    <t>Average Unique Holdings per Day</t>
  </si>
  <si>
    <t>Average Profit % per trade</t>
  </si>
  <si>
    <t>Average Loss % per trade</t>
  </si>
  <si>
    <t>Average Value per Trade</t>
  </si>
  <si>
    <t>Type</t>
  </si>
  <si>
    <t>Amount</t>
  </si>
  <si>
    <t>21-7-2026</t>
  </si>
  <si>
    <t>DEPOSIT</t>
  </si>
  <si>
    <t>WITHDRAWAL</t>
  </si>
  <si>
    <t>Brokerage &amp; taxes on SONACOMS BUY (2 qty @ 734.70)</t>
  </si>
  <si>
    <t>Brokerage &amp; taxes on JSWSTEEL BUY (1 qty @ 1265.10)</t>
  </si>
  <si>
    <t>2026-07-24</t>
  </si>
  <si>
    <t>Adjustment: Brokerage &amp; taxes on past completed trades (SUNPHARMA, JSWSTEEL, TECHM)</t>
  </si>
  <si>
    <t>Brokerage &amp; taxes on TECHM BUY (1 qty @ 1579.00)</t>
  </si>
  <si>
    <t>Brokerage &amp; taxes on BERGEPAINT BUY</t>
  </si>
  <si>
    <t>Brokerage &amp; taxes on ADVANCE BUY (4 qty @ 127.80)</t>
  </si>
  <si>
    <t>Brokerage &amp; taxes on ADVANCE BUY (1 qty @ 100.00)</t>
  </si>
  <si>
    <t>Brokerage &amp; taxes on NESTLEIND BUY (1 qty @ 1530.00)</t>
  </si>
  <si>
    <t>Brokerage &amp; taxes on PIDILITIND BUY (1 qty @ 1642.50)</t>
  </si>
  <si>
    <t>Brokerage &amp; taxes on NESTLEIND SELL (1 qty @ 1520.10)</t>
  </si>
  <si>
    <t>Brokerage &amp; taxes on PIDILITIND SELL (1 qty @ 1634.50)</t>
  </si>
  <si>
    <t>Brokerage &amp; taxes on VISAKAIND BUY (8 qty @ 86.99)</t>
  </si>
  <si>
    <t>Brokerage &amp; taxes on EXCELSOFT BUY (8 qty @ 82.99)</t>
  </si>
  <si>
    <t>Brokerage &amp; taxes on EXCELSOFT BUY (8 qty @ 82.50)</t>
  </si>
  <si>
    <t>Brokerage &amp; taxes on SONACOMS SELL (2 qty @ 798.25)</t>
  </si>
  <si>
    <t>Brokerage &amp; taxes on SONATSOFTW BUY (3 qty @ 341.20)</t>
  </si>
  <si>
    <t>Brokerage &amp; taxes on SONATSOFTW BUY (3 qty @ 341.15)</t>
  </si>
  <si>
    <t>Brokerage &amp; taxes on IFGLEXPOR BUY (4 qty @ 219.60)</t>
  </si>
  <si>
    <t>Brokerage &amp; taxes on SAPPHIRE BUY (4 qty @ 202.50)</t>
  </si>
  <si>
    <t>Brokerage &amp; taxes on AEROENTER BUY (8 qty @ 132.15)</t>
  </si>
  <si>
    <t>Brokerage &amp; taxes on TATASTEEL BUY (3 qty @ 193.00)</t>
  </si>
  <si>
    <t>Brokerage &amp; taxes on AEROENTER BUY (8 qty @ 132.01)</t>
  </si>
  <si>
    <t>Brokerage &amp; taxes on TATASTEEL BUY (1 qty @ 192.60)</t>
  </si>
  <si>
    <t>Brokerage &amp; taxes on TATASTEEL SELL (1 qty @ 191.65)</t>
  </si>
  <si>
    <t>Brokerage &amp; taxes on VISAKAIND SELL (8 qty @ 103.24)</t>
  </si>
  <si>
    <t>Brokerage &amp; taxes on SONATSOFTW SELL (3 qty @ 316.20)</t>
  </si>
  <si>
    <t>Brokerage &amp; taxes on EXCELSOFT SELL (8 qty @ 77.58)</t>
  </si>
  <si>
    <t>Brokerage &amp; taxes on HARSHA BUY (3 qty @ 432.60)</t>
  </si>
  <si>
    <t>Brokerage &amp; taxes on CONFIPET BUY (10 qty @ 82.74)</t>
  </si>
  <si>
    <t>Brokerage &amp; taxes on BEL BUY (5 qty @ 405.85)</t>
  </si>
  <si>
    <t>Brokerage &amp; taxes on SAPPHIRE SELL (3 qty @ 236.75)</t>
  </si>
  <si>
    <t>Brokerage &amp; taxes on CLEAN BUY (4 qty @ 806.25)</t>
  </si>
  <si>
    <t>Brokerage &amp; taxes on CONFIPET SELL (10 qty @ 74.45)</t>
  </si>
  <si>
    <t>Timestamp</t>
  </si>
  <si>
    <t>Level</t>
  </si>
  <si>
    <t>Message</t>
  </si>
  <si>
    <t>2026-07-21 12:48:41</t>
  </si>
  <si>
    <t>INFO</t>
  </si>
  <si>
    <t>Recorded buy order: 1 shares of SUNPHARMA at 1951</t>
  </si>
  <si>
    <t>2026-07-21 12:48:42</t>
  </si>
  <si>
    <t>Recorded buy order: 1 shares of JSWSTEEL at 1266.4</t>
  </si>
  <si>
    <t>Recorded buy order: 1 shares of TECHM at 1589.1</t>
  </si>
  <si>
    <t>2026-07-21 15:33:36</t>
  </si>
  <si>
    <t>Closed trade: SUNPHARMA exited at 1960 (WIN)</t>
  </si>
  <si>
    <t>2026-07-21 15:33:37</t>
  </si>
  <si>
    <t>Closed trade: TECHM exited at 1575 (WIN)</t>
  </si>
  <si>
    <t>2026-07-21 15:33:38</t>
  </si>
  <si>
    <t>Closed trade: JSWSTEEL exited at 1267.1 (WIN)</t>
  </si>
  <si>
    <t>2026-07-22 11:27:23</t>
  </si>
  <si>
    <t>Recorded buy order: 2 shares of SONACOMS at 734.7</t>
  </si>
  <si>
    <t>2026-07-22 11:27:25</t>
  </si>
  <si>
    <t>Recorded buy order: 1 shares of JSWSTEEL at 1265.1</t>
  </si>
  <si>
    <t>2026-07-22 11:28:22</t>
  </si>
  <si>
    <t>Capital Transaction: WITHDRAWAL of INR 1.76 logged.</t>
  </si>
  <si>
    <t>2026-07-22 11:28:24</t>
  </si>
  <si>
    <t>Capital Transaction: WITHDRAWAL of INR 1.52 logged.</t>
  </si>
  <si>
    <t>2026-07-27 10:14:17</t>
  </si>
  <si>
    <t>Recorded buy order: 1 shares of TECHM at 1579</t>
  </si>
  <si>
    <t>2026-07-27 10:14:26</t>
  </si>
  <si>
    <t>Capital Transaction: WITHDRAWAL of INR 1.89 logged.</t>
  </si>
  <si>
    <t>2026-07-28 09:08:00</t>
  </si>
  <si>
    <t>ADVISORY</t>
  </si>
  <si>
    <t>Market is in STATE 4: Cash Only. Hold active open positions (TECHM, SONACOMS, JSWSTEEL) with strict pre-set stop-losses. Do not allocate new capital or average down.</t>
  </si>
  <si>
    <t>2026-08-03 09:29:22</t>
  </si>
  <si>
    <t>Recorded buy order: 4 shares of ADVANCE at 125.01</t>
  </si>
  <si>
    <t>2026-08-03 09:29:48</t>
  </si>
  <si>
    <t>Capital Transaction: WITHDRAWAL of INR 0.60 logged.</t>
  </si>
  <si>
    <t>2026-08-03 11:33:33</t>
  </si>
  <si>
    <t>Corrected ADVANCE buy price from 125.01 to actual execution price 127.80 based on live Zerodha check.</t>
  </si>
  <si>
    <t>2026-08-03 11:33:41</t>
  </si>
  <si>
    <t>2026-08-03 17:00:11</t>
  </si>
  <si>
    <t>Capital Transaction: WITHDRAWAL of INR 0.12 logged.</t>
  </si>
  <si>
    <t>2026-08-03 17:01:24</t>
  </si>
  <si>
    <t>Closed trade: ADVANCE exited at 120.0 (LOSS)</t>
  </si>
  <si>
    <t>2026-08-04 05:50:00</t>
  </si>
  <si>
    <t>Recorded buy order: 1 shares of NESTLEIND at 1530.0 (INTRADAY)</t>
  </si>
  <si>
    <t>2026-08-04 05:50:23</t>
  </si>
  <si>
    <t>Capital Transaction: WITHDRAWAL of INR 1.84 logged.</t>
  </si>
  <si>
    <t>2026-08-04 05:52:22</t>
  </si>
  <si>
    <t>Recorded buy order: 1 shares of PIDILITIND at 1642.5 (INTRADAY)</t>
  </si>
  <si>
    <t>2026-08-04 05:52:56</t>
  </si>
  <si>
    <t>Capital Transaction: WITHDRAWAL of INR 1.97 logged.</t>
  </si>
  <si>
    <t>2026-08-04 19:17:55</t>
  </si>
  <si>
    <t>Closed INTRADAY trade: NESTLEIND exited at 1520.1 (LOSS)</t>
  </si>
  <si>
    <t>2026-08-04 19:18:12</t>
  </si>
  <si>
    <t>Capital Transaction: WITHDRAWAL of INR 1.83 logged.</t>
  </si>
  <si>
    <t>2026-08-04 19:18:42</t>
  </si>
  <si>
    <t>Closed INTRADAY trade: PIDILITIND exited at 1634.5 (LOSS)</t>
  </si>
  <si>
    <t>2026-08-04 19:19:12</t>
  </si>
  <si>
    <t>Capital Transaction: WITHDRAWAL of INR 1.96 logged.</t>
  </si>
  <si>
    <t>2026-08-04 19:19:34</t>
  </si>
  <si>
    <t>Capital Transaction: WITHDRAWAL of INR 505.29 logged.</t>
  </si>
  <si>
    <t>2026-08-05 06:21:46</t>
  </si>
  <si>
    <t>Recorded buy order: 8 shares of VISAKAIND at 86.99 (SWING)</t>
  </si>
  <si>
    <t>2026-08-05 06:21:56</t>
  </si>
  <si>
    <t>Capital Transaction: WITHDRAWAL of INR 0.84 logged.</t>
  </si>
  <si>
    <t>2026-08-05 06:22:06</t>
  </si>
  <si>
    <t>Recorded buy order: 8 shares of EXCELSOFT at 82.99 (SWING)</t>
  </si>
  <si>
    <t>2026-08-05 06:22:15</t>
  </si>
  <si>
    <t>Capital Transaction: WITHDRAWAL of INR 0.80 logged.</t>
  </si>
  <si>
    <t>2026-08-05 06:22:26</t>
  </si>
  <si>
    <t>Recorded buy order: 2 shares of EXIDEIND at 458.35 (INTRADAY)</t>
  </si>
  <si>
    <t>2026-08-05 06:22:35</t>
  </si>
  <si>
    <t>Capital Transaction: WITHDRAWAL of INR 1.10 logged.</t>
  </si>
  <si>
    <t>2026-08-05 10:18:42</t>
  </si>
  <si>
    <t>Capital Transaction: WITHDRAWAL of INR 0.79 logged.</t>
  </si>
  <si>
    <t>2026-08-05 10:19:11</t>
  </si>
  <si>
    <t>Closed SWING trade: SONACOMS exited at 798.25 (WIN)</t>
  </si>
  <si>
    <t>2026-08-05 10:20:00</t>
  </si>
  <si>
    <t>Capital Transaction: WITHDRAWAL of INR 17.59 logged.</t>
  </si>
  <si>
    <t>2026-08-05 10:22:05</t>
  </si>
  <si>
    <t>Capital Transaction: DEPOSIT of INR 701.16 logged.</t>
  </si>
  <si>
    <t>2026-08-05 10:47:34</t>
  </si>
  <si>
    <t>Capital Transaction: ADJUSTMENT_IN of INR 237.08 logged.</t>
  </si>
  <si>
    <t>2026-08-05 11:56:35</t>
  </si>
  <si>
    <t>Recorded buy order: 3 shares of SONATSOFTW at 341.2 (SWING)</t>
  </si>
  <si>
    <t>2026-08-05 11:57:08</t>
  </si>
  <si>
    <t>Capital Transaction: WITHDRAWAL of INR 1.23 logged.</t>
  </si>
  <si>
    <t>2026-08-05 11:58:00</t>
  </si>
  <si>
    <t>Capital Transaction: ADJUSTMENT_IN of INR 1.38 logged.</t>
  </si>
  <si>
    <t>2026-08-05 14:00:44</t>
  </si>
  <si>
    <t>Capital Transaction: ADJUSTMENT_IN of INR 515.21 logged.</t>
  </si>
  <si>
    <t>2026-08-05 18:26:57</t>
  </si>
  <si>
    <t>2026-08-05 18:27:44</t>
  </si>
  <si>
    <t>Capital Transaction: ADJUSTMENT_OUT of INR 915.62 logged.</t>
  </si>
  <si>
    <t>2026-08-05 18:58:42</t>
  </si>
  <si>
    <t>Recorded buy order: 4 shares of IFGLEXPOR at 219.6 (SWING)</t>
  </si>
  <si>
    <t>2026-08-05 18:58:50</t>
  </si>
  <si>
    <t>Capital Transaction: WITHDRAWAL of INR 1.05 logged.</t>
  </si>
  <si>
    <t>2026-08-05 18:58:59</t>
  </si>
  <si>
    <t>Recorded buy order: 4 shares of SAPPHIRE at 202.5 (SWING)</t>
  </si>
  <si>
    <t>2026-08-05 18:59:06</t>
  </si>
  <si>
    <t>Capital Transaction: WITHDRAWAL of INR 0.97 logged.</t>
  </si>
  <si>
    <t>2026-08-05 18:59:16</t>
  </si>
  <si>
    <t>Recorded buy order: 8 shares of AEROENTER at 132.15 (SWING)</t>
  </si>
  <si>
    <t>2026-08-05 18:59:23</t>
  </si>
  <si>
    <t>Capital Transaction: WITHDRAWAL of INR 1.27 logged.</t>
  </si>
  <si>
    <t>2026-08-05 18:59:32</t>
  </si>
  <si>
    <t>Recorded buy order: 3 shares of TATASTEEL at 193.0 (INTRADAY)</t>
  </si>
  <si>
    <t>2026-08-05 18:59:40</t>
  </si>
  <si>
    <t>Capital Transaction: WITHDRAWAL of INR 0.69 logged.</t>
  </si>
  <si>
    <t>2026-08-05 19:00:04</t>
  </si>
  <si>
    <t>Capital Transaction: ADJUSTMENT_OUT of INR 96854.67 logged.</t>
  </si>
  <si>
    <t>2026-08-06 20:07:38</t>
  </si>
  <si>
    <t>Recorded buy order: 8 shares of AEROENTER at 132.01 (SWING)</t>
  </si>
  <si>
    <t>2026-08-06 20:07:46</t>
  </si>
  <si>
    <t>2026-08-06 20:07:56</t>
  </si>
  <si>
    <t>2026-08-06 20:08:08</t>
  </si>
  <si>
    <t>2026-08-06 20:08:19</t>
  </si>
  <si>
    <t>Recorded buy order: 1 shares of TATASTEEL at 192.6 (SWING)</t>
  </si>
  <si>
    <t>2026-08-06 20:08:27</t>
  </si>
  <si>
    <t>Capital Transaction: WITHDRAWAL of INR 0.23 logged.</t>
  </si>
  <si>
    <t>2026-08-06 20:08:39</t>
  </si>
  <si>
    <t>Closed SWING trade: TATASTEEL exited at 191.65 (LOSS)</t>
  </si>
  <si>
    <t>2026-08-06 20:08:47</t>
  </si>
  <si>
    <t>Capital Transaction: WITHDRAWAL of INR 16.13 logged.</t>
  </si>
  <si>
    <t>2026-08-06 20:13:33</t>
  </si>
  <si>
    <t>Capital Transaction: ADJUSTMENT_OUT of INR 90323.97 logged.</t>
  </si>
  <si>
    <t>2026-08-06 21:46:30</t>
  </si>
  <si>
    <t>2026-08-06 21:55:30</t>
  </si>
  <si>
    <t>2026-08-06 22:04:36</t>
  </si>
  <si>
    <t>2026-08-06 22:14:02</t>
  </si>
  <si>
    <t>2026-08-10 17:54:34</t>
  </si>
  <si>
    <t>Closed SWING trade: VISAKAIND exited at 103.24 (WIN)</t>
  </si>
  <si>
    <t>2026-08-10 17:54:43</t>
  </si>
  <si>
    <t>Capital Transaction: WITHDRAWAL of INR 16.79 logged.</t>
  </si>
  <si>
    <t>2026-08-10 17:54:53</t>
  </si>
  <si>
    <t>Closed SWING trade: SONATSOFTW exited at 316.2 (LOSS)</t>
  </si>
  <si>
    <t>2026-08-10 17:55:00</t>
  </si>
  <si>
    <t>Capital Transaction: WITHDRAWAL of INR 16.92 logged.</t>
  </si>
  <si>
    <t>2026-08-10 17:55:11</t>
  </si>
  <si>
    <t>Closed SWING trade: EXCELSOFT exited at 77.58 (LOSS)</t>
  </si>
  <si>
    <t>2026-08-10 17:55:19</t>
  </si>
  <si>
    <t>Capital Transaction: WITHDRAWAL of INR 16.58 logged.</t>
  </si>
  <si>
    <t>2026-08-10 17:56:15</t>
  </si>
  <si>
    <t>Capital Transaction: ADJUSTMENT_OUT of INR 90327.24 logged.</t>
  </si>
  <si>
    <t>2026-08-12 08:32:37</t>
  </si>
  <si>
    <t>Recorded buy order: 5 shares of BEL at 405.85 (INTRADAY)</t>
  </si>
  <si>
    <t>2026-08-12 08:32:47</t>
  </si>
  <si>
    <t>Capital Transaction: WITHDRAWAL of INR 2.44 logged.</t>
  </si>
  <si>
    <t>2026-08-12 10:08:21</t>
  </si>
  <si>
    <t>Closed SWING trade: SAPPHIRE exited at 236.75 (WIN)</t>
  </si>
  <si>
    <t>2026-08-12 10:08:32</t>
  </si>
  <si>
    <t>Capital Transaction: WITHDRAWAL of INR 16.67 logged.</t>
  </si>
  <si>
    <t>2026-08-12 10:08:45</t>
  </si>
  <si>
    <t>Recorded buy order: 5 shares of BEL at 405.85 (SWING)</t>
  </si>
  <si>
    <t>2026-08-12 10:08:59</t>
  </si>
  <si>
    <t>Recorded buy order: 4 shares of CLEAN at 806.25 (SWING)</t>
  </si>
  <si>
    <t>2026-08-12 10:09:08</t>
  </si>
  <si>
    <t>Capital Transaction: WITHDRAWAL of INR 3.87 logged.</t>
  </si>
  <si>
    <t>2026-08-12 10:09:22</t>
  </si>
  <si>
    <t>Closed SWING trade: CONFIPET exited at 74.45 (LOSS)</t>
  </si>
  <si>
    <t>2026-08-12 10:09:30</t>
  </si>
  <si>
    <t>Capital Transaction: WITHDRAWAL of INR 16.70 logged.</t>
  </si>
  <si>
    <t>2026-08-12 16:05:31</t>
  </si>
  <si>
    <t>Closed SWING trade: BEL exited at 399.4 (LOSS)</t>
  </si>
  <si>
    <t>2026-08-12 16:05:39</t>
  </si>
  <si>
    <t>Capital Transaction: WITHDRAWAL of INR 18.01 logged.</t>
  </si>
  <si>
    <t>2026-08-12 16:05:52</t>
  </si>
  <si>
    <t>Closed SWING trade: BERGEPAINT exited at 561.2 (WIN)</t>
  </si>
  <si>
    <t>2026-08-12 16:06:01</t>
  </si>
  <si>
    <t>Capital Transaction: WITHDRAWAL of INR 17.10 logged.</t>
  </si>
  <si>
    <t>2026-08-12 16:06:14</t>
  </si>
  <si>
    <t>Closed SWING trade: ADVANCE exited at 118.2425 (LOSS)</t>
  </si>
  <si>
    <t>2026-08-12 16:06:23</t>
  </si>
  <si>
    <t>Capital Transaction: WITHDRAWAL of INR 16.42 logged.</t>
  </si>
  <si>
    <t>2026-08-13 02:11:46</t>
  </si>
  <si>
    <t>Recorded buy order: 10 shares of MRPL at 181.14 (SWING)</t>
  </si>
  <si>
    <t>2026-08-13 02:11:55</t>
  </si>
  <si>
    <t>Recorded buy order: 4 shares of LENSKART at 589.2 (SWING)</t>
  </si>
  <si>
    <t>2026-08-13 02:12:06</t>
  </si>
  <si>
    <t>Recorded buy order: 4 shares of OIL at 470.35 (SWING)</t>
  </si>
  <si>
    <t>2026-08-13 02:12:17</t>
  </si>
  <si>
    <t>Recorded buy order: 4 shares of AARTIIND at 532.3 (INTRADAY)</t>
  </si>
  <si>
    <t>2026-08-13 10:32:15</t>
  </si>
  <si>
    <t>Closed SWING trade: JSWSTEEL exited at 1269.1 (WIN)</t>
  </si>
  <si>
    <t>2026-08-13 10:32:23</t>
  </si>
  <si>
    <t>Capital Transaction: WITHDRAWAL of INR 17.25 logged.</t>
  </si>
  <si>
    <t>2026-08-13 10:32:36</t>
  </si>
  <si>
    <t>Capital Transaction: WITHDRAWAL of INR 2.10 logged.</t>
  </si>
  <si>
    <t>2026-08-13 10:32:48</t>
  </si>
  <si>
    <t>Capital Transaction: WITHDRAWAL of INR 2.90 logged.</t>
  </si>
  <si>
    <t>2026-08-13 10:33:02</t>
  </si>
  <si>
    <t>Recorded buy order: 4 shares of AARTIIND at 536 (SWING)</t>
  </si>
  <si>
    <t>2026-08-13 10:33:11</t>
  </si>
  <si>
    <t>Capital Transaction: WITHDRAWAL of INR 2.57 logged.</t>
  </si>
  <si>
    <t>2026-08-13 10:33:22</t>
  </si>
  <si>
    <t>Capital Transaction: WITHDRAWAL of INR 2.27 logged.</t>
  </si>
  <si>
    <t>2026-08-13 10:33:33</t>
  </si>
  <si>
    <t>Recorded buy order: 2 shares of SCHNEIDER at 1425 (SWING)</t>
  </si>
  <si>
    <t>2026-08-13 10:33:41</t>
  </si>
  <si>
    <t>Capital Transaction: WITHDRAWAL of INR 3.42 logged.</t>
  </si>
  <si>
    <t>2026-08-13 10:33:54</t>
  </si>
  <si>
    <t>Closed SWING trade: TECHM exited at 1634.7 (WIN)</t>
  </si>
  <si>
    <t>2026-08-13 10:34:03</t>
  </si>
  <si>
    <t>Capital Transaction: WITHDRAWAL of INR 17.63 logged.</t>
  </si>
  <si>
    <t>2026-08-14 03:23:59</t>
  </si>
  <si>
    <t>Recorded buy order: 10 shares of MRPL at 174.7 (SWING)</t>
  </si>
  <si>
    <t>2026-08-14 03:24:13</t>
  </si>
  <si>
    <t>Recorded buy order: 4 shares of LENSKART at 605 (SWING)</t>
  </si>
  <si>
    <t>2026-08-14 03:24:27</t>
  </si>
  <si>
    <t>2026-08-14 03:24:51</t>
  </si>
  <si>
    <t>Recorded buy order: 4 shares of OIL at 473 (SWING)</t>
  </si>
  <si>
    <t>2026-08-14 03:25:06</t>
  </si>
  <si>
    <t>2026-08-14 03:25:28</t>
  </si>
  <si>
    <t>Closed SWING trade: SCHNEIDER exited at 1401 (LOSS)</t>
  </si>
  <si>
    <t>2026-08-14 03:25:38</t>
  </si>
  <si>
    <t>Capital Transaction: WITHDRAWAL of INR 18.84 logged.</t>
  </si>
  <si>
    <t>2026-08-14 03:25:52</t>
  </si>
  <si>
    <t>Closed SWING trade: AARTIIND exited at 539.25 (WIN)</t>
  </si>
  <si>
    <t>2026-08-14 03:26:02</t>
  </si>
  <si>
    <t>Capital Transaction: WITHDRAWAL of INR 16.49 logged.</t>
  </si>
  <si>
    <t>2026-08-14 03:26:16</t>
  </si>
  <si>
    <t>Capital Transaction: WITHDRAWAL of INR 17.61 logged.</t>
  </si>
  <si>
    <t>2026-08-14 03:40:34</t>
  </si>
  <si>
    <t>Updated OPEN trade: MRPL execution price to 174.7 and date to 2026-08-13</t>
  </si>
  <si>
    <t>2026-08-14 03:40:43</t>
  </si>
  <si>
    <t>Updated OPEN trade: LENSKART execution price to 605 and date to 2026-08-13</t>
  </si>
  <si>
    <t>2026-08-14 03:40:59</t>
  </si>
  <si>
    <t>2026-08-14 03:41:08</t>
  </si>
  <si>
    <t>Updated OPEN trade: OIL execution price to 473 and date to 2026-08-13</t>
  </si>
  <si>
    <t>2026-08-14 03:41:25</t>
  </si>
  <si>
    <t>2026-08-14 03:41:45</t>
  </si>
  <si>
    <t>Closed trade: SCHNEIDER exited at 1401 (LOSS)</t>
  </si>
  <si>
    <t>2026-08-14 03:42:00</t>
  </si>
  <si>
    <t>Closed trade: AARTIIND exited at 539.25 (WIN)</t>
  </si>
  <si>
    <t>2026-08-14 08:10:33</t>
  </si>
  <si>
    <t>Recorded buy order: 8 shares of JAIBALAJI at 68.87 (SWING)</t>
  </si>
  <si>
    <t>2026-08-14 08:10:44</t>
  </si>
  <si>
    <t>Recorded buy order: 10 shares of IOLCP at 166.02 (SWING)</t>
  </si>
  <si>
    <t>2026-08-14 08:10:55</t>
  </si>
  <si>
    <t>Recorded buy order: 6 shares of BHARATSE at 245.25 (SWING)</t>
  </si>
  <si>
    <t>2026-08-18 09:10:44</t>
  </si>
  <si>
    <t>Updated OPEN trade: GAYAPROJ-BE execution price to 21.8 and date to 2026-08-18</t>
  </si>
  <si>
    <t>2026-08-18 09:10:54</t>
  </si>
  <si>
    <t>Capital Transaction: WITHDRAWAL of INR 2.62 logged.</t>
  </si>
  <si>
    <t>2026-08-20 12:52:56</t>
  </si>
  <si>
    <t>Recorded buy order: 4 shares of THELEELA at 539.3 (SWING)</t>
  </si>
  <si>
    <t>2026-08-20 12:53:08</t>
  </si>
  <si>
    <t>Capital Transaction: WITHDRAWAL of INR 2.59 logged.</t>
  </si>
  <si>
    <t>2026-08-21 08:34:35</t>
  </si>
  <si>
    <t>Closed trade: BHARATSE exited at 230.26 (loss)</t>
  </si>
  <si>
    <t>2026-08-21 08:46:54</t>
  </si>
  <si>
    <t>Recorded buy order: 2 shares of KFINTECH at 961.0 (SWING)</t>
  </si>
  <si>
    <t>2026-08-21 08:47:02</t>
  </si>
  <si>
    <t>Capital Transaction: WITHDRAWAL of INR 2.31 logged.</t>
  </si>
  <si>
    <t>2026-08-21 08:47:18</t>
  </si>
  <si>
    <t>Recorded buy order: 10 shares of BOROLTD at 248.11 (SWING)</t>
  </si>
  <si>
    <t>2026-08-21 15:48:27</t>
  </si>
  <si>
    <t>Updated OPEN trade: KFINTECH execution price to 963 and date to 2026-08-21</t>
  </si>
  <si>
    <t>2026-08-21 15:48:38</t>
  </si>
  <si>
    <t>2026-08-21 15:48:45</t>
  </si>
  <si>
    <t>Updated OPEN trade: BOROLTD execution price to 258 and date to 2026-08-21</t>
  </si>
  <si>
    <t>2026-08-21 15:48:54</t>
  </si>
  <si>
    <t>Capital Transaction: WITHDRAWAL of INR 3.10 logged.</t>
  </si>
  <si>
    <t>2026-08-21 16:03:28</t>
  </si>
  <si>
    <t>Updated MTM prices for 9 open trades.</t>
  </si>
  <si>
    <t>Zerodha funds addition</t>
  </si>
  <si>
    <t>Brokerage &amp; taxes on BEL SELL (5 qty @ 399.40)</t>
  </si>
  <si>
    <t>Brokerage &amp; taxes on BERGEPAINT SELL (2 qty @ 561.20)</t>
  </si>
  <si>
    <t>Brokerage &amp; taxes on ADVANCE SELL (4 qty @ 118.24)</t>
  </si>
  <si>
    <t>Brokerage &amp; taxes on JSWSTEEL SELL (1 qty @ 1269.10)</t>
  </si>
  <si>
    <t>Brokerage &amp; taxes on MRPL BUY (10 qty @ 174.70)</t>
  </si>
  <si>
    <t>Brokerage &amp; taxes on LENSKART BUY (4 qty @ 605.00)</t>
  </si>
  <si>
    <t>Brokerage &amp; taxes on AARTIIND BUY (4 qty @ 536.00)</t>
  </si>
  <si>
    <t>Brokerage &amp; taxes on OIL BUY (4 qty @ 473.00)</t>
  </si>
  <si>
    <t>Brokerage &amp; taxes on SCHNEIDER BUY (2 qty @ 1425.00)</t>
  </si>
  <si>
    <t>Brokerage &amp; taxes on TECHM SELL (1 qty @ 1634.70)</t>
  </si>
  <si>
    <t>Brokerage &amp; taxes on SCHNEIDER SELL (2 qty @ 1401.00)</t>
  </si>
  <si>
    <t>Brokerage &amp; taxes on AARTIIND SELL (1 qty @ 539.25)</t>
  </si>
  <si>
    <t>Brokerage &amp; taxes on AARTIIND SELL (3 qty @ 537.55)</t>
  </si>
  <si>
    <t>Brokerage &amp; taxes on GAYAPROJ-BE BUY (100 qty @ 21.80)</t>
  </si>
  <si>
    <t>Brokerage &amp; taxes on THELEELA BUY (4 qty @ 539.30)</t>
  </si>
  <si>
    <t>Brokerage &amp; taxes on KFINTECH BUY (2 qty @ 961.00)</t>
  </si>
  <si>
    <t>Brokerage &amp; taxes on KFINTECH BUY (2 qty @ 963.00)</t>
  </si>
  <si>
    <t>Brokerage &amp; taxes on BOROLTD BUY (10 qty @ 258.00)</t>
  </si>
  <si>
    <t>Company Name</t>
  </si>
  <si>
    <t>Entry Price</t>
  </si>
  <si>
    <t>Target</t>
  </si>
  <si>
    <t>Initial Alloc</t>
  </si>
  <si>
    <t>P&amp;L (INR)</t>
  </si>
  <si>
    <t>Sun Pharmaceutical</t>
  </si>
  <si>
    <t>MONITORING</t>
  </si>
  <si>
    <t>Paper trade for momentum score tracking (96.4/100)</t>
  </si>
  <si>
    <t>BAJAJ-AUTO</t>
  </si>
  <si>
    <t>Bajaj Auto Limited</t>
  </si>
  <si>
    <t>Paper trade for momentum score tracking (88.8/100)</t>
  </si>
  <si>
    <t>HEROMOTOCO</t>
  </si>
  <si>
    <t>Hero MotoCorp</t>
  </si>
  <si>
    <t>SIEMENS</t>
  </si>
  <si>
    <t>Siemens Limited</t>
  </si>
  <si>
    <t>Paper trade for momentum score tracking (88.2/100)</t>
  </si>
  <si>
    <t>Hindustan Aeronautics</t>
  </si>
  <si>
    <t>Paper trade for momentum score tracking (85.2/100)</t>
  </si>
  <si>
    <t>Cumulative PnL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</si>
</sst>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INR #,##0.00"/>
    <numFmt numFmtId="165" formatCode="0.0%"/>
  </numFmts>
  <fonts count="18">
    <font>
      <sz val="11.0"/>
      <color theme="1"/>
      <name val="Calibri"/>
      <scheme val="minor"/>
    </font>
    <font>
      <b/>
      <sz val="16.0"/>
      <color rgb="FFFFFFFF"/>
      <name val="Quattrocento Sans"/>
    </font>
    <font>
      <sz val="11.0"/>
      <color theme="1"/>
      <name val="Calibri"/>
    </font>
    <font>
      <b/>
      <sz val="11.0"/>
      <color rgb="FFFFFFFF"/>
      <name val="Quattrocento Sans"/>
    </font>
    <font>
      <b/>
      <sz val="12.0"/>
      <color rgb="FF1A365D"/>
      <name val="Quattrocento Sans"/>
    </font>
    <font>
      <color theme="1"/>
      <name val="Calibri"/>
    </font>
    <font>
      <b/>
      <sz val="10.0"/>
      <color rgb="FF2D3748"/>
      <name val="Quattrocento Sans"/>
    </font>
    <font>
      <sz val="10.0"/>
      <color rgb="FF2D3748"/>
      <name val="Quattrocento Sans"/>
    </font>
    <font/>
    <font>
      <sz val="10.0"/>
      <color theme="1"/>
      <name val="Quattrocento Sans"/>
    </font>
    <font>
      <b/>
      <sz val="16.0"/>
      <color rgb="FF1B365D"/>
      <name val="Quattrocento Sans"/>
    </font>
    <font>
      <sz val="11.0"/>
      <color theme="1"/>
      <name val="Quattrocento Sans"/>
    </font>
    <font>
      <i/>
      <sz val="9.0"/>
      <color rgb="FF595959"/>
      <name val="Quattrocento Sans"/>
    </font>
    <font>
      <b/>
      <sz val="11.0"/>
      <color rgb="FF1B365D"/>
      <name val="Quattrocento Sans"/>
    </font>
    <font>
      <b/>
      <sz val="11.0"/>
      <color theme="1"/>
      <name val="Quattrocento Sans"/>
    </font>
    <font>
      <b/>
      <sz val="11.0"/>
      <color rgb="FF385723"/>
      <name val="Quattrocento Sans"/>
    </font>
    <font>
      <b/>
      <sz val="11.0"/>
      <color rgb="FFC00000"/>
      <name val="Quattrocento Sans"/>
    </font>
    <font>
      <sz val="11.0"/>
      <color rgb="FF385723"/>
      <name val="Quattrocento Sans"/>
    </font>
  </fonts>
  <fills count="11">
    <fill>
      <patternFill patternType="none"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Font="1"/>
    <xf borderId="1" fillId="3" fontId="3" numFmtId="0" xfId="0" applyAlignment="1" applyBorder="1" applyFill="1" applyFont="1">
      <alignment horizontal="center" vertical="center"/>
    </xf>
    <xf borderId="1" fillId="4" fontId="3" numFmtId="0" xfId="0" applyAlignment="1" applyBorder="1" applyFill="1" applyFont="1">
      <alignment horizontal="center" vertical="center"/>
    </xf>
    <xf borderId="0" fillId="0" fontId="4" numFmtId="0" xfId="0" applyFont="1"/>
    <xf borderId="0" fillId="0" fontId="5" numFmtId="0" xfId="0" applyFont="1"/>
    <xf borderId="0" fillId="0" fontId="2" numFmtId="164" xfId="0" applyFont="1" applyNumberFormat="1"/>
    <xf borderId="2" fillId="5" fontId="6" numFmtId="0" xfId="0" applyAlignment="1" applyBorder="1" applyFill="1" applyFont="1">
      <alignment horizontal="left" shrinkToFit="0" vertical="center" wrapText="1"/>
    </xf>
    <xf borderId="0" fillId="4" fontId="3" numFmtId="0" xfId="0" applyAlignment="1" applyFill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4" fillId="0" fontId="8" numFmtId="0" xfId="0" applyBorder="1" applyFont="1"/>
    <xf borderId="5" fillId="0" fontId="8" numFmtId="0" xfId="0" applyBorder="1" applyFont="1"/>
    <xf borderId="0" fillId="6" fontId="5" numFmtId="0" xfId="0" applyFill="1" applyFont="1"/>
    <xf borderId="0" fillId="6" fontId="2" numFmtId="164" xfId="0" applyFill="1" applyFont="1" applyNumberFormat="1"/>
    <xf borderId="0" fillId="6" fontId="2" numFmtId="0" xfId="0" applyFill="1" applyFont="1"/>
    <xf borderId="0" fillId="0" fontId="2" numFmtId="10" xfId="0" applyFont="1" applyNumberFormat="1"/>
    <xf borderId="0" fillId="7" fontId="5" numFmtId="0" xfId="0" applyFill="1" applyFont="1"/>
    <xf borderId="0" fillId="7" fontId="2" numFmtId="164" xfId="0" applyFill="1" applyFont="1" applyNumberFormat="1"/>
    <xf borderId="0" fillId="7" fontId="2" numFmtId="0" xfId="0" applyFill="1" applyFont="1"/>
    <xf borderId="0" fillId="6" fontId="9" numFmtId="0" xfId="0" applyAlignment="1" applyFill="1" applyFont="1">
      <alignment horizontal="left" vertical="center"/>
    </xf>
    <xf borderId="0" fillId="6" fontId="9" numFmtId="0" xfId="0" applyAlignment="1" applyFill="1" applyFont="1">
      <alignment horizontal="center" vertical="center"/>
    </xf>
    <xf borderId="0" fillId="6" fontId="9" numFmtId="0" xfId="0" applyAlignment="1" applyFill="1" applyFont="1">
      <alignment horizontal="right" vertical="center"/>
    </xf>
    <xf borderId="0" fillId="6" fontId="9" numFmtId="164" xfId="0" applyAlignment="1" applyFill="1" applyFont="1" applyNumberFormat="1">
      <alignment horizontal="right" vertical="center"/>
    </xf>
    <xf borderId="0" fillId="0" fontId="10" numFmtId="0" xfId="0" applyAlignment="1" applyFont="1">
      <alignment horizontal="right"/>
    </xf>
    <xf borderId="0" fillId="0" fontId="11" numFmtId="0" xfId="0" applyFont="1"/>
    <xf borderId="0" fillId="0" fontId="12" numFmtId="0" xfId="0" applyFont="1"/>
    <xf borderId="6" fillId="8" fontId="13" numFmtId="0" xfId="0" applyBorder="1" applyFill="1" applyFont="1"/>
    <xf borderId="7" fillId="0" fontId="8" numFmtId="0" xfId="0" applyBorder="1" applyFont="1"/>
    <xf borderId="0" fillId="0" fontId="14" numFmtId="0" xfId="0" applyAlignment="1" applyFont="1">
      <alignment horizontal="center"/>
    </xf>
    <xf borderId="0" fillId="0" fontId="11" numFmtId="3" xfId="0" applyAlignment="1" applyFont="1" applyNumberFormat="1">
      <alignment horizontal="right"/>
    </xf>
    <xf borderId="0" fillId="0" fontId="11" numFmtId="164" xfId="0" applyAlignment="1" applyFont="1" applyNumberFormat="1">
      <alignment horizontal="right"/>
    </xf>
    <xf borderId="0" fillId="0" fontId="15" numFmtId="164" xfId="0" applyAlignment="1" applyFont="1" applyNumberFormat="1">
      <alignment horizontal="right"/>
    </xf>
    <xf borderId="0" fillId="6" fontId="15" numFmtId="164" xfId="0" applyAlignment="1" applyFill="1" applyFont="1" applyNumberFormat="1">
      <alignment horizontal="right"/>
    </xf>
    <xf borderId="0" fillId="0" fontId="2" numFmtId="165" xfId="0" applyFont="1" applyNumberFormat="1"/>
    <xf borderId="0" fillId="9" fontId="14" numFmtId="0" xfId="0" applyFill="1" applyFont="1"/>
    <xf borderId="0" fillId="9" fontId="11" numFmtId="164" xfId="0" applyFill="1" applyFont="1" applyNumberFormat="1"/>
    <xf borderId="0" fillId="0" fontId="16" numFmtId="164" xfId="0" applyAlignment="1" applyFont="1" applyNumberFormat="1">
      <alignment horizontal="right"/>
    </xf>
    <xf borderId="0" fillId="7" fontId="16" numFmtId="164" xfId="0" applyAlignment="1" applyFill="1" applyFont="1" applyNumberFormat="1">
      <alignment horizontal="right"/>
    </xf>
    <xf borderId="0" fillId="9" fontId="11" numFmtId="165" xfId="0" applyFill="1" applyFont="1" applyNumberFormat="1"/>
    <xf borderId="0" fillId="9" fontId="11" numFmtId="3" xfId="0" applyFill="1" applyFont="1" applyNumberFormat="1"/>
    <xf borderId="0" fillId="6" fontId="17" numFmtId="164" xfId="0" applyFill="1" applyFont="1" applyNumberFormat="1"/>
    <xf borderId="0" fillId="7" fontId="2" numFmtId="0" xfId="0" applyAlignment="1" applyFill="1" applyFont="1">
      <alignment vertical="bottom"/>
    </xf>
    <xf borderId="0" fillId="0" fontId="11" numFmtId="0" xfId="0" applyAlignment="1" applyFont="1">
      <alignment horizontal="center"/>
    </xf>
    <xf borderId="0" fillId="0" fontId="11" numFmtId="165" xfId="0" applyAlignment="1" applyFont="1" applyNumberFormat="1">
      <alignment horizontal="right"/>
    </xf>
    <xf borderId="0" fillId="0" fontId="14" numFmtId="165" xfId="0" applyAlignment="1" applyFont="1" applyNumberFormat="1">
      <alignment horizontal="right"/>
    </xf>
    <xf borderId="0" fillId="8" fontId="14" numFmtId="0" xfId="0" applyFill="1" applyFont="1"/>
    <xf borderId="0" fillId="8" fontId="13" numFmtId="0" xfId="0" applyFill="1" applyFont="1"/>
    <xf borderId="0" fillId="9" fontId="11" numFmtId="4" xfId="0" applyFill="1" applyFont="1" applyNumberFormat="1"/>
    <xf borderId="0" fillId="0" fontId="14" numFmtId="0" xfId="0" applyFont="1"/>
    <xf borderId="1" fillId="10" fontId="3" numFmtId="0" xfId="0" applyAlignment="1" applyBorder="1" applyFill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2" fillId="2" fontId="3" numFmtId="0" xfId="0" applyAlignment="1" applyBorder="1" applyFill="1" applyFont="1">
      <alignment horizontal="center" vertical="center"/>
    </xf>
    <xf borderId="2" fillId="0" fontId="9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left" vertical="center"/>
    </xf>
    <xf borderId="2" fillId="0" fontId="9" numFmtId="164" xfId="0" applyAlignment="1" applyBorder="1" applyFont="1" applyNumberForma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Total Investment Allocation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Pt>
            <c:idx val="6"/>
            <c:spPr>
              <a:solidFill>
                <a:srgbClr val="84A7D1"/>
              </a:solidFill>
            </c:spPr>
          </c:dPt>
          <c:dPt>
            <c:idx val="7"/>
            <c:spPr>
              <a:solidFill>
                <a:srgbClr val="D38582"/>
              </a:solidFill>
            </c:spPr>
          </c:dPt>
          <c:dPt>
            <c:idx val="8"/>
            <c:spPr>
              <a:solidFill>
                <a:srgbClr val="B9CF8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Dashboard!$AA$4:$AA$12</c:f>
            </c:strRef>
          </c:cat>
          <c:val>
            <c:numRef>
              <c:f>Dashboard!$AB$4:$AB$12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HelperData!$B$1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HelperData!$A$2:$A$11</c:f>
            </c:strRef>
          </c:cat>
          <c:val>
            <c:numRef>
              <c:f>HelperData!$B$2:$B$11</c:f>
              <c:numCache/>
            </c:numRef>
          </c:val>
          <c:smooth val="0"/>
        </c:ser>
        <c:axId val="1730825427"/>
        <c:axId val="1124433074"/>
      </c:lineChart>
      <c:catAx>
        <c:axId val="1730825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24433074"/>
      </c:catAx>
      <c:valAx>
        <c:axId val="11244330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30825427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552450</xdr:colOff>
      <xdr:row>16</xdr:row>
      <xdr:rowOff>19050</xdr:rowOff>
    </xdr:from>
    <xdr:ext cx="5038725" cy="3057525"/>
    <xdr:graphicFrame>
      <xdr:nvGraphicFramePr>
        <xdr:cNvPr id="213245361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1200150</xdr:colOff>
      <xdr:row>16</xdr:row>
      <xdr:rowOff>19050</xdr:rowOff>
    </xdr:from>
    <xdr:ext cx="5038725" cy="3057525"/>
    <xdr:graphicFrame>
      <xdr:nvGraphicFramePr>
        <xdr:cNvPr id="117978562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24.0"/>
    <col customWidth="1" min="4" max="4" width="32.0"/>
    <col customWidth="1" min="5" max="6" width="8.71"/>
  </cols>
  <sheetData>
    <row r="1" ht="39.75" customHeight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5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9.5" customHeight="1">
      <c r="A4" s="8" t="s">
        <v>28</v>
      </c>
      <c r="B4" s="10" t="s">
        <v>33</v>
      </c>
      <c r="C4" s="11"/>
      <c r="D4" s="1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9.5" customHeight="1">
      <c r="A5" s="8" t="s">
        <v>41</v>
      </c>
      <c r="B5" s="10" t="s">
        <v>42</v>
      </c>
      <c r="C5" s="11"/>
      <c r="D5" s="1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9.5" customHeight="1">
      <c r="A6" s="8" t="s">
        <v>47</v>
      </c>
      <c r="B6" s="10" t="s">
        <v>48</v>
      </c>
      <c r="C6" s="11"/>
      <c r="D6" s="1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9.5" customHeight="1">
      <c r="A7" s="8" t="s">
        <v>51</v>
      </c>
      <c r="B7" s="10" t="s">
        <v>52</v>
      </c>
      <c r="C7" s="11"/>
      <c r="D7" s="1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4.0" customHeight="1">
      <c r="A9" s="5" t="s">
        <v>58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9.5" customHeight="1">
      <c r="A10" s="8" t="s">
        <v>61</v>
      </c>
      <c r="B10" s="10" t="s">
        <v>62</v>
      </c>
      <c r="C10" s="11"/>
      <c r="D10" s="1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9.5" customHeight="1">
      <c r="A11" s="8" t="s">
        <v>67</v>
      </c>
      <c r="B11" s="10" t="s">
        <v>68</v>
      </c>
      <c r="C11" s="11"/>
      <c r="D11" s="1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9.5" customHeight="1">
      <c r="A12" s="8" t="s">
        <v>70</v>
      </c>
      <c r="B12" s="10" t="s">
        <v>71</v>
      </c>
      <c r="C12" s="11"/>
      <c r="D12" s="1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9.5" customHeight="1">
      <c r="A13" s="8" t="s">
        <v>77</v>
      </c>
      <c r="B13" s="10" t="s">
        <v>78</v>
      </c>
      <c r="C13" s="11"/>
      <c r="D13" s="1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9.5" customHeight="1">
      <c r="A14" s="8" t="s">
        <v>85</v>
      </c>
      <c r="B14" s="10" t="s">
        <v>87</v>
      </c>
      <c r="C14" s="11"/>
      <c r="D14" s="1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4.0" customHeight="1">
      <c r="A16" s="5" t="s">
        <v>96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5.5" customHeight="1">
      <c r="A17" s="8" t="s">
        <v>104</v>
      </c>
      <c r="B17" s="10" t="s">
        <v>105</v>
      </c>
      <c r="C17" s="11"/>
      <c r="D17" s="1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9.5" customHeight="1">
      <c r="A18" s="8" t="s">
        <v>111</v>
      </c>
      <c r="B18" s="10" t="s">
        <v>112</v>
      </c>
      <c r="C18" s="11"/>
      <c r="D18" s="1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9.5" customHeight="1">
      <c r="A19" s="8" t="s">
        <v>121</v>
      </c>
      <c r="B19" s="10" t="s">
        <v>122</v>
      </c>
      <c r="C19" s="11"/>
      <c r="D19" s="1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9.5" customHeight="1">
      <c r="A20" s="8" t="s">
        <v>125</v>
      </c>
      <c r="B20" s="10" t="s">
        <v>126</v>
      </c>
      <c r="C20" s="11"/>
      <c r="D20" s="1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9.5" customHeight="1">
      <c r="A21" s="8" t="s">
        <v>130</v>
      </c>
      <c r="B21" s="10" t="s">
        <v>131</v>
      </c>
      <c r="C21" s="11"/>
      <c r="D21" s="1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4.0" customHeight="1">
      <c r="A23" s="5" t="s">
        <v>140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32.25" customHeight="1">
      <c r="A24" s="8" t="s">
        <v>111</v>
      </c>
      <c r="B24" s="10" t="s">
        <v>144</v>
      </c>
      <c r="C24" s="11"/>
      <c r="D24" s="1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8.5" customHeight="1">
      <c r="A25" s="8" t="s">
        <v>150</v>
      </c>
      <c r="B25" s="10" t="s">
        <v>152</v>
      </c>
      <c r="C25" s="11"/>
      <c r="D25" s="1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9.5" customHeight="1">
      <c r="A26" s="8" t="s">
        <v>157</v>
      </c>
      <c r="B26" s="10" t="s">
        <v>160</v>
      </c>
      <c r="C26" s="11"/>
      <c r="D26" s="1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9.25" customHeight="1">
      <c r="A27" s="8" t="s">
        <v>130</v>
      </c>
      <c r="B27" s="10" t="s">
        <v>167</v>
      </c>
      <c r="C27" s="11"/>
      <c r="D27" s="1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32.25" customHeight="1">
      <c r="A28" s="8" t="s">
        <v>172</v>
      </c>
      <c r="B28" s="10" t="s">
        <v>174</v>
      </c>
      <c r="C28" s="11"/>
      <c r="D28" s="1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24.0" customHeight="1">
      <c r="A42" s="5" t="s">
        <v>230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9.5" customHeight="1">
      <c r="A43" s="8" t="s">
        <v>235</v>
      </c>
      <c r="B43" s="10" t="s">
        <v>236</v>
      </c>
      <c r="C43" s="11"/>
      <c r="D43" s="1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9.5" customHeight="1">
      <c r="A44" s="8" t="s">
        <v>240</v>
      </c>
      <c r="B44" s="10" t="s">
        <v>241</v>
      </c>
      <c r="C44" s="11"/>
      <c r="D44" s="1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9.5" customHeight="1">
      <c r="A45" s="8" t="s">
        <v>246</v>
      </c>
      <c r="B45" s="10" t="s">
        <v>247</v>
      </c>
      <c r="C45" s="11"/>
      <c r="D45" s="1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9.5" customHeight="1">
      <c r="A46" s="8" t="s">
        <v>250</v>
      </c>
      <c r="B46" s="10" t="s">
        <v>251</v>
      </c>
      <c r="C46" s="11"/>
      <c r="D46" s="1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9.5" customHeight="1">
      <c r="A47" s="8" t="s">
        <v>255</v>
      </c>
      <c r="B47" s="10" t="s">
        <v>256</v>
      </c>
      <c r="C47" s="11"/>
      <c r="D47" s="1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mergeCells count="25">
    <mergeCell ref="A1:D1"/>
    <mergeCell ref="B4:D4"/>
    <mergeCell ref="B5:D5"/>
    <mergeCell ref="B6:D6"/>
    <mergeCell ref="B7:D7"/>
    <mergeCell ref="B10:D10"/>
    <mergeCell ref="B11:D11"/>
    <mergeCell ref="B12:D12"/>
    <mergeCell ref="B13:D13"/>
    <mergeCell ref="B14:D14"/>
    <mergeCell ref="B17:D17"/>
    <mergeCell ref="B18:D18"/>
    <mergeCell ref="B19:D19"/>
    <mergeCell ref="B20:D20"/>
    <mergeCell ref="B44:D44"/>
    <mergeCell ref="B45:D45"/>
    <mergeCell ref="B46:D46"/>
    <mergeCell ref="B47:D47"/>
    <mergeCell ref="B21:D21"/>
    <mergeCell ref="B24:D24"/>
    <mergeCell ref="B25:D25"/>
    <mergeCell ref="B26:D26"/>
    <mergeCell ref="B27:D27"/>
    <mergeCell ref="B28:D28"/>
    <mergeCell ref="B43:D4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22.0"/>
    <col customWidth="1" min="3" max="3" width="8.71"/>
    <col customWidth="1" min="4" max="13" width="15.0"/>
    <col customWidth="1" hidden="1" min="15" max="16" width="13.0"/>
  </cols>
  <sheetData>
    <row r="1" ht="30.0" customHeight="1">
      <c r="A1" s="24" t="s">
        <v>168</v>
      </c>
      <c r="B1" s="25"/>
      <c r="C1" s="25"/>
      <c r="D1" s="25"/>
      <c r="E1" s="25"/>
      <c r="F1" s="25"/>
      <c r="G1" s="25"/>
      <c r="H1" s="25"/>
      <c r="I1" s="25"/>
      <c r="J1" s="25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26" t="s">
        <v>179</v>
      </c>
      <c r="B2" s="25"/>
      <c r="C2" s="25"/>
      <c r="D2" s="25"/>
      <c r="E2" s="25"/>
      <c r="F2" s="25"/>
      <c r="G2" s="25"/>
      <c r="H2" s="25"/>
      <c r="I2" s="25"/>
      <c r="J2" s="2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4" t="s">
        <v>183</v>
      </c>
      <c r="B3" s="4" t="s">
        <v>185</v>
      </c>
      <c r="C3" s="25"/>
      <c r="D3" s="9" t="s">
        <v>2</v>
      </c>
      <c r="E3" s="9" t="s">
        <v>10</v>
      </c>
      <c r="F3" s="9" t="s">
        <v>13</v>
      </c>
      <c r="G3" s="9" t="s">
        <v>19</v>
      </c>
      <c r="H3" s="9" t="s">
        <v>35</v>
      </c>
      <c r="I3" s="9" t="s">
        <v>186</v>
      </c>
      <c r="J3" s="9" t="s">
        <v>187</v>
      </c>
      <c r="K3" s="9" t="s">
        <v>36</v>
      </c>
      <c r="L3" s="9" t="s">
        <v>188</v>
      </c>
      <c r="M3" s="9" t="s">
        <v>189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7" t="s">
        <v>193</v>
      </c>
      <c r="B4" s="28"/>
      <c r="C4" s="25"/>
      <c r="D4" s="29" t="s">
        <v>177</v>
      </c>
      <c r="E4" s="30">
        <v>4.0</v>
      </c>
      <c r="F4" s="31">
        <v>806.25</v>
      </c>
      <c r="G4" s="31">
        <v>896.2857142857143</v>
      </c>
      <c r="H4" s="31">
        <v>825.5</v>
      </c>
      <c r="I4" s="31">
        <v>3225.0</v>
      </c>
      <c r="J4" s="32">
        <v>3302.0</v>
      </c>
      <c r="K4" s="33">
        <v>77.0</v>
      </c>
      <c r="L4" s="34">
        <v>0.2138040460134866</v>
      </c>
      <c r="M4" s="34">
        <f t="shared" ref="M4:M13" si="1">I4/$B$11</f>
        <v>0.1705739111</v>
      </c>
      <c r="N4" s="2"/>
      <c r="O4" s="2" t="s">
        <v>203</v>
      </c>
      <c r="P4" s="2">
        <v>3225.0</v>
      </c>
      <c r="Q4" s="2"/>
      <c r="R4" s="2"/>
      <c r="S4" s="2"/>
      <c r="T4" s="2"/>
      <c r="U4" s="2"/>
      <c r="V4" s="2"/>
      <c r="W4" s="2"/>
      <c r="X4" s="2"/>
      <c r="Y4" s="2"/>
      <c r="Z4" s="2"/>
      <c r="AA4" s="6" t="s">
        <v>203</v>
      </c>
      <c r="AB4" s="6">
        <v>3225.0</v>
      </c>
    </row>
    <row r="5">
      <c r="A5" s="35" t="s">
        <v>204</v>
      </c>
      <c r="B5" s="36">
        <f>SUMIF(Capital!B:B, "DEPOSIT", Capital!C:C)</f>
        <v>20000</v>
      </c>
      <c r="C5" s="25"/>
      <c r="D5" s="29" t="s">
        <v>117</v>
      </c>
      <c r="E5" s="30">
        <v>4.0</v>
      </c>
      <c r="F5" s="31">
        <v>473.0</v>
      </c>
      <c r="G5" s="31">
        <v>525.25</v>
      </c>
      <c r="H5" s="31">
        <v>475.0</v>
      </c>
      <c r="I5" s="31">
        <v>1892.0</v>
      </c>
      <c r="J5" s="32">
        <v>1900.0</v>
      </c>
      <c r="K5" s="33">
        <v>8.0</v>
      </c>
      <c r="L5" s="34">
        <v>0.03827751196172249</v>
      </c>
      <c r="M5" s="34">
        <f t="shared" si="1"/>
        <v>0.1000700279</v>
      </c>
      <c r="N5" s="2"/>
      <c r="O5" s="2" t="s">
        <v>211</v>
      </c>
      <c r="P5" s="2">
        <v>1892.0</v>
      </c>
      <c r="Q5" s="2"/>
      <c r="R5" s="2"/>
      <c r="S5" s="2"/>
      <c r="T5" s="2"/>
      <c r="U5" s="2"/>
      <c r="V5" s="2"/>
      <c r="W5" s="2"/>
      <c r="X5" s="2"/>
      <c r="Y5" s="2"/>
      <c r="Z5" s="2"/>
      <c r="AA5" s="6" t="s">
        <v>211</v>
      </c>
      <c r="AB5" s="6">
        <v>1892.0</v>
      </c>
    </row>
    <row r="6">
      <c r="A6" s="35" t="s">
        <v>213</v>
      </c>
      <c r="B6" s="36">
        <f>SUM(Ledger!M:M)</f>
        <v>7</v>
      </c>
      <c r="C6" s="25"/>
      <c r="D6" s="29" t="s">
        <v>217</v>
      </c>
      <c r="E6" s="30">
        <v>8.0</v>
      </c>
      <c r="F6" s="31">
        <v>68.87</v>
      </c>
      <c r="G6" s="31">
        <v>81.37</v>
      </c>
      <c r="H6" s="31">
        <v>63.56999969482422</v>
      </c>
      <c r="I6" s="31">
        <v>550.96</v>
      </c>
      <c r="J6" s="37">
        <v>508.5599975585938</v>
      </c>
      <c r="K6" s="38">
        <v>-42.40000244140629</v>
      </c>
      <c r="L6" s="34">
        <v>-0.4240000244140629</v>
      </c>
      <c r="M6" s="34">
        <f t="shared" si="1"/>
        <v>0.02914089987</v>
      </c>
      <c r="N6" s="2"/>
      <c r="O6" s="2" t="s">
        <v>222</v>
      </c>
      <c r="P6" s="2">
        <v>550.96</v>
      </c>
      <c r="Q6" s="2"/>
      <c r="R6" s="2"/>
      <c r="S6" s="2"/>
      <c r="T6" s="2"/>
      <c r="U6" s="2"/>
      <c r="V6" s="2"/>
      <c r="W6" s="2"/>
      <c r="X6" s="2"/>
      <c r="Y6" s="2"/>
      <c r="Z6" s="2"/>
      <c r="AA6" s="6" t="s">
        <v>222</v>
      </c>
      <c r="AB6" s="6">
        <v>550.96</v>
      </c>
    </row>
    <row r="7">
      <c r="A7" s="35" t="s">
        <v>223</v>
      </c>
      <c r="B7" s="39">
        <f>B6/B5</f>
        <v>0.00035</v>
      </c>
      <c r="C7" s="25"/>
      <c r="D7" s="29" t="s">
        <v>226</v>
      </c>
      <c r="E7" s="30">
        <v>10.0</v>
      </c>
      <c r="F7" s="31">
        <v>166.02</v>
      </c>
      <c r="G7" s="31">
        <v>197.93</v>
      </c>
      <c r="H7" s="31">
        <v>169.5200042724609</v>
      </c>
      <c r="I7" s="31">
        <v>1660.2</v>
      </c>
      <c r="J7" s="32">
        <v>1695.200042724609</v>
      </c>
      <c r="K7" s="33">
        <v>35.00004272460933</v>
      </c>
      <c r="L7" s="34">
        <v>0.1096836186919752</v>
      </c>
      <c r="M7" s="34">
        <f t="shared" si="1"/>
        <v>0.08780986272</v>
      </c>
      <c r="N7" s="2"/>
      <c r="O7" s="2" t="s">
        <v>228</v>
      </c>
      <c r="P7" s="2">
        <v>1660.2</v>
      </c>
      <c r="Q7" s="2"/>
      <c r="R7" s="2"/>
      <c r="S7" s="2"/>
      <c r="T7" s="2"/>
      <c r="U7" s="2"/>
      <c r="V7" s="2"/>
      <c r="W7" s="2"/>
      <c r="X7" s="2"/>
      <c r="Y7" s="2"/>
      <c r="Z7" s="2"/>
      <c r="AA7" s="6" t="s">
        <v>228</v>
      </c>
      <c r="AB7" s="6">
        <v>1660.2</v>
      </c>
    </row>
    <row r="8">
      <c r="A8" s="35" t="s">
        <v>231</v>
      </c>
      <c r="B8" s="36">
        <f>B13+B12</f>
        <v>19676.22</v>
      </c>
      <c r="C8" s="25"/>
      <c r="D8" s="29" t="s">
        <v>234</v>
      </c>
      <c r="E8" s="30">
        <v>3.0</v>
      </c>
      <c r="F8" s="31">
        <v>426.8</v>
      </c>
      <c r="G8" s="31">
        <v>500.0</v>
      </c>
      <c r="H8" s="31">
        <v>444.5499877929688</v>
      </c>
      <c r="I8" s="31">
        <v>1280.4</v>
      </c>
      <c r="J8" s="32">
        <v>1333.649963378906</v>
      </c>
      <c r="K8" s="33">
        <v>53.24996337890616</v>
      </c>
      <c r="L8" s="34">
        <v>0.2424861720350921</v>
      </c>
      <c r="M8" s="34">
        <f t="shared" si="1"/>
        <v>0.06772180955</v>
      </c>
      <c r="N8" s="2"/>
      <c r="O8" s="2" t="s">
        <v>237</v>
      </c>
      <c r="P8" s="2">
        <v>1471.5</v>
      </c>
      <c r="Q8" s="2"/>
      <c r="R8" s="2"/>
      <c r="S8" s="2"/>
      <c r="T8" s="2"/>
      <c r="U8" s="2"/>
      <c r="V8" s="2"/>
      <c r="W8" s="2"/>
      <c r="X8" s="2"/>
      <c r="Y8" s="2"/>
      <c r="Z8" s="2"/>
      <c r="AA8" s="6" t="s">
        <v>237</v>
      </c>
      <c r="AB8" s="6">
        <v>1471.5</v>
      </c>
    </row>
    <row r="9">
      <c r="A9" s="35" t="s">
        <v>238</v>
      </c>
      <c r="B9" s="40">
        <f>COUNTIF(Ledger!N:N, "WIN") + COUNTIF(Ledger!N:N, "LOSS") + COUNTIF(Ledger!N:N, "OPEN")</f>
        <v>36</v>
      </c>
      <c r="C9" s="25"/>
      <c r="D9" s="29" t="s">
        <v>243</v>
      </c>
      <c r="E9" s="30">
        <v>150.0</v>
      </c>
      <c r="F9" s="31">
        <v>9.7</v>
      </c>
      <c r="G9" s="31">
        <v>15.0</v>
      </c>
      <c r="H9" s="31">
        <v>9.380000114440918</v>
      </c>
      <c r="I9" s="31">
        <v>1455.0</v>
      </c>
      <c r="J9" s="37">
        <v>1407.000017166138</v>
      </c>
      <c r="K9" s="38">
        <v>-47.9999828338623</v>
      </c>
      <c r="L9" s="34">
        <v>-0.06037733689793987</v>
      </c>
      <c r="M9" s="34">
        <f t="shared" si="1"/>
        <v>0.07695660177</v>
      </c>
      <c r="N9" s="2"/>
      <c r="O9" s="2" t="s">
        <v>245</v>
      </c>
      <c r="P9" s="2">
        <v>1280.4</v>
      </c>
      <c r="Q9" s="2"/>
      <c r="R9" s="2"/>
      <c r="S9" s="2"/>
      <c r="T9" s="2"/>
      <c r="U9" s="2"/>
      <c r="V9" s="2"/>
      <c r="W9" s="2"/>
      <c r="X9" s="2"/>
      <c r="Y9" s="2"/>
      <c r="Z9" s="2"/>
      <c r="AA9" s="6" t="s">
        <v>245</v>
      </c>
      <c r="AB9" s="6">
        <v>1280.4</v>
      </c>
    </row>
    <row r="10">
      <c r="A10" s="35" t="s">
        <v>248</v>
      </c>
      <c r="B10" s="39">
        <f>IF((COUNTIF(Ledger!N:N, "WIN")+COUNTIF(Ledger!N:N, "LOSS"))&gt;0, COUNTIF(Ledger!N:N, "WIN")/(COUNTIF(Ledger!N:N, "WIN")+COUNTIF(Ledger!N:N, "LOSS")), 0)</f>
        <v>0.3846153846</v>
      </c>
      <c r="C10" s="25"/>
      <c r="D10" s="29" t="s">
        <v>254</v>
      </c>
      <c r="E10" s="30">
        <v>100.0</v>
      </c>
      <c r="F10" s="31">
        <v>21.8</v>
      </c>
      <c r="G10" s="31">
        <v>26.55</v>
      </c>
      <c r="H10" s="31">
        <v>21.8</v>
      </c>
      <c r="I10" s="31">
        <v>2180.0</v>
      </c>
      <c r="J10" s="32">
        <v>2180.0</v>
      </c>
      <c r="K10" s="33">
        <v>0.0</v>
      </c>
      <c r="L10" s="34">
        <v>0.0</v>
      </c>
      <c r="M10" s="34">
        <f t="shared" si="1"/>
        <v>0.1153026748</v>
      </c>
      <c r="N10" s="2"/>
      <c r="O10" s="2" t="s">
        <v>258</v>
      </c>
      <c r="P10" s="2">
        <v>1455.0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6" t="s">
        <v>258</v>
      </c>
      <c r="AB10" s="6">
        <v>1455.0</v>
      </c>
    </row>
    <row r="11">
      <c r="A11" s="35" t="s">
        <v>260</v>
      </c>
      <c r="B11" s="36">
        <f>SUMPRODUCT((Ledger!N2:N5000="OPEN")*(Ledger!E2:E5000)*(Ledger!D2:D5000))</f>
        <v>18906.76</v>
      </c>
      <c r="C11" s="25"/>
      <c r="D11" s="29" t="s">
        <v>262</v>
      </c>
      <c r="E11" s="30">
        <v>4.0</v>
      </c>
      <c r="F11" s="31">
        <v>539.3</v>
      </c>
      <c r="G11" s="31">
        <v>640.46</v>
      </c>
      <c r="H11" s="31">
        <v>561.7000122070312</v>
      </c>
      <c r="I11" s="31">
        <v>2157.2</v>
      </c>
      <c r="J11" s="32">
        <v>2246.800048828125</v>
      </c>
      <c r="K11" s="33">
        <v>89.60004882812518</v>
      </c>
      <c r="L11" s="34">
        <v>0.2214315164791546</v>
      </c>
      <c r="M11" s="34">
        <f t="shared" si="1"/>
        <v>0.1140967569</v>
      </c>
      <c r="N11" s="2"/>
      <c r="O11" s="2" t="s">
        <v>264</v>
      </c>
      <c r="P11" s="2">
        <v>2180.0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6" t="s">
        <v>264</v>
      </c>
      <c r="AB11" s="6">
        <v>2180.0</v>
      </c>
    </row>
    <row r="12">
      <c r="A12" s="35" t="s">
        <v>265</v>
      </c>
      <c r="B12" s="41">
        <v>19075.00999641418</v>
      </c>
      <c r="C12" s="25"/>
      <c r="D12" s="29" t="s">
        <v>267</v>
      </c>
      <c r="E12" s="30">
        <v>2.0</v>
      </c>
      <c r="F12" s="31">
        <v>963.0</v>
      </c>
      <c r="G12" s="31">
        <v>1086.64</v>
      </c>
      <c r="H12" s="31">
        <v>980.0</v>
      </c>
      <c r="I12" s="31">
        <v>1926.0</v>
      </c>
      <c r="J12" s="32">
        <v>1960.0</v>
      </c>
      <c r="K12" s="33">
        <v>34.0</v>
      </c>
      <c r="L12" s="34">
        <v>0.137495956001294</v>
      </c>
      <c r="M12" s="34">
        <f t="shared" si="1"/>
        <v>0.1018683265</v>
      </c>
      <c r="N12" s="2"/>
      <c r="O12" s="2" t="s">
        <v>269</v>
      </c>
      <c r="P12" s="2">
        <v>2157.2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6" t="s">
        <v>269</v>
      </c>
      <c r="AB12" s="6">
        <v>2157.2</v>
      </c>
    </row>
    <row r="13">
      <c r="A13" s="35" t="s">
        <v>270</v>
      </c>
      <c r="B13" s="36">
        <f>B5 - SUMIF(Capital!B:B, "WITHDRAWAL", Capital!C:C) + B6 - B11</f>
        <v>601.21</v>
      </c>
      <c r="C13" s="25"/>
      <c r="D13" s="29" t="s">
        <v>272</v>
      </c>
      <c r="E13" s="30">
        <v>10.0</v>
      </c>
      <c r="F13" s="31">
        <v>258.0</v>
      </c>
      <c r="G13" s="31">
        <v>295.15</v>
      </c>
      <c r="H13" s="31">
        <v>254.1799926757812</v>
      </c>
      <c r="I13" s="31">
        <v>2580.0</v>
      </c>
      <c r="J13" s="37">
        <v>2541.799926757812</v>
      </c>
      <c r="K13" s="38">
        <v>-38.2000732421875</v>
      </c>
      <c r="L13" s="34">
        <v>-0.1028265766949866</v>
      </c>
      <c r="M13" s="34">
        <f t="shared" si="1"/>
        <v>0.1364591289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5" t="s">
        <v>274</v>
      </c>
      <c r="B14" s="40">
        <f>COUNTIF(Ledger!N:N, "WIN")</f>
        <v>10</v>
      </c>
      <c r="C14" s="25"/>
      <c r="D14" s="43"/>
      <c r="E14" s="30"/>
      <c r="F14" s="31"/>
      <c r="G14" s="31"/>
      <c r="H14" s="31"/>
      <c r="I14" s="31"/>
      <c r="J14" s="44"/>
      <c r="K14" s="44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5" t="s">
        <v>277</v>
      </c>
      <c r="B15" s="40">
        <f>COUNTIF(Ledger!N:N, "LOSS")</f>
        <v>16</v>
      </c>
      <c r="C15" s="25"/>
      <c r="D15" s="43"/>
      <c r="E15" s="25"/>
      <c r="F15" s="25"/>
      <c r="G15" s="25"/>
      <c r="H15" s="31"/>
      <c r="I15" s="31"/>
      <c r="J15" s="44"/>
      <c r="K15" s="45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6" t="s">
        <v>280</v>
      </c>
      <c r="B16" s="36">
        <f>SUMIF(Capital!D:D, "*Brokerage &amp; taxes*", Capital!C:C)</f>
        <v>499.03</v>
      </c>
      <c r="C16" s="25"/>
      <c r="D16" s="25"/>
      <c r="E16" s="25"/>
      <c r="F16" s="25"/>
      <c r="G16" s="25"/>
      <c r="H16" s="25"/>
      <c r="I16" s="25"/>
      <c r="J16" s="2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7" t="s">
        <v>282</v>
      </c>
      <c r="C17" s="25"/>
      <c r="D17" s="25"/>
      <c r="E17" s="25"/>
      <c r="F17" s="25"/>
      <c r="G17" s="25"/>
      <c r="H17" s="25"/>
      <c r="I17" s="25"/>
      <c r="J17" s="2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5" t="s">
        <v>283</v>
      </c>
      <c r="B18" s="3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>0.4285714286</v>
      </c>
      <c r="C18" s="25"/>
      <c r="D18" s="25"/>
      <c r="E18" s="25"/>
      <c r="F18" s="25"/>
      <c r="G18" s="25"/>
      <c r="H18" s="25"/>
      <c r="I18" s="25"/>
      <c r="J18" s="2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5" t="s">
        <v>284</v>
      </c>
      <c r="B19" s="36">
        <f>SUMIFS(Ledger!M:M, Ledger!P:P, "SWING")</f>
        <v>60.85</v>
      </c>
      <c r="C19" s="25"/>
      <c r="D19" s="25"/>
      <c r="E19" s="25"/>
      <c r="F19" s="25"/>
      <c r="G19" s="25"/>
      <c r="H19" s="25"/>
      <c r="I19" s="25"/>
      <c r="J19" s="2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5" t="s">
        <v>285</v>
      </c>
      <c r="B20" s="40">
        <f>COUNTIFS(Ledger!P:P, "SWING", Ledger!N:N, "WIN") + COUNTIFS(Ledger!P:P, "SWING", Ledger!N:N, "LOSS")</f>
        <v>21</v>
      </c>
      <c r="C20" s="25"/>
      <c r="D20" s="25"/>
      <c r="E20" s="25"/>
      <c r="F20" s="25"/>
      <c r="G20" s="25"/>
      <c r="H20" s="25"/>
      <c r="I20" s="25"/>
      <c r="J20" s="25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6" t="s">
        <v>286</v>
      </c>
      <c r="B21" s="40">
        <f>COUNTIFS(Ledger!P:P, "SWING", Ledger!N:N, "OPEN")</f>
        <v>10</v>
      </c>
      <c r="C21" s="25"/>
      <c r="D21" s="25"/>
      <c r="E21" s="25"/>
      <c r="F21" s="25"/>
      <c r="G21" s="25"/>
      <c r="H21" s="25"/>
      <c r="I21" s="25"/>
      <c r="J21" s="2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7" t="s">
        <v>287</v>
      </c>
      <c r="C22" s="25"/>
      <c r="D22" s="25"/>
      <c r="E22" s="25"/>
      <c r="F22" s="25"/>
      <c r="G22" s="25"/>
      <c r="H22" s="25"/>
      <c r="I22" s="25"/>
      <c r="J22" s="25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35" t="s">
        <v>288</v>
      </c>
      <c r="B23" s="3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>0.2</v>
      </c>
      <c r="C23" s="25"/>
      <c r="D23" s="25"/>
      <c r="E23" s="25"/>
      <c r="F23" s="25"/>
      <c r="G23" s="25"/>
      <c r="H23" s="25"/>
      <c r="I23" s="25"/>
      <c r="J23" s="2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5" t="s">
        <v>289</v>
      </c>
      <c r="B24" s="36">
        <f>SUMIFS(Ledger!M:M, Ledger!P:P, "INTRADAY")</f>
        <v>-53.85</v>
      </c>
      <c r="C24" s="25"/>
      <c r="D24" s="25"/>
      <c r="E24" s="25"/>
      <c r="F24" s="25"/>
      <c r="G24" s="25"/>
      <c r="H24" s="25"/>
      <c r="I24" s="25"/>
      <c r="J24" s="25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5" t="s">
        <v>290</v>
      </c>
      <c r="B25" s="40">
        <f>COUNTIFS(Ledger!P:P, "INTRADAY", Ledger!N:N, "WIN") + COUNTIFS(Ledger!P:P, "INTRADAY", Ledger!N:N, "LOSS")</f>
        <v>5</v>
      </c>
      <c r="C25" s="25"/>
      <c r="D25" s="25"/>
      <c r="E25" s="25"/>
      <c r="F25" s="25"/>
      <c r="G25" s="25"/>
      <c r="H25" s="25"/>
      <c r="I25" s="25"/>
      <c r="J25" s="2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6" t="s">
        <v>291</v>
      </c>
      <c r="B26" s="40">
        <f>COUNTIFS(Ledger!P:P, "INTRADAY", Ledger!N:N, "OPEN")</f>
        <v>0</v>
      </c>
      <c r="C26" s="25"/>
      <c r="D26" s="25"/>
      <c r="E26" s="25"/>
      <c r="F26" s="25"/>
      <c r="G26" s="25"/>
      <c r="H26" s="25"/>
      <c r="I26" s="25"/>
      <c r="J26" s="25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7" t="s">
        <v>292</v>
      </c>
      <c r="C27" s="25"/>
      <c r="D27" s="25"/>
      <c r="E27" s="25"/>
      <c r="F27" s="25"/>
      <c r="G27" s="25"/>
      <c r="H27" s="25"/>
      <c r="I27" s="25"/>
      <c r="J27" s="25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5" t="s">
        <v>293</v>
      </c>
      <c r="B28" s="48">
        <v>5.194444444444445</v>
      </c>
      <c r="C28" s="25"/>
      <c r="D28" s="25"/>
      <c r="E28" s="25"/>
      <c r="F28" s="25"/>
      <c r="G28" s="25"/>
      <c r="H28" s="25"/>
      <c r="I28" s="25"/>
      <c r="J28" s="25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35" t="s">
        <v>294</v>
      </c>
      <c r="B29" s="48">
        <v>2.4</v>
      </c>
      <c r="C29" s="25"/>
      <c r="D29" s="25"/>
      <c r="E29" s="25"/>
      <c r="F29" s="25"/>
      <c r="G29" s="25"/>
      <c r="H29" s="25"/>
      <c r="I29" s="25"/>
      <c r="J29" s="25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35" t="s">
        <v>295</v>
      </c>
      <c r="B30" s="48">
        <v>7.208333333333333</v>
      </c>
      <c r="C30" s="25"/>
      <c r="D30" s="25"/>
      <c r="E30" s="25"/>
      <c r="F30" s="25"/>
      <c r="G30" s="25"/>
      <c r="H30" s="25"/>
      <c r="I30" s="25"/>
      <c r="J30" s="25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5" t="s">
        <v>296</v>
      </c>
      <c r="B31" s="39">
        <v>0.06422336099808393</v>
      </c>
      <c r="C31" s="25"/>
      <c r="D31" s="25"/>
      <c r="E31" s="25"/>
      <c r="F31" s="25"/>
      <c r="G31" s="25"/>
      <c r="H31" s="25"/>
      <c r="I31" s="25"/>
      <c r="J31" s="25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5" t="s">
        <v>297</v>
      </c>
      <c r="B32" s="39">
        <v>-0.03977667713730747</v>
      </c>
      <c r="C32" s="25"/>
      <c r="D32" s="25"/>
      <c r="E32" s="25"/>
      <c r="F32" s="25"/>
      <c r="G32" s="25"/>
      <c r="H32" s="25"/>
      <c r="I32" s="25"/>
      <c r="J32" s="25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9" t="s">
        <v>298</v>
      </c>
      <c r="B33" s="36">
        <v>1503.326944444444</v>
      </c>
      <c r="C33" s="25"/>
      <c r="D33" s="25"/>
      <c r="E33" s="25"/>
      <c r="F33" s="25"/>
      <c r="G33" s="25"/>
      <c r="H33" s="25"/>
      <c r="I33" s="25"/>
      <c r="J33" s="25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O221" s="2"/>
      <c r="P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O222" s="2"/>
      <c r="P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O223" s="2"/>
      <c r="P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O224" s="2"/>
      <c r="P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O225" s="2"/>
      <c r="P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O226" s="2"/>
      <c r="P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O227" s="2"/>
      <c r="P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O228" s="2"/>
      <c r="P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O229" s="2"/>
      <c r="P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O230" s="2"/>
      <c r="P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O231" s="2"/>
      <c r="P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O232" s="2"/>
      <c r="P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O233" s="2"/>
      <c r="P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O234" s="2"/>
      <c r="P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O235" s="2"/>
      <c r="P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O236" s="2"/>
      <c r="P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O237" s="2"/>
      <c r="P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O238" s="2"/>
      <c r="P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O239" s="2"/>
      <c r="P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O240" s="2"/>
      <c r="P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O241" s="2"/>
      <c r="P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O242" s="2"/>
      <c r="P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O243" s="2"/>
      <c r="P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O244" s="2"/>
      <c r="P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O245" s="2"/>
      <c r="P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O246" s="2"/>
      <c r="P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O247" s="2"/>
      <c r="P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O248" s="2"/>
      <c r="P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O249" s="2"/>
      <c r="P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O250" s="2"/>
      <c r="P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O251" s="2"/>
      <c r="P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O252" s="2"/>
      <c r="P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O253" s="2"/>
      <c r="P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O254" s="2"/>
      <c r="P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O255" s="2"/>
      <c r="P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O256" s="2"/>
      <c r="P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O257" s="2"/>
      <c r="P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O258" s="2"/>
      <c r="P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O259" s="2"/>
      <c r="P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O260" s="2"/>
      <c r="P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O261" s="2"/>
      <c r="P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O262" s="2"/>
      <c r="P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O263" s="2"/>
      <c r="P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O264" s="2"/>
      <c r="P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O265" s="2"/>
      <c r="P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O266" s="2"/>
      <c r="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O267" s="2"/>
      <c r="P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O269" s="2"/>
      <c r="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O270" s="2"/>
      <c r="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O271" s="2"/>
      <c r="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O272" s="2"/>
      <c r="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O273" s="2"/>
      <c r="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O274" s="2"/>
      <c r="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O275" s="2"/>
      <c r="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O276" s="2"/>
      <c r="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O277" s="2"/>
      <c r="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O278" s="2"/>
      <c r="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O279" s="2"/>
      <c r="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O280" s="2"/>
      <c r="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O281" s="2"/>
      <c r="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O282" s="2"/>
      <c r="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O283" s="2"/>
      <c r="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O284" s="2"/>
      <c r="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O285" s="2"/>
      <c r="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O286" s="2"/>
      <c r="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O287" s="2"/>
      <c r="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O288" s="2"/>
      <c r="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O289" s="2"/>
      <c r="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O290" s="2"/>
      <c r="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O291" s="2"/>
      <c r="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O292" s="2"/>
      <c r="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O293" s="2"/>
      <c r="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O294" s="2"/>
      <c r="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O295" s="2"/>
      <c r="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O296" s="2"/>
      <c r="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O297" s="2"/>
      <c r="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O298" s="2"/>
      <c r="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O299" s="2"/>
      <c r="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O300" s="2"/>
      <c r="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O301" s="2"/>
      <c r="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O302" s="2"/>
      <c r="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O303" s="2"/>
      <c r="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O304" s="2"/>
      <c r="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O305" s="2"/>
      <c r="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O306" s="2"/>
      <c r="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O307" s="2"/>
      <c r="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O308" s="2"/>
      <c r="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O309" s="2"/>
      <c r="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O310" s="2"/>
      <c r="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O311" s="2"/>
      <c r="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O312" s="2"/>
      <c r="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O313" s="2"/>
      <c r="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O314" s="2"/>
      <c r="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O315" s="2"/>
      <c r="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O316" s="2"/>
      <c r="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O317" s="2"/>
      <c r="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O318" s="2"/>
      <c r="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O319" s="2"/>
      <c r="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O320" s="2"/>
      <c r="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O321" s="2"/>
      <c r="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O322" s="2"/>
      <c r="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O323" s="2"/>
      <c r="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O324" s="2"/>
      <c r="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O325" s="2"/>
      <c r="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O326" s="2"/>
      <c r="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O327" s="2"/>
      <c r="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O328" s="2"/>
      <c r="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O329" s="2"/>
      <c r="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O330" s="2"/>
      <c r="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O331" s="2"/>
      <c r="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O332" s="2"/>
      <c r="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O333" s="2"/>
      <c r="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O334" s="2"/>
      <c r="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O335" s="2"/>
      <c r="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O336" s="2"/>
      <c r="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O337" s="2"/>
      <c r="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O338" s="2"/>
      <c r="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O339" s="2"/>
      <c r="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O340" s="2"/>
      <c r="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O341" s="2"/>
      <c r="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O342" s="2"/>
      <c r="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O343" s="2"/>
      <c r="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O344" s="2"/>
      <c r="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O345" s="2"/>
      <c r="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O346" s="2"/>
      <c r="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O347" s="2"/>
      <c r="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O348" s="2"/>
      <c r="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O349" s="2"/>
      <c r="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O350" s="2"/>
      <c r="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O351" s="2"/>
      <c r="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O352" s="2"/>
      <c r="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O353" s="2"/>
      <c r="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O354" s="2"/>
      <c r="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O355" s="2"/>
      <c r="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O356" s="2"/>
      <c r="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O357" s="2"/>
      <c r="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O358" s="2"/>
      <c r="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O359" s="2"/>
      <c r="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O360" s="2"/>
      <c r="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O361" s="2"/>
      <c r="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O362" s="2"/>
      <c r="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O363" s="2"/>
      <c r="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O364" s="2"/>
      <c r="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O365" s="2"/>
      <c r="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O366" s="2"/>
      <c r="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O367" s="2"/>
      <c r="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O368" s="2"/>
      <c r="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O369" s="2"/>
      <c r="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O370" s="2"/>
      <c r="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O371" s="2"/>
      <c r="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O372" s="2"/>
      <c r="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O373" s="2"/>
      <c r="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O374" s="2"/>
      <c r="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O375" s="2"/>
      <c r="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O376" s="2"/>
      <c r="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O377" s="2"/>
      <c r="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O378" s="2"/>
      <c r="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O379" s="2"/>
      <c r="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O380" s="2"/>
      <c r="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O381" s="2"/>
      <c r="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O382" s="2"/>
      <c r="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O383" s="2"/>
      <c r="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O384" s="2"/>
      <c r="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O385" s="2"/>
      <c r="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O386" s="2"/>
      <c r="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O387" s="2"/>
      <c r="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O388" s="2"/>
      <c r="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O389" s="2"/>
      <c r="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O390" s="2"/>
      <c r="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O391" s="2"/>
      <c r="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O392" s="2"/>
      <c r="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O393" s="2"/>
      <c r="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O394" s="2"/>
      <c r="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O395" s="2"/>
      <c r="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O396" s="2"/>
      <c r="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O397" s="2"/>
      <c r="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O398" s="2"/>
      <c r="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O399" s="2"/>
      <c r="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O400" s="2"/>
      <c r="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O401" s="2"/>
      <c r="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O402" s="2"/>
      <c r="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O403" s="2"/>
      <c r="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O404" s="2"/>
      <c r="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O405" s="2"/>
      <c r="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O406" s="2"/>
      <c r="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O407" s="2"/>
      <c r="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O408" s="2"/>
      <c r="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O409" s="2"/>
      <c r="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O410" s="2"/>
      <c r="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O411" s="2"/>
      <c r="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O412" s="2"/>
      <c r="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O413" s="2"/>
      <c r="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O414" s="2"/>
      <c r="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O415" s="2"/>
      <c r="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O416" s="2"/>
      <c r="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O417" s="2"/>
      <c r="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O418" s="2"/>
      <c r="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O419" s="2"/>
      <c r="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O420" s="2"/>
      <c r="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O421" s="2"/>
      <c r="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O422" s="2"/>
      <c r="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O423" s="2"/>
      <c r="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O424" s="2"/>
      <c r="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O425" s="2"/>
      <c r="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O426" s="2"/>
      <c r="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O427" s="2"/>
      <c r="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O428" s="2"/>
      <c r="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O429" s="2"/>
      <c r="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O430" s="2"/>
      <c r="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O431" s="2"/>
      <c r="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O432" s="2"/>
      <c r="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O433" s="2"/>
      <c r="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O434" s="2"/>
      <c r="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O435" s="2"/>
      <c r="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O436" s="2"/>
      <c r="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O437" s="2"/>
      <c r="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O438" s="2"/>
      <c r="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O439" s="2"/>
      <c r="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O440" s="2"/>
      <c r="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O441" s="2"/>
      <c r="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O442" s="2"/>
      <c r="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O443" s="2"/>
      <c r="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O444" s="2"/>
      <c r="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O445" s="2"/>
      <c r="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O446" s="2"/>
      <c r="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O447" s="2"/>
      <c r="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O448" s="2"/>
      <c r="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O449" s="2"/>
      <c r="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O450" s="2"/>
      <c r="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O451" s="2"/>
      <c r="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O452" s="2"/>
      <c r="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O453" s="2"/>
      <c r="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O454" s="2"/>
      <c r="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O455" s="2"/>
      <c r="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O456" s="2"/>
      <c r="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O457" s="2"/>
      <c r="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O458" s="2"/>
      <c r="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O459" s="2"/>
      <c r="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O460" s="2"/>
      <c r="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O461" s="2"/>
      <c r="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O462" s="2"/>
      <c r="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O463" s="2"/>
      <c r="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O464" s="2"/>
      <c r="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O465" s="2"/>
      <c r="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O466" s="2"/>
      <c r="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O467" s="2"/>
      <c r="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O468" s="2"/>
      <c r="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O469" s="2"/>
      <c r="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O470" s="2"/>
      <c r="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O471" s="2"/>
      <c r="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O472" s="2"/>
      <c r="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O473" s="2"/>
      <c r="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O474" s="2"/>
      <c r="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O475" s="2"/>
      <c r="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O476" s="2"/>
      <c r="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O477" s="2"/>
      <c r="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O478" s="2"/>
      <c r="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O479" s="2"/>
      <c r="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O480" s="2"/>
      <c r="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O481" s="2"/>
      <c r="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O482" s="2"/>
      <c r="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O483" s="2"/>
      <c r="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O484" s="2"/>
      <c r="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O485" s="2"/>
      <c r="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O486" s="2"/>
      <c r="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O487" s="2"/>
      <c r="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O488" s="2"/>
      <c r="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O489" s="2"/>
      <c r="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O490" s="2"/>
      <c r="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O491" s="2"/>
      <c r="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O492" s="2"/>
      <c r="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O493" s="2"/>
      <c r="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O494" s="2"/>
      <c r="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O495" s="2"/>
      <c r="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O496" s="2"/>
      <c r="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O497" s="2"/>
      <c r="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O498" s="2"/>
      <c r="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O499" s="2"/>
      <c r="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O500" s="2"/>
      <c r="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O501" s="2"/>
      <c r="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O502" s="2"/>
      <c r="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O503" s="2"/>
      <c r="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O504" s="2"/>
      <c r="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O505" s="2"/>
      <c r="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O506" s="2"/>
      <c r="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O507" s="2"/>
      <c r="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O508" s="2"/>
      <c r="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O509" s="2"/>
      <c r="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O510" s="2"/>
      <c r="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O511" s="2"/>
      <c r="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O512" s="2"/>
      <c r="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O513" s="2"/>
      <c r="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O514" s="2"/>
      <c r="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O515" s="2"/>
      <c r="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O516" s="2"/>
      <c r="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O517" s="2"/>
      <c r="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O518" s="2"/>
      <c r="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O519" s="2"/>
      <c r="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O520" s="2"/>
      <c r="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O521" s="2"/>
      <c r="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O522" s="2"/>
      <c r="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O523" s="2"/>
      <c r="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O524" s="2"/>
      <c r="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O525" s="2"/>
      <c r="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O526" s="2"/>
      <c r="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O527" s="2"/>
      <c r="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O528" s="2"/>
      <c r="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O529" s="2"/>
      <c r="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O530" s="2"/>
      <c r="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O531" s="2"/>
      <c r="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O532" s="2"/>
      <c r="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O533" s="2"/>
      <c r="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O534" s="2"/>
      <c r="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O535" s="2"/>
      <c r="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O536" s="2"/>
      <c r="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O537" s="2"/>
      <c r="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O538" s="2"/>
      <c r="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O539" s="2"/>
      <c r="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O540" s="2"/>
      <c r="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O541" s="2"/>
      <c r="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O542" s="2"/>
      <c r="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O543" s="2"/>
      <c r="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O544" s="2"/>
      <c r="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O545" s="2"/>
      <c r="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O546" s="2"/>
      <c r="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O547" s="2"/>
      <c r="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O548" s="2"/>
      <c r="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O549" s="2"/>
      <c r="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O550" s="2"/>
      <c r="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O551" s="2"/>
      <c r="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O552" s="2"/>
      <c r="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O553" s="2"/>
      <c r="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O554" s="2"/>
      <c r="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O555" s="2"/>
      <c r="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O556" s="2"/>
      <c r="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O557" s="2"/>
      <c r="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O558" s="2"/>
      <c r="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O559" s="2"/>
      <c r="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O560" s="2"/>
      <c r="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O561" s="2"/>
      <c r="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O562" s="2"/>
      <c r="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O563" s="2"/>
      <c r="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O564" s="2"/>
      <c r="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O565" s="2"/>
      <c r="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O566" s="2"/>
      <c r="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O567" s="2"/>
      <c r="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O568" s="2"/>
      <c r="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O569" s="2"/>
      <c r="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O570" s="2"/>
      <c r="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O571" s="2"/>
      <c r="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O572" s="2"/>
      <c r="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O573" s="2"/>
      <c r="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O574" s="2"/>
      <c r="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O575" s="2"/>
      <c r="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O576" s="2"/>
      <c r="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O577" s="2"/>
      <c r="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O578" s="2"/>
      <c r="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O579" s="2"/>
      <c r="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O580" s="2"/>
      <c r="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O581" s="2"/>
      <c r="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O582" s="2"/>
      <c r="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O583" s="2"/>
      <c r="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O584" s="2"/>
      <c r="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O585" s="2"/>
      <c r="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O586" s="2"/>
      <c r="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O587" s="2"/>
      <c r="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O588" s="2"/>
      <c r="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O589" s="2"/>
      <c r="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O590" s="2"/>
      <c r="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O591" s="2"/>
      <c r="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O592" s="2"/>
      <c r="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O593" s="2"/>
      <c r="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O594" s="2"/>
      <c r="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O595" s="2"/>
      <c r="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O596" s="2"/>
      <c r="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O597" s="2"/>
      <c r="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O598" s="2"/>
      <c r="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O599" s="2"/>
      <c r="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O600" s="2"/>
      <c r="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O601" s="2"/>
      <c r="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O602" s="2"/>
      <c r="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O603" s="2"/>
      <c r="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O604" s="2"/>
      <c r="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O605" s="2"/>
      <c r="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O606" s="2"/>
      <c r="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O607" s="2"/>
      <c r="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O608" s="2"/>
      <c r="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O609" s="2"/>
      <c r="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O610" s="2"/>
      <c r="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O611" s="2"/>
      <c r="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O612" s="2"/>
      <c r="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O613" s="2"/>
      <c r="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O614" s="2"/>
      <c r="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O615" s="2"/>
      <c r="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O616" s="2"/>
      <c r="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O617" s="2"/>
      <c r="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O618" s="2"/>
      <c r="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O619" s="2"/>
      <c r="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O620" s="2"/>
      <c r="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O621" s="2"/>
      <c r="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O622" s="2"/>
      <c r="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O623" s="2"/>
      <c r="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O624" s="2"/>
      <c r="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O625" s="2"/>
      <c r="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O626" s="2"/>
      <c r="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O627" s="2"/>
      <c r="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O628" s="2"/>
      <c r="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O629" s="2"/>
      <c r="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O630" s="2"/>
      <c r="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O631" s="2"/>
      <c r="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O632" s="2"/>
      <c r="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O633" s="2"/>
      <c r="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O634" s="2"/>
      <c r="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O635" s="2"/>
      <c r="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O636" s="2"/>
      <c r="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O637" s="2"/>
      <c r="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O638" s="2"/>
      <c r="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O639" s="2"/>
      <c r="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O640" s="2"/>
      <c r="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O641" s="2"/>
      <c r="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O642" s="2"/>
      <c r="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O643" s="2"/>
      <c r="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O644" s="2"/>
      <c r="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O645" s="2"/>
      <c r="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O646" s="2"/>
      <c r="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O647" s="2"/>
      <c r="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O648" s="2"/>
      <c r="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O649" s="2"/>
      <c r="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O650" s="2"/>
      <c r="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O651" s="2"/>
      <c r="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O652" s="2"/>
      <c r="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O653" s="2"/>
      <c r="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O654" s="2"/>
      <c r="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O655" s="2"/>
      <c r="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O656" s="2"/>
      <c r="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O657" s="2"/>
      <c r="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O658" s="2"/>
      <c r="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O659" s="2"/>
      <c r="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O660" s="2"/>
      <c r="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O661" s="2"/>
      <c r="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O662" s="2"/>
      <c r="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O663" s="2"/>
      <c r="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O664" s="2"/>
      <c r="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O665" s="2"/>
      <c r="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O666" s="2"/>
      <c r="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O667" s="2"/>
      <c r="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O668" s="2"/>
      <c r="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O669" s="2"/>
      <c r="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O670" s="2"/>
      <c r="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O671" s="2"/>
      <c r="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O672" s="2"/>
      <c r="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O673" s="2"/>
      <c r="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O674" s="2"/>
      <c r="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O675" s="2"/>
      <c r="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O676" s="2"/>
      <c r="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O677" s="2"/>
      <c r="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O678" s="2"/>
      <c r="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O679" s="2"/>
      <c r="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O680" s="2"/>
      <c r="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O681" s="2"/>
      <c r="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O682" s="2"/>
      <c r="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O683" s="2"/>
      <c r="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O684" s="2"/>
      <c r="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O685" s="2"/>
      <c r="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O686" s="2"/>
      <c r="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O687" s="2"/>
      <c r="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O688" s="2"/>
      <c r="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O689" s="2"/>
      <c r="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O690" s="2"/>
      <c r="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O691" s="2"/>
      <c r="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O692" s="2"/>
      <c r="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O693" s="2"/>
      <c r="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O694" s="2"/>
      <c r="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O695" s="2"/>
      <c r="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O696" s="2"/>
      <c r="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O697" s="2"/>
      <c r="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O698" s="2"/>
      <c r="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O699" s="2"/>
      <c r="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O700" s="2"/>
      <c r="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O701" s="2"/>
      <c r="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O702" s="2"/>
      <c r="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O703" s="2"/>
      <c r="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O704" s="2"/>
      <c r="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O705" s="2"/>
      <c r="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O706" s="2"/>
      <c r="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O707" s="2"/>
      <c r="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O708" s="2"/>
      <c r="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O709" s="2"/>
      <c r="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O710" s="2"/>
      <c r="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O711" s="2"/>
      <c r="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O712" s="2"/>
      <c r="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O713" s="2"/>
      <c r="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O714" s="2"/>
      <c r="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O715" s="2"/>
      <c r="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O716" s="2"/>
      <c r="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O717" s="2"/>
      <c r="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O718" s="2"/>
      <c r="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O719" s="2"/>
      <c r="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O720" s="2"/>
      <c r="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O721" s="2"/>
      <c r="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O722" s="2"/>
      <c r="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O723" s="2"/>
      <c r="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O724" s="2"/>
      <c r="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O725" s="2"/>
      <c r="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O726" s="2"/>
      <c r="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O727" s="2"/>
      <c r="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O728" s="2"/>
      <c r="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O729" s="2"/>
      <c r="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O730" s="2"/>
      <c r="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O731" s="2"/>
      <c r="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O732" s="2"/>
      <c r="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O733" s="2"/>
      <c r="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O734" s="2"/>
      <c r="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O735" s="2"/>
      <c r="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O736" s="2"/>
      <c r="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O737" s="2"/>
      <c r="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O738" s="2"/>
      <c r="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O739" s="2"/>
      <c r="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O740" s="2"/>
      <c r="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O741" s="2"/>
      <c r="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O742" s="2"/>
      <c r="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O743" s="2"/>
      <c r="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O744" s="2"/>
      <c r="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O745" s="2"/>
      <c r="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O746" s="2"/>
      <c r="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O747" s="2"/>
      <c r="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O748" s="2"/>
      <c r="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O749" s="2"/>
      <c r="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O750" s="2"/>
      <c r="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O751" s="2"/>
      <c r="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O752" s="2"/>
      <c r="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O753" s="2"/>
      <c r="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O754" s="2"/>
      <c r="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O755" s="2"/>
      <c r="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O756" s="2"/>
      <c r="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O757" s="2"/>
      <c r="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O758" s="2"/>
      <c r="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O759" s="2"/>
      <c r="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O760" s="2"/>
      <c r="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O761" s="2"/>
      <c r="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O762" s="2"/>
      <c r="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O763" s="2"/>
      <c r="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O764" s="2"/>
      <c r="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O765" s="2"/>
      <c r="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O766" s="2"/>
      <c r="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O767" s="2"/>
      <c r="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O768" s="2"/>
      <c r="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O769" s="2"/>
      <c r="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O770" s="2"/>
      <c r="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O771" s="2"/>
      <c r="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O772" s="2"/>
      <c r="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O773" s="2"/>
      <c r="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O774" s="2"/>
      <c r="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O775" s="2"/>
      <c r="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O776" s="2"/>
      <c r="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O777" s="2"/>
      <c r="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O778" s="2"/>
      <c r="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O779" s="2"/>
      <c r="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O780" s="2"/>
      <c r="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O781" s="2"/>
      <c r="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O782" s="2"/>
      <c r="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O783" s="2"/>
      <c r="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O784" s="2"/>
      <c r="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O785" s="2"/>
      <c r="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O786" s="2"/>
      <c r="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O787" s="2"/>
      <c r="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O788" s="2"/>
      <c r="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O789" s="2"/>
      <c r="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O790" s="2"/>
      <c r="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O791" s="2"/>
      <c r="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O792" s="2"/>
      <c r="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O793" s="2"/>
      <c r="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O794" s="2"/>
      <c r="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O795" s="2"/>
      <c r="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O796" s="2"/>
      <c r="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O797" s="2"/>
      <c r="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O798" s="2"/>
      <c r="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O799" s="2"/>
      <c r="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O800" s="2"/>
      <c r="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O801" s="2"/>
      <c r="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O802" s="2"/>
      <c r="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O803" s="2"/>
      <c r="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O804" s="2"/>
      <c r="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O805" s="2"/>
      <c r="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O806" s="2"/>
      <c r="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O807" s="2"/>
      <c r="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O808" s="2"/>
      <c r="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O809" s="2"/>
      <c r="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O810" s="2"/>
      <c r="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O811" s="2"/>
      <c r="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O812" s="2"/>
      <c r="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O813" s="2"/>
      <c r="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O814" s="2"/>
      <c r="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O815" s="2"/>
      <c r="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O816" s="2"/>
      <c r="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O817" s="2"/>
      <c r="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O818" s="2"/>
      <c r="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O819" s="2"/>
      <c r="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O820" s="2"/>
      <c r="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O821" s="2"/>
      <c r="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O822" s="2"/>
      <c r="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O823" s="2"/>
      <c r="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O824" s="2"/>
      <c r="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O825" s="2"/>
      <c r="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O826" s="2"/>
      <c r="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O827" s="2"/>
      <c r="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O828" s="2"/>
      <c r="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O829" s="2"/>
      <c r="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O830" s="2"/>
      <c r="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O831" s="2"/>
      <c r="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O832" s="2"/>
      <c r="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O833" s="2"/>
      <c r="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O834" s="2"/>
      <c r="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O835" s="2"/>
      <c r="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O836" s="2"/>
      <c r="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O837" s="2"/>
      <c r="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O838" s="2"/>
      <c r="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O839" s="2"/>
      <c r="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O840" s="2"/>
      <c r="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O841" s="2"/>
      <c r="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O842" s="2"/>
      <c r="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O843" s="2"/>
      <c r="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O844" s="2"/>
      <c r="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O845" s="2"/>
      <c r="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O846" s="2"/>
      <c r="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O847" s="2"/>
      <c r="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O848" s="2"/>
      <c r="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O849" s="2"/>
      <c r="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O850" s="2"/>
      <c r="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O851" s="2"/>
      <c r="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O852" s="2"/>
      <c r="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O853" s="2"/>
      <c r="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O854" s="2"/>
      <c r="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O855" s="2"/>
      <c r="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O856" s="2"/>
      <c r="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O857" s="2"/>
      <c r="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O858" s="2"/>
      <c r="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O859" s="2"/>
      <c r="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O860" s="2"/>
      <c r="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O861" s="2"/>
      <c r="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O862" s="2"/>
      <c r="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O863" s="2"/>
      <c r="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O864" s="2"/>
      <c r="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O865" s="2"/>
      <c r="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O866" s="2"/>
      <c r="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O867" s="2"/>
      <c r="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O868" s="2"/>
      <c r="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O869" s="2"/>
      <c r="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O870" s="2"/>
      <c r="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O871" s="2"/>
      <c r="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O872" s="2"/>
      <c r="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O873" s="2"/>
      <c r="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O874" s="2"/>
      <c r="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O875" s="2"/>
      <c r="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O876" s="2"/>
      <c r="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O877" s="2"/>
      <c r="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O878" s="2"/>
      <c r="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O879" s="2"/>
      <c r="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O880" s="2"/>
      <c r="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O881" s="2"/>
      <c r="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O882" s="2"/>
      <c r="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O883" s="2"/>
      <c r="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O884" s="2"/>
      <c r="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O885" s="2"/>
      <c r="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O886" s="2"/>
      <c r="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O887" s="2"/>
      <c r="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O888" s="2"/>
      <c r="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O889" s="2"/>
      <c r="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O890" s="2"/>
      <c r="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O891" s="2"/>
      <c r="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O892" s="2"/>
      <c r="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O893" s="2"/>
      <c r="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O894" s="2"/>
      <c r="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O895" s="2"/>
      <c r="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O896" s="2"/>
      <c r="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O897" s="2"/>
      <c r="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O898" s="2"/>
      <c r="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O899" s="2"/>
      <c r="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O900" s="2"/>
      <c r="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O901" s="2"/>
      <c r="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O902" s="2"/>
      <c r="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O903" s="2"/>
      <c r="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O904" s="2"/>
      <c r="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O905" s="2"/>
      <c r="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O906" s="2"/>
      <c r="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O907" s="2"/>
      <c r="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O908" s="2"/>
      <c r="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O909" s="2"/>
      <c r="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O910" s="2"/>
      <c r="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O911" s="2"/>
      <c r="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O912" s="2"/>
      <c r="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O913" s="2"/>
      <c r="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O914" s="2"/>
      <c r="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O915" s="2"/>
      <c r="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O916" s="2"/>
      <c r="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O917" s="2"/>
      <c r="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O918" s="2"/>
      <c r="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O919" s="2"/>
      <c r="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O920" s="2"/>
      <c r="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O921" s="2"/>
      <c r="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O922" s="2"/>
      <c r="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O923" s="2"/>
      <c r="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O924" s="2"/>
      <c r="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O925" s="2"/>
      <c r="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O926" s="2"/>
      <c r="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O927" s="2"/>
      <c r="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O928" s="2"/>
      <c r="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O929" s="2"/>
      <c r="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O930" s="2"/>
      <c r="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O931" s="2"/>
      <c r="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O932" s="2"/>
      <c r="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O933" s="2"/>
      <c r="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O934" s="2"/>
      <c r="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O935" s="2"/>
      <c r="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O936" s="2"/>
      <c r="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O937" s="2"/>
      <c r="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O938" s="2"/>
      <c r="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O939" s="2"/>
      <c r="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O940" s="2"/>
      <c r="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O941" s="2"/>
      <c r="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O942" s="2"/>
      <c r="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O943" s="2"/>
      <c r="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O944" s="2"/>
      <c r="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O945" s="2"/>
      <c r="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O946" s="2"/>
      <c r="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O947" s="2"/>
      <c r="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O948" s="2"/>
      <c r="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O949" s="2"/>
      <c r="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O950" s="2"/>
      <c r="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O951" s="2"/>
      <c r="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O952" s="2"/>
      <c r="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O953" s="2"/>
      <c r="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O954" s="2"/>
      <c r="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O955" s="2"/>
      <c r="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O956" s="2"/>
      <c r="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O957" s="2"/>
      <c r="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O958" s="2"/>
      <c r="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O959" s="2"/>
      <c r="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O960" s="2"/>
      <c r="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O961" s="2"/>
      <c r="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O962" s="2"/>
      <c r="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O963" s="2"/>
      <c r="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O964" s="2"/>
      <c r="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O965" s="2"/>
      <c r="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O966" s="2"/>
      <c r="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O967" s="2"/>
      <c r="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O968" s="2"/>
      <c r="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O969" s="2"/>
      <c r="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O970" s="2"/>
      <c r="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O971" s="2"/>
      <c r="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O972" s="2"/>
      <c r="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O973" s="2"/>
      <c r="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O974" s="2"/>
      <c r="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O975" s="2"/>
      <c r="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O976" s="2"/>
      <c r="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O977" s="2"/>
      <c r="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O978" s="2"/>
      <c r="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O979" s="2"/>
      <c r="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O980" s="2"/>
      <c r="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O981" s="2"/>
      <c r="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O982" s="2"/>
      <c r="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O983" s="2"/>
      <c r="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O984" s="2"/>
      <c r="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O985" s="2"/>
      <c r="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O986" s="2"/>
      <c r="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O987" s="2"/>
      <c r="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O988" s="2"/>
      <c r="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O989" s="2"/>
      <c r="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O990" s="2"/>
      <c r="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O991" s="2"/>
      <c r="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O992" s="2"/>
      <c r="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O993" s="2"/>
      <c r="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O994" s="2"/>
      <c r="P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O995" s="2"/>
      <c r="P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O1000" s="2"/>
      <c r="P1000" s="2"/>
    </row>
  </sheetData>
  <mergeCells count="4">
    <mergeCell ref="A4:B4"/>
    <mergeCell ref="A17:B17"/>
    <mergeCell ref="A22:B22"/>
    <mergeCell ref="A27:B27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5.0"/>
    <col customWidth="1" min="3" max="3" width="12.86"/>
    <col customWidth="1" min="4" max="4" width="10.86"/>
    <col customWidth="1" min="5" max="9" width="16.0"/>
    <col customWidth="1" min="10" max="10" width="22.0"/>
    <col customWidth="1" min="11" max="14" width="16.0"/>
    <col customWidth="1" min="15" max="15" width="30.0"/>
    <col customWidth="1" min="16" max="16" width="18.0"/>
    <col customWidth="1" min="17" max="19" width="16.0"/>
  </cols>
  <sheetData>
    <row r="1" ht="27.75" customHeight="1">
      <c r="A1" s="4" t="s">
        <v>2</v>
      </c>
      <c r="B1" s="4" t="s">
        <v>3</v>
      </c>
      <c r="C1" s="4" t="s">
        <v>8</v>
      </c>
      <c r="D1" s="4" t="s">
        <v>10</v>
      </c>
      <c r="E1" s="4" t="s">
        <v>13</v>
      </c>
      <c r="F1" s="4" t="s">
        <v>15</v>
      </c>
      <c r="G1" s="4" t="s">
        <v>17</v>
      </c>
      <c r="H1" s="4" t="s">
        <v>19</v>
      </c>
      <c r="I1" s="4" t="s">
        <v>20</v>
      </c>
      <c r="J1" s="4" t="s">
        <v>9</v>
      </c>
      <c r="K1" s="4" t="s">
        <v>21</v>
      </c>
      <c r="L1" s="4" t="s">
        <v>23</v>
      </c>
      <c r="M1" s="4" t="s">
        <v>27</v>
      </c>
      <c r="N1" s="4" t="s">
        <v>29</v>
      </c>
      <c r="O1" s="4" t="s">
        <v>16</v>
      </c>
      <c r="P1" s="9" t="s">
        <v>31</v>
      </c>
      <c r="Q1" s="9" t="s">
        <v>35</v>
      </c>
      <c r="R1" s="9" t="s">
        <v>36</v>
      </c>
      <c r="S1" s="9" t="s">
        <v>37</v>
      </c>
      <c r="T1" s="2"/>
      <c r="U1" s="2"/>
      <c r="V1" s="2"/>
      <c r="W1" s="2"/>
      <c r="X1" s="2"/>
      <c r="Y1" s="2"/>
      <c r="Z1" s="2"/>
    </row>
    <row r="2">
      <c r="A2" s="13" t="s">
        <v>40</v>
      </c>
      <c r="B2" s="13" t="s">
        <v>40</v>
      </c>
      <c r="C2" s="13" t="s">
        <v>22</v>
      </c>
      <c r="D2" s="13">
        <v>1.0</v>
      </c>
      <c r="E2" s="14">
        <v>1951.0</v>
      </c>
      <c r="F2" s="14">
        <v>1963.199951171875</v>
      </c>
      <c r="G2" s="14">
        <v>-12.199951171875</v>
      </c>
      <c r="H2" s="14">
        <v>2091.543361767483</v>
      </c>
      <c r="I2" s="14">
        <v>1899.028245874071</v>
      </c>
      <c r="J2" s="13" t="s">
        <v>44</v>
      </c>
      <c r="K2" s="13" t="s">
        <v>22</v>
      </c>
      <c r="L2" s="14">
        <v>1960.0</v>
      </c>
      <c r="M2" s="14">
        <f t="shared" ref="M2:M37" si="1">IF(OR(N2="WIN", N2="LOSS"), (L2-E2)*D2, 0)</f>
        <v>9</v>
      </c>
      <c r="N2" s="13" t="s">
        <v>55</v>
      </c>
      <c r="O2" s="13" t="s">
        <v>56</v>
      </c>
      <c r="P2" s="15" t="s">
        <v>57</v>
      </c>
      <c r="Q2" s="2"/>
      <c r="R2" s="2"/>
      <c r="S2" s="16">
        <f t="shared" ref="S2:S37" si="2">IF(N2="OPEN", IFERROR(R2/(D2*E2), 0), IF(OR(N2="WIN", N2="LOSS"), IFERROR(M2/(D2*E2), 0), 0))</f>
        <v>0.004613018965</v>
      </c>
      <c r="T2" s="2"/>
      <c r="U2" s="2"/>
      <c r="V2" s="2"/>
      <c r="W2" s="2"/>
      <c r="X2" s="2"/>
      <c r="Y2" s="2"/>
      <c r="Z2" s="2"/>
    </row>
    <row r="3">
      <c r="A3" s="13" t="s">
        <v>24</v>
      </c>
      <c r="B3" s="13" t="s">
        <v>24</v>
      </c>
      <c r="C3" s="13" t="s">
        <v>22</v>
      </c>
      <c r="D3" s="13">
        <v>1.0</v>
      </c>
      <c r="E3" s="14">
        <v>1266.4</v>
      </c>
      <c r="F3" s="14">
        <v>1268.099975585938</v>
      </c>
      <c r="G3" s="14">
        <v>-1.699975585937864</v>
      </c>
      <c r="H3" s="14">
        <v>1369.684246737149</v>
      </c>
      <c r="I3" s="14">
        <v>1217.307840010332</v>
      </c>
      <c r="J3" s="13" t="s">
        <v>66</v>
      </c>
      <c r="K3" s="13" t="s">
        <v>22</v>
      </c>
      <c r="L3" s="14">
        <v>1267.1</v>
      </c>
      <c r="M3" s="14">
        <f t="shared" si="1"/>
        <v>0.7</v>
      </c>
      <c r="N3" s="13" t="s">
        <v>55</v>
      </c>
      <c r="O3" s="13" t="s">
        <v>56</v>
      </c>
      <c r="P3" s="15" t="s">
        <v>57</v>
      </c>
      <c r="Q3" s="2"/>
      <c r="R3" s="2"/>
      <c r="S3" s="16">
        <f t="shared" si="2"/>
        <v>0.0005527479469</v>
      </c>
      <c r="T3" s="2"/>
      <c r="U3" s="2"/>
      <c r="V3" s="2"/>
      <c r="W3" s="2"/>
      <c r="X3" s="2"/>
      <c r="Y3" s="2"/>
      <c r="Z3" s="2"/>
    </row>
    <row r="4">
      <c r="A4" s="17" t="s">
        <v>69</v>
      </c>
      <c r="B4" s="17" t="s">
        <v>69</v>
      </c>
      <c r="C4" s="17" t="s">
        <v>22</v>
      </c>
      <c r="D4" s="17">
        <v>1.0</v>
      </c>
      <c r="E4" s="18">
        <v>1589.1</v>
      </c>
      <c r="F4" s="18">
        <v>1582.699951171875</v>
      </c>
      <c r="G4" s="18">
        <v>6.400048828124909</v>
      </c>
      <c r="H4" s="18">
        <v>1785.968673647753</v>
      </c>
      <c r="I4" s="18">
        <v>1481.065589933936</v>
      </c>
      <c r="J4" s="17" t="s">
        <v>72</v>
      </c>
      <c r="K4" s="17" t="s">
        <v>22</v>
      </c>
      <c r="L4" s="18">
        <v>1575.0</v>
      </c>
      <c r="M4" s="18">
        <f t="shared" si="1"/>
        <v>-14.1</v>
      </c>
      <c r="N4" s="17" t="s">
        <v>76</v>
      </c>
      <c r="O4" s="17" t="s">
        <v>56</v>
      </c>
      <c r="P4" s="19" t="s">
        <v>57</v>
      </c>
      <c r="Q4" s="2"/>
      <c r="R4" s="2"/>
      <c r="S4" s="16">
        <f t="shared" si="2"/>
        <v>-0.008872946951</v>
      </c>
      <c r="T4" s="2"/>
      <c r="U4" s="2"/>
      <c r="V4" s="2"/>
      <c r="W4" s="2"/>
      <c r="X4" s="2"/>
      <c r="Y4" s="2"/>
      <c r="Z4" s="2"/>
    </row>
    <row r="5">
      <c r="A5" s="13" t="s">
        <v>63</v>
      </c>
      <c r="B5" s="13" t="s">
        <v>63</v>
      </c>
      <c r="C5" s="13" t="s">
        <v>59</v>
      </c>
      <c r="D5" s="13">
        <v>2.0</v>
      </c>
      <c r="E5" s="14">
        <v>734.7</v>
      </c>
      <c r="F5" s="14">
        <v>730.4500122070312</v>
      </c>
      <c r="G5" s="14">
        <v>4.249987792968795</v>
      </c>
      <c r="H5" s="14">
        <v>800.5786220005581</v>
      </c>
      <c r="I5" s="14">
        <v>695.3857073102679</v>
      </c>
      <c r="J5" s="13" t="s">
        <v>81</v>
      </c>
      <c r="K5" s="15" t="s">
        <v>82</v>
      </c>
      <c r="L5" s="14">
        <v>798.25</v>
      </c>
      <c r="M5" s="14">
        <f t="shared" si="1"/>
        <v>127.1</v>
      </c>
      <c r="N5" s="13" t="s">
        <v>55</v>
      </c>
      <c r="O5" s="13" t="s">
        <v>83</v>
      </c>
      <c r="P5" s="15" t="s">
        <v>57</v>
      </c>
      <c r="Q5" s="2"/>
      <c r="R5" s="2"/>
      <c r="S5" s="16">
        <f t="shared" si="2"/>
        <v>0.0864978903</v>
      </c>
      <c r="T5" s="2"/>
      <c r="U5" s="2"/>
      <c r="V5" s="2"/>
      <c r="W5" s="2"/>
      <c r="X5" s="2"/>
      <c r="Y5" s="2"/>
      <c r="Z5" s="2"/>
    </row>
    <row r="6">
      <c r="A6" s="20" t="s">
        <v>24</v>
      </c>
      <c r="B6" s="20" t="s">
        <v>25</v>
      </c>
      <c r="C6" s="21" t="s">
        <v>59</v>
      </c>
      <c r="D6" s="22">
        <v>1.0</v>
      </c>
      <c r="E6" s="23">
        <v>1265.1</v>
      </c>
      <c r="F6" s="23">
        <v>1265.1</v>
      </c>
      <c r="G6" s="23">
        <v>0.0</v>
      </c>
      <c r="H6" s="23">
        <v>1368.16</v>
      </c>
      <c r="I6" s="23">
        <v>1217.31</v>
      </c>
      <c r="J6" s="21" t="s">
        <v>66</v>
      </c>
      <c r="K6" s="22" t="s">
        <v>91</v>
      </c>
      <c r="L6" s="23">
        <v>1269.1</v>
      </c>
      <c r="M6" s="23">
        <f t="shared" si="1"/>
        <v>4</v>
      </c>
      <c r="N6" s="21" t="s">
        <v>55</v>
      </c>
      <c r="O6" s="20" t="s">
        <v>83</v>
      </c>
      <c r="P6" s="15" t="s">
        <v>57</v>
      </c>
      <c r="Q6" s="2"/>
      <c r="R6" s="2"/>
      <c r="S6" s="16">
        <f t="shared" si="2"/>
        <v>0.003161805391</v>
      </c>
      <c r="T6" s="2"/>
      <c r="U6" s="2"/>
      <c r="V6" s="2"/>
      <c r="W6" s="2"/>
      <c r="X6" s="2"/>
      <c r="Y6" s="2"/>
      <c r="Z6" s="2"/>
    </row>
    <row r="7">
      <c r="A7" s="15" t="s">
        <v>69</v>
      </c>
      <c r="B7" s="15" t="s">
        <v>69</v>
      </c>
      <c r="C7" s="15" t="s">
        <v>84</v>
      </c>
      <c r="D7" s="15">
        <v>1.0</v>
      </c>
      <c r="E7" s="14">
        <v>1579.0</v>
      </c>
      <c r="F7" s="14">
        <v>1593.900024414062</v>
      </c>
      <c r="G7" s="14">
        <v>-14.90002441406205</v>
      </c>
      <c r="H7" s="14">
        <v>1773.642944335938</v>
      </c>
      <c r="I7" s="14">
        <v>1504.028564453125</v>
      </c>
      <c r="J7" s="15" t="s">
        <v>97</v>
      </c>
      <c r="K7" s="15" t="s">
        <v>91</v>
      </c>
      <c r="L7" s="14">
        <v>1634.7</v>
      </c>
      <c r="M7" s="14">
        <f t="shared" si="1"/>
        <v>55.7</v>
      </c>
      <c r="N7" s="15" t="s">
        <v>55</v>
      </c>
      <c r="O7" s="15" t="s">
        <v>83</v>
      </c>
      <c r="P7" s="15" t="s">
        <v>57</v>
      </c>
      <c r="Q7" s="2"/>
      <c r="R7" s="2"/>
      <c r="S7" s="16">
        <f t="shared" si="2"/>
        <v>0.03527549082</v>
      </c>
      <c r="T7" s="2"/>
      <c r="U7" s="2"/>
      <c r="V7" s="2"/>
      <c r="W7" s="2"/>
      <c r="X7" s="2"/>
      <c r="Y7" s="2"/>
      <c r="Z7" s="2"/>
    </row>
    <row r="8">
      <c r="A8" s="15" t="s">
        <v>93</v>
      </c>
      <c r="B8" s="15" t="s">
        <v>94</v>
      </c>
      <c r="C8" s="15" t="s">
        <v>106</v>
      </c>
      <c r="D8" s="15">
        <v>2.0</v>
      </c>
      <c r="E8" s="14">
        <v>519.13</v>
      </c>
      <c r="F8" s="14">
        <v>521.35</v>
      </c>
      <c r="G8" s="14">
        <v>-2.220000000000027</v>
      </c>
      <c r="H8" s="14">
        <v>574.85</v>
      </c>
      <c r="I8" s="14">
        <v>494.6</v>
      </c>
      <c r="J8" s="15" t="s">
        <v>30</v>
      </c>
      <c r="K8" s="15" t="s">
        <v>109</v>
      </c>
      <c r="L8" s="14">
        <v>561.2</v>
      </c>
      <c r="M8" s="14">
        <f t="shared" si="1"/>
        <v>84.14</v>
      </c>
      <c r="N8" s="15" t="s">
        <v>55</v>
      </c>
      <c r="O8" s="15" t="s">
        <v>110</v>
      </c>
      <c r="P8" s="15" t="s">
        <v>57</v>
      </c>
      <c r="Q8" s="2"/>
      <c r="R8" s="2"/>
      <c r="S8" s="16">
        <f t="shared" si="2"/>
        <v>0.08103943136</v>
      </c>
      <c r="T8" s="2"/>
      <c r="U8" s="2"/>
      <c r="V8" s="2"/>
      <c r="W8" s="2"/>
      <c r="X8" s="2"/>
      <c r="Y8" s="2"/>
      <c r="Z8" s="2"/>
    </row>
    <row r="9">
      <c r="A9" s="19" t="s">
        <v>113</v>
      </c>
      <c r="B9" s="19" t="s">
        <v>114</v>
      </c>
      <c r="C9" s="19" t="s">
        <v>115</v>
      </c>
      <c r="D9" s="19">
        <v>4.0</v>
      </c>
      <c r="E9" s="18">
        <v>127.8</v>
      </c>
      <c r="F9" s="18">
        <v>125.01</v>
      </c>
      <c r="G9" s="18">
        <v>2.789999999999992</v>
      </c>
      <c r="H9" s="18">
        <v>145.56</v>
      </c>
      <c r="I9" s="18">
        <v>114.74</v>
      </c>
      <c r="J9" s="19" t="s">
        <v>30</v>
      </c>
      <c r="K9" s="19" t="s">
        <v>109</v>
      </c>
      <c r="L9" s="18">
        <v>118.2425</v>
      </c>
      <c r="M9" s="18">
        <f t="shared" si="1"/>
        <v>-38.23</v>
      </c>
      <c r="N9" s="19" t="s">
        <v>76</v>
      </c>
      <c r="O9" s="19" t="s">
        <v>120</v>
      </c>
      <c r="P9" s="19" t="s">
        <v>57</v>
      </c>
      <c r="Q9" s="2"/>
      <c r="R9" s="2"/>
      <c r="S9" s="16">
        <f t="shared" si="2"/>
        <v>-0.07478482003</v>
      </c>
      <c r="T9" s="2"/>
      <c r="U9" s="2"/>
      <c r="V9" s="2"/>
      <c r="W9" s="2"/>
      <c r="X9" s="2"/>
      <c r="Y9" s="2"/>
      <c r="Z9" s="2"/>
    </row>
    <row r="10">
      <c r="A10" s="19" t="s">
        <v>99</v>
      </c>
      <c r="B10" s="19" t="s">
        <v>99</v>
      </c>
      <c r="C10" s="19" t="s">
        <v>98</v>
      </c>
      <c r="D10" s="19">
        <v>1.0</v>
      </c>
      <c r="E10" s="18">
        <v>1530.0</v>
      </c>
      <c r="F10" s="18">
        <v>1530.0</v>
      </c>
      <c r="G10" s="18">
        <v>0.0</v>
      </c>
      <c r="H10" s="18">
        <v>1549.8</v>
      </c>
      <c r="I10" s="18">
        <v>1520.1</v>
      </c>
      <c r="J10" s="19" t="s">
        <v>30</v>
      </c>
      <c r="K10" s="19" t="s">
        <v>98</v>
      </c>
      <c r="L10" s="18">
        <v>1520.1</v>
      </c>
      <c r="M10" s="18">
        <f t="shared" si="1"/>
        <v>-9.9</v>
      </c>
      <c r="N10" s="19" t="s">
        <v>76</v>
      </c>
      <c r="O10" s="19" t="s">
        <v>127</v>
      </c>
      <c r="P10" s="19" t="s">
        <v>128</v>
      </c>
      <c r="Q10" s="2"/>
      <c r="R10" s="2"/>
      <c r="S10" s="16">
        <f t="shared" si="2"/>
        <v>-0.006470588235</v>
      </c>
      <c r="T10" s="2"/>
      <c r="U10" s="2"/>
      <c r="V10" s="2"/>
      <c r="W10" s="2"/>
      <c r="X10" s="2"/>
      <c r="Y10" s="2"/>
      <c r="Z10" s="2"/>
    </row>
    <row r="11">
      <c r="A11" s="19" t="s">
        <v>107</v>
      </c>
      <c r="B11" s="19" t="s">
        <v>107</v>
      </c>
      <c r="C11" s="19" t="s">
        <v>98</v>
      </c>
      <c r="D11" s="19">
        <v>1.0</v>
      </c>
      <c r="E11" s="18">
        <v>1642.5</v>
      </c>
      <c r="F11" s="18">
        <v>1642.5</v>
      </c>
      <c r="G11" s="18">
        <v>0.0</v>
      </c>
      <c r="H11" s="18">
        <v>1658.5</v>
      </c>
      <c r="I11" s="18">
        <v>1634.5</v>
      </c>
      <c r="J11" s="19" t="s">
        <v>30</v>
      </c>
      <c r="K11" s="19" t="s">
        <v>98</v>
      </c>
      <c r="L11" s="18">
        <v>1634.5</v>
      </c>
      <c r="M11" s="18">
        <f t="shared" si="1"/>
        <v>-8</v>
      </c>
      <c r="N11" s="19" t="s">
        <v>76</v>
      </c>
      <c r="O11" s="19" t="s">
        <v>132</v>
      </c>
      <c r="P11" s="19" t="s">
        <v>128</v>
      </c>
      <c r="Q11" s="2"/>
      <c r="R11" s="2"/>
      <c r="S11" s="16">
        <f t="shared" si="2"/>
        <v>-0.004870624049</v>
      </c>
      <c r="T11" s="2"/>
      <c r="U11" s="2"/>
      <c r="V11" s="2"/>
      <c r="W11" s="2"/>
      <c r="X11" s="2"/>
      <c r="Y11" s="2"/>
      <c r="Z11" s="2"/>
    </row>
    <row r="12">
      <c r="A12" s="15" t="s">
        <v>135</v>
      </c>
      <c r="B12" s="15" t="s">
        <v>135</v>
      </c>
      <c r="C12" s="15" t="s">
        <v>82</v>
      </c>
      <c r="D12" s="15">
        <v>8.0</v>
      </c>
      <c r="E12" s="14">
        <v>86.99</v>
      </c>
      <c r="F12" s="14">
        <v>86.99</v>
      </c>
      <c r="G12" s="14">
        <v>0.0</v>
      </c>
      <c r="H12" s="14">
        <v>101.83</v>
      </c>
      <c r="I12" s="14">
        <v>79.57</v>
      </c>
      <c r="J12" s="15" t="s">
        <v>30</v>
      </c>
      <c r="K12" s="15" t="s">
        <v>136</v>
      </c>
      <c r="L12" s="14">
        <v>103.24</v>
      </c>
      <c r="M12" s="14">
        <f t="shared" si="1"/>
        <v>130</v>
      </c>
      <c r="N12" s="15" t="s">
        <v>55</v>
      </c>
      <c r="O12" s="15" t="s">
        <v>139</v>
      </c>
      <c r="P12" s="15" t="s">
        <v>57</v>
      </c>
      <c r="Q12" s="2"/>
      <c r="R12" s="2"/>
      <c r="S12" s="16">
        <f t="shared" si="2"/>
        <v>0.1868030808</v>
      </c>
      <c r="T12" s="2"/>
      <c r="U12" s="2"/>
      <c r="V12" s="2"/>
      <c r="W12" s="2"/>
      <c r="X12" s="2"/>
      <c r="Y12" s="2"/>
      <c r="Z12" s="2"/>
    </row>
    <row r="13">
      <c r="A13" s="19" t="s">
        <v>141</v>
      </c>
      <c r="B13" s="19" t="s">
        <v>141</v>
      </c>
      <c r="C13" s="19" t="s">
        <v>82</v>
      </c>
      <c r="D13" s="19">
        <v>8.0</v>
      </c>
      <c r="E13" s="18">
        <v>82.5</v>
      </c>
      <c r="F13" s="18">
        <v>82.5</v>
      </c>
      <c r="G13" s="18">
        <v>0.0</v>
      </c>
      <c r="H13" s="18">
        <v>93.81</v>
      </c>
      <c r="I13" s="18">
        <v>77.58</v>
      </c>
      <c r="J13" s="19" t="s">
        <v>30</v>
      </c>
      <c r="K13" s="19" t="s">
        <v>136</v>
      </c>
      <c r="L13" s="18">
        <v>77.58</v>
      </c>
      <c r="M13" s="18">
        <f t="shared" si="1"/>
        <v>-39.36</v>
      </c>
      <c r="N13" s="19" t="s">
        <v>76</v>
      </c>
      <c r="O13" s="19" t="s">
        <v>145</v>
      </c>
      <c r="P13" s="19" t="s">
        <v>57</v>
      </c>
      <c r="Q13" s="2"/>
      <c r="R13" s="2"/>
      <c r="S13" s="16">
        <f t="shared" si="2"/>
        <v>-0.05963636364</v>
      </c>
      <c r="T13" s="2"/>
      <c r="U13" s="2"/>
      <c r="V13" s="2"/>
      <c r="W13" s="2"/>
      <c r="X13" s="2"/>
      <c r="Y13" s="2"/>
      <c r="Z13" s="2"/>
    </row>
    <row r="14">
      <c r="A14" s="19" t="s">
        <v>147</v>
      </c>
      <c r="B14" s="19" t="s">
        <v>147</v>
      </c>
      <c r="C14" s="19" t="s">
        <v>82</v>
      </c>
      <c r="D14" s="19">
        <v>3.0</v>
      </c>
      <c r="E14" s="18">
        <v>341.15</v>
      </c>
      <c r="F14" s="18">
        <v>341.15</v>
      </c>
      <c r="G14" s="18">
        <v>0.0</v>
      </c>
      <c r="H14" s="18">
        <v>405.1</v>
      </c>
      <c r="I14" s="18">
        <v>316.2</v>
      </c>
      <c r="J14" s="19" t="s">
        <v>97</v>
      </c>
      <c r="K14" s="19" t="s">
        <v>136</v>
      </c>
      <c r="L14" s="18">
        <v>316.2</v>
      </c>
      <c r="M14" s="18">
        <f t="shared" si="1"/>
        <v>-74.85</v>
      </c>
      <c r="N14" s="19" t="s">
        <v>76</v>
      </c>
      <c r="O14" s="19" t="s">
        <v>153</v>
      </c>
      <c r="P14" s="19" t="s">
        <v>57</v>
      </c>
      <c r="Q14" s="2"/>
      <c r="R14" s="2"/>
      <c r="S14" s="16">
        <f t="shared" si="2"/>
        <v>-0.07313498461</v>
      </c>
      <c r="T14" s="2"/>
      <c r="U14" s="2"/>
      <c r="V14" s="2"/>
      <c r="W14" s="2"/>
      <c r="X14" s="2"/>
      <c r="Y14" s="2"/>
      <c r="Z14" s="2"/>
    </row>
    <row r="15">
      <c r="A15" s="19" t="s">
        <v>154</v>
      </c>
      <c r="B15" s="19" t="s">
        <v>154</v>
      </c>
      <c r="C15" s="19" t="s">
        <v>155</v>
      </c>
      <c r="D15" s="19">
        <v>4.0</v>
      </c>
      <c r="E15" s="18">
        <v>219.6</v>
      </c>
      <c r="F15" s="18">
        <v>219.6</v>
      </c>
      <c r="G15" s="18">
        <v>0.0</v>
      </c>
      <c r="H15" s="18">
        <v>266.25</v>
      </c>
      <c r="I15" s="18">
        <v>219.6</v>
      </c>
      <c r="J15" s="19" t="s">
        <v>30</v>
      </c>
      <c r="K15" s="19" t="s">
        <v>161</v>
      </c>
      <c r="L15" s="19">
        <v>218.97</v>
      </c>
      <c r="M15" s="18">
        <f t="shared" si="1"/>
        <v>-2.52</v>
      </c>
      <c r="N15" s="19" t="s">
        <v>76</v>
      </c>
      <c r="O15" s="19" t="s">
        <v>162</v>
      </c>
      <c r="P15" s="19" t="s">
        <v>57</v>
      </c>
      <c r="Q15" s="2"/>
      <c r="R15" s="2"/>
      <c r="S15" s="16">
        <f t="shared" si="2"/>
        <v>-0.002868852459</v>
      </c>
      <c r="T15" s="2"/>
      <c r="U15" s="2"/>
      <c r="V15" s="2"/>
      <c r="W15" s="2"/>
      <c r="X15" s="2"/>
      <c r="Y15" s="2"/>
      <c r="Z15" s="2"/>
    </row>
    <row r="16">
      <c r="A16" s="15" t="s">
        <v>165</v>
      </c>
      <c r="B16" s="15" t="s">
        <v>165</v>
      </c>
      <c r="C16" s="15" t="s">
        <v>155</v>
      </c>
      <c r="D16" s="15">
        <v>4.0</v>
      </c>
      <c r="E16" s="14">
        <v>202.5</v>
      </c>
      <c r="F16" s="14">
        <v>202.5</v>
      </c>
      <c r="G16" s="14">
        <v>0.0</v>
      </c>
      <c r="H16" s="14">
        <v>238.85</v>
      </c>
      <c r="I16" s="14">
        <v>184.35</v>
      </c>
      <c r="J16" s="15" t="s">
        <v>30</v>
      </c>
      <c r="K16" s="15" t="s">
        <v>109</v>
      </c>
      <c r="L16" s="14">
        <v>236.75</v>
      </c>
      <c r="M16" s="14">
        <f t="shared" si="1"/>
        <v>137</v>
      </c>
      <c r="N16" s="15" t="s">
        <v>55</v>
      </c>
      <c r="O16" s="15" t="s">
        <v>169</v>
      </c>
      <c r="P16" s="15" t="s">
        <v>57</v>
      </c>
      <c r="Q16" s="2"/>
      <c r="R16" s="2"/>
      <c r="S16" s="16">
        <f t="shared" si="2"/>
        <v>0.1691358025</v>
      </c>
      <c r="T16" s="2"/>
      <c r="U16" s="2"/>
      <c r="V16" s="2"/>
      <c r="W16" s="2"/>
      <c r="X16" s="2"/>
      <c r="Y16" s="2"/>
      <c r="Z16" s="2"/>
    </row>
    <row r="17">
      <c r="A17" s="19" t="s">
        <v>175</v>
      </c>
      <c r="B17" s="19" t="s">
        <v>175</v>
      </c>
      <c r="C17" s="19" t="s">
        <v>155</v>
      </c>
      <c r="D17" s="19">
        <v>8.0</v>
      </c>
      <c r="E17" s="18">
        <v>132.01</v>
      </c>
      <c r="F17" s="18">
        <v>132.01</v>
      </c>
      <c r="G17" s="18">
        <v>0.0</v>
      </c>
      <c r="H17" s="18">
        <v>159.05</v>
      </c>
      <c r="I17" s="18">
        <v>118.7</v>
      </c>
      <c r="J17" s="19" t="s">
        <v>30</v>
      </c>
      <c r="K17" s="19" t="s">
        <v>161</v>
      </c>
      <c r="L17" s="19">
        <v>125.73</v>
      </c>
      <c r="M17" s="18">
        <f t="shared" si="1"/>
        <v>-50.24</v>
      </c>
      <c r="N17" s="19" t="s">
        <v>76</v>
      </c>
      <c r="O17" s="19" t="s">
        <v>176</v>
      </c>
      <c r="P17" s="19" t="s">
        <v>57</v>
      </c>
      <c r="Q17" s="2"/>
      <c r="R17" s="2"/>
      <c r="S17" s="16">
        <f t="shared" si="2"/>
        <v>-0.04757215362</v>
      </c>
      <c r="T17" s="2"/>
      <c r="U17" s="2"/>
      <c r="V17" s="2"/>
      <c r="W17" s="2"/>
      <c r="X17" s="2"/>
      <c r="Y17" s="2"/>
      <c r="Z17" s="2"/>
    </row>
    <row r="18">
      <c r="A18" s="19" t="s">
        <v>180</v>
      </c>
      <c r="B18" s="19" t="s">
        <v>180</v>
      </c>
      <c r="C18" s="19" t="s">
        <v>155</v>
      </c>
      <c r="D18" s="19">
        <v>1.0</v>
      </c>
      <c r="E18" s="18">
        <v>192.6</v>
      </c>
      <c r="F18" s="18">
        <v>192.6</v>
      </c>
      <c r="G18" s="18">
        <v>0.0</v>
      </c>
      <c r="H18" s="18">
        <v>195.65</v>
      </c>
      <c r="I18" s="18">
        <v>191.65</v>
      </c>
      <c r="J18" s="19" t="s">
        <v>30</v>
      </c>
      <c r="K18" s="19" t="s">
        <v>155</v>
      </c>
      <c r="L18" s="19">
        <v>191.65</v>
      </c>
      <c r="M18" s="18">
        <f t="shared" si="1"/>
        <v>-0.95</v>
      </c>
      <c r="N18" s="19" t="s">
        <v>76</v>
      </c>
      <c r="O18" s="19" t="s">
        <v>184</v>
      </c>
      <c r="P18" s="19" t="s">
        <v>128</v>
      </c>
      <c r="Q18" s="2"/>
      <c r="R18" s="2"/>
      <c r="S18" s="16">
        <f t="shared" si="2"/>
        <v>-0.004932502596</v>
      </c>
      <c r="T18" s="2"/>
      <c r="U18" s="2"/>
      <c r="V18" s="2"/>
      <c r="W18" s="2"/>
      <c r="X18" s="2"/>
      <c r="Y18" s="2"/>
      <c r="Z18" s="2"/>
    </row>
    <row r="19">
      <c r="A19" s="19" t="s">
        <v>181</v>
      </c>
      <c r="B19" s="19" t="s">
        <v>182</v>
      </c>
      <c r="C19" s="19" t="s">
        <v>116</v>
      </c>
      <c r="D19" s="19">
        <v>3.0</v>
      </c>
      <c r="E19" s="18">
        <v>432.6</v>
      </c>
      <c r="F19" s="18">
        <v>432.6</v>
      </c>
      <c r="G19" s="18">
        <v>0.0</v>
      </c>
      <c r="H19" s="18">
        <v>480.15</v>
      </c>
      <c r="I19" s="18">
        <v>408.85</v>
      </c>
      <c r="J19" s="19" t="s">
        <v>30</v>
      </c>
      <c r="K19" s="19" t="s">
        <v>109</v>
      </c>
      <c r="L19" s="19">
        <v>410.45</v>
      </c>
      <c r="M19" s="18">
        <f t="shared" si="1"/>
        <v>-66.45</v>
      </c>
      <c r="N19" s="19" t="s">
        <v>76</v>
      </c>
      <c r="O19" s="19" t="s">
        <v>192</v>
      </c>
      <c r="P19" s="19" t="s">
        <v>57</v>
      </c>
      <c r="Q19" s="2"/>
      <c r="R19" s="2"/>
      <c r="S19" s="16">
        <f t="shared" si="2"/>
        <v>-0.05120203421</v>
      </c>
      <c r="T19" s="2"/>
      <c r="U19" s="2"/>
      <c r="V19" s="2"/>
      <c r="W19" s="2"/>
      <c r="X19" s="2"/>
      <c r="Y19" s="2"/>
      <c r="Z19" s="2"/>
    </row>
    <row r="20">
      <c r="A20" s="19" t="s">
        <v>194</v>
      </c>
      <c r="B20" s="19" t="s">
        <v>195</v>
      </c>
      <c r="C20" s="19" t="s">
        <v>116</v>
      </c>
      <c r="D20" s="19">
        <v>10.0</v>
      </c>
      <c r="E20" s="18">
        <v>82.74</v>
      </c>
      <c r="F20" s="18">
        <v>82.74</v>
      </c>
      <c r="G20" s="18">
        <v>0.0</v>
      </c>
      <c r="H20" s="18">
        <v>99.31</v>
      </c>
      <c r="I20" s="18">
        <v>74.45</v>
      </c>
      <c r="J20" s="19" t="s">
        <v>30</v>
      </c>
      <c r="K20" s="19" t="s">
        <v>109</v>
      </c>
      <c r="L20" s="18">
        <v>74.45</v>
      </c>
      <c r="M20" s="18">
        <f t="shared" si="1"/>
        <v>-82.9</v>
      </c>
      <c r="N20" s="19" t="s">
        <v>76</v>
      </c>
      <c r="O20" s="19" t="s">
        <v>198</v>
      </c>
      <c r="P20" s="19" t="s">
        <v>57</v>
      </c>
      <c r="Q20" s="2"/>
      <c r="R20" s="2"/>
      <c r="S20" s="16">
        <f t="shared" si="2"/>
        <v>-0.1001933768</v>
      </c>
      <c r="T20" s="2"/>
      <c r="U20" s="2"/>
      <c r="V20" s="2"/>
      <c r="W20" s="2"/>
      <c r="X20" s="2"/>
      <c r="Y20" s="2"/>
      <c r="Z20" s="2"/>
    </row>
    <row r="21" ht="15.75" customHeight="1">
      <c r="A21" s="19" t="s">
        <v>201</v>
      </c>
      <c r="B21" s="19" t="s">
        <v>201</v>
      </c>
      <c r="C21" s="19" t="s">
        <v>109</v>
      </c>
      <c r="D21" s="19">
        <v>5.0</v>
      </c>
      <c r="E21" s="18">
        <v>405.85</v>
      </c>
      <c r="F21" s="18">
        <v>401.3500061035156</v>
      </c>
      <c r="G21" s="18">
        <v>4.499993896484398</v>
      </c>
      <c r="H21" s="18">
        <v>429.2642865862165</v>
      </c>
      <c r="I21" s="18">
        <v>387.3928658621652</v>
      </c>
      <c r="J21" s="19" t="s">
        <v>202</v>
      </c>
      <c r="K21" s="19" t="s">
        <v>109</v>
      </c>
      <c r="L21" s="18">
        <v>399.4</v>
      </c>
      <c r="M21" s="18">
        <f t="shared" si="1"/>
        <v>-32.25</v>
      </c>
      <c r="N21" s="19" t="s">
        <v>76</v>
      </c>
      <c r="O21" s="19" t="s">
        <v>56</v>
      </c>
      <c r="P21" s="19" t="s">
        <v>57</v>
      </c>
      <c r="Q21" s="2"/>
      <c r="R21" s="2"/>
      <c r="S21" s="16">
        <f t="shared" si="2"/>
        <v>-0.01589257115</v>
      </c>
      <c r="T21" s="2"/>
      <c r="U21" s="2"/>
      <c r="V21" s="2"/>
      <c r="W21" s="2"/>
      <c r="X21" s="2"/>
      <c r="Y21" s="2"/>
      <c r="Z21" s="2"/>
    </row>
    <row r="22" ht="15.75" customHeight="1">
      <c r="A22" s="2" t="s">
        <v>177</v>
      </c>
      <c r="B22" s="2" t="s">
        <v>177</v>
      </c>
      <c r="C22" s="2" t="s">
        <v>109</v>
      </c>
      <c r="D22" s="2">
        <v>4.0</v>
      </c>
      <c r="E22" s="7">
        <v>806.25</v>
      </c>
      <c r="F22" s="7">
        <v>802.0</v>
      </c>
      <c r="G22" s="7">
        <v>4.25</v>
      </c>
      <c r="H22" s="7">
        <v>896.2857142857143</v>
      </c>
      <c r="I22" s="7">
        <v>754.8571428571429</v>
      </c>
      <c r="J22" s="2" t="s">
        <v>72</v>
      </c>
      <c r="K22" s="2"/>
      <c r="L22" s="2"/>
      <c r="M22" s="7">
        <f t="shared" si="1"/>
        <v>0</v>
      </c>
      <c r="N22" s="2" t="s">
        <v>206</v>
      </c>
      <c r="O22" s="2" t="s">
        <v>207</v>
      </c>
      <c r="P22" s="2" t="s">
        <v>57</v>
      </c>
      <c r="Q22" s="7">
        <v>825.5</v>
      </c>
      <c r="R22" s="7">
        <v>77.0</v>
      </c>
      <c r="S22" s="16">
        <f t="shared" si="2"/>
        <v>0.02387596899</v>
      </c>
      <c r="T22" s="2"/>
      <c r="U22" s="2"/>
      <c r="V22" s="2"/>
      <c r="W22" s="2"/>
      <c r="X22" s="2"/>
      <c r="Y22" s="2"/>
      <c r="Z22" s="2"/>
    </row>
    <row r="23" ht="15.75" customHeight="1">
      <c r="A23" s="19" t="s">
        <v>210</v>
      </c>
      <c r="B23" s="19" t="s">
        <v>210</v>
      </c>
      <c r="C23" s="19" t="s">
        <v>91</v>
      </c>
      <c r="D23" s="19">
        <v>10.0</v>
      </c>
      <c r="E23" s="18">
        <v>174.7</v>
      </c>
      <c r="F23" s="18">
        <v>181.14</v>
      </c>
      <c r="G23" s="18">
        <v>-6.439999999999998</v>
      </c>
      <c r="H23" s="18">
        <v>213.09</v>
      </c>
      <c r="I23" s="18">
        <v>165.17</v>
      </c>
      <c r="J23" s="19" t="s">
        <v>30</v>
      </c>
      <c r="K23" s="19" t="s">
        <v>212</v>
      </c>
      <c r="L23" s="19">
        <v>165.15</v>
      </c>
      <c r="M23" s="18">
        <f t="shared" si="1"/>
        <v>-95.5</v>
      </c>
      <c r="N23" s="19" t="s">
        <v>76</v>
      </c>
      <c r="O23" s="19" t="s">
        <v>214</v>
      </c>
      <c r="P23" s="19" t="s">
        <v>57</v>
      </c>
      <c r="Q23" s="2"/>
      <c r="R23" s="2"/>
      <c r="S23" s="16">
        <f t="shared" si="2"/>
        <v>-0.05466514024</v>
      </c>
      <c r="T23" s="2"/>
      <c r="U23" s="2"/>
      <c r="V23" s="2"/>
      <c r="W23" s="2"/>
      <c r="X23" s="2"/>
      <c r="Y23" s="2"/>
      <c r="Z23" s="2"/>
    </row>
    <row r="24" ht="15.75" customHeight="1">
      <c r="A24" s="15" t="s">
        <v>218</v>
      </c>
      <c r="B24" s="15" t="s">
        <v>218</v>
      </c>
      <c r="C24" s="15" t="s">
        <v>91</v>
      </c>
      <c r="D24" s="15">
        <v>4.0</v>
      </c>
      <c r="E24" s="14">
        <v>605.0</v>
      </c>
      <c r="F24" s="14">
        <v>589.2</v>
      </c>
      <c r="G24" s="14">
        <v>15.79999999999995</v>
      </c>
      <c r="H24" s="14">
        <v>646.81</v>
      </c>
      <c r="I24" s="14">
        <v>560.39</v>
      </c>
      <c r="J24" s="15" t="s">
        <v>30</v>
      </c>
      <c r="K24" s="15" t="s">
        <v>212</v>
      </c>
      <c r="L24" s="15">
        <v>646.8</v>
      </c>
      <c r="M24" s="14">
        <f t="shared" si="1"/>
        <v>167.2</v>
      </c>
      <c r="N24" s="15" t="s">
        <v>55</v>
      </c>
      <c r="O24" s="15" t="s">
        <v>221</v>
      </c>
      <c r="P24" s="15" t="s">
        <v>57</v>
      </c>
      <c r="Q24" s="2"/>
      <c r="R24" s="2"/>
      <c r="S24" s="16">
        <f t="shared" si="2"/>
        <v>0.06909090909</v>
      </c>
      <c r="T24" s="2"/>
      <c r="U24" s="2"/>
      <c r="V24" s="2"/>
      <c r="W24" s="2"/>
      <c r="X24" s="2"/>
      <c r="Y24" s="2"/>
      <c r="Z24" s="2"/>
    </row>
    <row r="25" ht="15.75" customHeight="1">
      <c r="A25" s="2" t="s">
        <v>117</v>
      </c>
      <c r="B25" s="2" t="s">
        <v>117</v>
      </c>
      <c r="C25" s="2" t="s">
        <v>91</v>
      </c>
      <c r="D25" s="2">
        <v>4.0</v>
      </c>
      <c r="E25" s="7">
        <v>473.0</v>
      </c>
      <c r="F25" s="7">
        <v>470.35</v>
      </c>
      <c r="G25" s="7">
        <v>2.649999999999977</v>
      </c>
      <c r="H25" s="7">
        <v>525.25</v>
      </c>
      <c r="I25" s="7">
        <v>442.9</v>
      </c>
      <c r="J25" s="2" t="s">
        <v>30</v>
      </c>
      <c r="K25" s="2"/>
      <c r="L25" s="2"/>
      <c r="M25" s="7">
        <f t="shared" si="1"/>
        <v>0</v>
      </c>
      <c r="N25" s="2" t="s">
        <v>206</v>
      </c>
      <c r="O25" s="2" t="s">
        <v>227</v>
      </c>
      <c r="P25" s="2" t="s">
        <v>57</v>
      </c>
      <c r="Q25" s="7">
        <v>475.0</v>
      </c>
      <c r="R25" s="7">
        <v>8.0</v>
      </c>
      <c r="S25" s="16">
        <f t="shared" si="2"/>
        <v>0.00422832981</v>
      </c>
      <c r="T25" s="2"/>
      <c r="U25" s="2"/>
      <c r="V25" s="2"/>
      <c r="W25" s="2"/>
      <c r="X25" s="2"/>
      <c r="Y25" s="2"/>
      <c r="Z25" s="2"/>
    </row>
    <row r="26" ht="15.75" customHeight="1">
      <c r="A26" s="15" t="s">
        <v>229</v>
      </c>
      <c r="B26" s="15" t="s">
        <v>229</v>
      </c>
      <c r="C26" s="15" t="s">
        <v>91</v>
      </c>
      <c r="D26" s="15">
        <v>4.0</v>
      </c>
      <c r="E26" s="14">
        <v>536.0</v>
      </c>
      <c r="F26" s="14">
        <v>532.3</v>
      </c>
      <c r="G26" s="14">
        <v>3.700000000000045</v>
      </c>
      <c r="H26" s="14">
        <v>562.65</v>
      </c>
      <c r="I26" s="14">
        <v>517.1</v>
      </c>
      <c r="J26" s="15" t="s">
        <v>30</v>
      </c>
      <c r="K26" s="15" t="s">
        <v>232</v>
      </c>
      <c r="L26" s="14">
        <v>539.25</v>
      </c>
      <c r="M26" s="14">
        <f t="shared" si="1"/>
        <v>13</v>
      </c>
      <c r="N26" s="15" t="s">
        <v>55</v>
      </c>
      <c r="O26" s="15" t="s">
        <v>233</v>
      </c>
      <c r="P26" s="15" t="s">
        <v>128</v>
      </c>
      <c r="Q26" s="2"/>
      <c r="R26" s="2"/>
      <c r="S26" s="16">
        <f t="shared" si="2"/>
        <v>0.006063432836</v>
      </c>
      <c r="T26" s="2"/>
      <c r="U26" s="2"/>
      <c r="V26" s="2"/>
      <c r="W26" s="2"/>
      <c r="X26" s="2"/>
      <c r="Y26" s="2"/>
      <c r="Z26" s="2"/>
    </row>
    <row r="27" ht="15.75" customHeight="1">
      <c r="A27" s="19" t="s">
        <v>190</v>
      </c>
      <c r="B27" s="19" t="s">
        <v>190</v>
      </c>
      <c r="C27" s="19" t="s">
        <v>91</v>
      </c>
      <c r="D27" s="19">
        <v>2.0</v>
      </c>
      <c r="E27" s="18">
        <v>1425.0</v>
      </c>
      <c r="F27" s="18">
        <v>1435.0</v>
      </c>
      <c r="G27" s="18">
        <v>-10.0</v>
      </c>
      <c r="H27" s="18">
        <v>1502.9</v>
      </c>
      <c r="I27" s="18">
        <v>1401.05</v>
      </c>
      <c r="J27" s="19" t="s">
        <v>30</v>
      </c>
      <c r="K27" s="19" t="s">
        <v>232</v>
      </c>
      <c r="L27" s="18">
        <v>1401.0</v>
      </c>
      <c r="M27" s="18">
        <f t="shared" si="1"/>
        <v>-48</v>
      </c>
      <c r="N27" s="19" t="s">
        <v>76</v>
      </c>
      <c r="O27" s="19" t="s">
        <v>239</v>
      </c>
      <c r="P27" s="19" t="s">
        <v>128</v>
      </c>
      <c r="Q27" s="2"/>
      <c r="R27" s="2"/>
      <c r="S27" s="16">
        <f t="shared" si="2"/>
        <v>-0.01684210526</v>
      </c>
      <c r="T27" s="2"/>
      <c r="U27" s="2"/>
      <c r="V27" s="2"/>
      <c r="W27" s="2"/>
      <c r="X27" s="2"/>
      <c r="Y27" s="2"/>
      <c r="Z27" s="2"/>
    </row>
    <row r="28" ht="15.75" customHeight="1">
      <c r="A28" s="2" t="s">
        <v>217</v>
      </c>
      <c r="B28" s="2" t="s">
        <v>242</v>
      </c>
      <c r="C28" s="2" t="s">
        <v>232</v>
      </c>
      <c r="D28" s="2">
        <v>8.0</v>
      </c>
      <c r="E28" s="7">
        <v>68.87</v>
      </c>
      <c r="F28" s="7">
        <v>68.87</v>
      </c>
      <c r="G28" s="7">
        <v>0.0</v>
      </c>
      <c r="H28" s="7">
        <v>81.37</v>
      </c>
      <c r="I28" s="7">
        <v>62.62</v>
      </c>
      <c r="J28" s="2" t="s">
        <v>30</v>
      </c>
      <c r="K28" s="2"/>
      <c r="L28" s="2"/>
      <c r="M28" s="7">
        <f t="shared" si="1"/>
        <v>0</v>
      </c>
      <c r="N28" s="2" t="s">
        <v>206</v>
      </c>
      <c r="O28" s="2" t="s">
        <v>244</v>
      </c>
      <c r="P28" s="2" t="s">
        <v>57</v>
      </c>
      <c r="Q28" s="7">
        <v>63.56999969482422</v>
      </c>
      <c r="R28" s="7">
        <v>-42.40000244140629</v>
      </c>
      <c r="S28" s="16">
        <f t="shared" si="2"/>
        <v>-0.0769565893</v>
      </c>
      <c r="T28" s="2"/>
      <c r="U28" s="2"/>
      <c r="V28" s="2"/>
      <c r="W28" s="2"/>
      <c r="X28" s="2"/>
      <c r="Y28" s="2"/>
      <c r="Z28" s="2"/>
    </row>
    <row r="29" ht="15.75" customHeight="1">
      <c r="A29" s="2" t="s">
        <v>226</v>
      </c>
      <c r="B29" s="2" t="s">
        <v>249</v>
      </c>
      <c r="C29" s="2" t="s">
        <v>232</v>
      </c>
      <c r="D29" s="2">
        <v>10.0</v>
      </c>
      <c r="E29" s="7">
        <v>166.02</v>
      </c>
      <c r="F29" s="7">
        <v>166.02</v>
      </c>
      <c r="G29" s="7">
        <v>0.0</v>
      </c>
      <c r="H29" s="7">
        <v>197.93</v>
      </c>
      <c r="I29" s="7">
        <v>150.06</v>
      </c>
      <c r="J29" s="2" t="s">
        <v>30</v>
      </c>
      <c r="K29" s="2"/>
      <c r="L29" s="2"/>
      <c r="M29" s="7">
        <f t="shared" si="1"/>
        <v>0</v>
      </c>
      <c r="N29" s="2" t="s">
        <v>206</v>
      </c>
      <c r="O29" s="2" t="s">
        <v>244</v>
      </c>
      <c r="P29" s="2" t="s">
        <v>57</v>
      </c>
      <c r="Q29" s="7">
        <v>169.5200042724609</v>
      </c>
      <c r="R29" s="7">
        <v>35.00004272460927</v>
      </c>
      <c r="S29" s="16">
        <f t="shared" si="2"/>
        <v>0.02108182311</v>
      </c>
      <c r="T29" s="2"/>
      <c r="U29" s="2"/>
      <c r="V29" s="2"/>
      <c r="W29" s="2"/>
      <c r="X29" s="2"/>
      <c r="Y29" s="2"/>
      <c r="Z29" s="2"/>
    </row>
    <row r="30" ht="15.75" customHeight="1">
      <c r="A30" s="19" t="s">
        <v>252</v>
      </c>
      <c r="B30" s="19" t="s">
        <v>253</v>
      </c>
      <c r="C30" s="19" t="s">
        <v>232</v>
      </c>
      <c r="D30" s="19">
        <v>6.0</v>
      </c>
      <c r="E30" s="18">
        <v>245.25</v>
      </c>
      <c r="F30" s="18">
        <v>245.25</v>
      </c>
      <c r="G30" s="18">
        <v>0.0</v>
      </c>
      <c r="H30" s="18">
        <v>297.64</v>
      </c>
      <c r="I30" s="18">
        <v>219.06</v>
      </c>
      <c r="J30" s="19" t="s">
        <v>30</v>
      </c>
      <c r="K30" s="19" t="s">
        <v>257</v>
      </c>
      <c r="L30" s="18">
        <v>230.26</v>
      </c>
      <c r="M30" s="18">
        <f t="shared" si="1"/>
        <v>-89.94</v>
      </c>
      <c r="N30" s="19" t="s">
        <v>76</v>
      </c>
      <c r="O30" s="19" t="s">
        <v>259</v>
      </c>
      <c r="P30" s="19" t="s">
        <v>57</v>
      </c>
      <c r="Q30" s="2"/>
      <c r="R30" s="2"/>
      <c r="S30" s="16">
        <f t="shared" si="2"/>
        <v>-0.06112130479</v>
      </c>
      <c r="T30" s="2"/>
      <c r="U30" s="2"/>
      <c r="V30" s="2"/>
      <c r="W30" s="2"/>
      <c r="X30" s="2"/>
      <c r="Y30" s="2"/>
      <c r="Z30" s="2"/>
    </row>
    <row r="31" ht="15.75" customHeight="1">
      <c r="A31" s="6" t="s">
        <v>234</v>
      </c>
      <c r="B31" s="6" t="s">
        <v>261</v>
      </c>
      <c r="C31" s="6" t="s">
        <v>161</v>
      </c>
      <c r="D31" s="6">
        <v>3.0</v>
      </c>
      <c r="E31" s="6">
        <v>426.8</v>
      </c>
      <c r="F31" s="6">
        <v>426.8</v>
      </c>
      <c r="G31" s="6">
        <v>0.0</v>
      </c>
      <c r="H31" s="6">
        <v>500.0</v>
      </c>
      <c r="I31" s="6">
        <v>400.0</v>
      </c>
      <c r="J31" s="2"/>
      <c r="K31" s="2"/>
      <c r="L31" s="2"/>
      <c r="M31" s="2">
        <f t="shared" si="1"/>
        <v>0</v>
      </c>
      <c r="N31" s="6" t="s">
        <v>206</v>
      </c>
      <c r="O31" s="2"/>
      <c r="P31" s="6" t="s">
        <v>57</v>
      </c>
      <c r="Q31" s="7">
        <v>444.5499877929688</v>
      </c>
      <c r="R31" s="7">
        <v>53.24996337890622</v>
      </c>
      <c r="S31" s="16">
        <f t="shared" si="2"/>
        <v>0.04158853747</v>
      </c>
      <c r="T31" s="2"/>
      <c r="U31" s="2"/>
      <c r="V31" s="2"/>
      <c r="W31" s="2"/>
      <c r="X31" s="2"/>
      <c r="Y31" s="2"/>
      <c r="Z31" s="2"/>
    </row>
    <row r="32" ht="15.75" customHeight="1">
      <c r="A32" s="6" t="s">
        <v>243</v>
      </c>
      <c r="B32" s="6" t="s">
        <v>263</v>
      </c>
      <c r="C32" s="6" t="s">
        <v>161</v>
      </c>
      <c r="D32" s="6">
        <v>150.0</v>
      </c>
      <c r="E32" s="6">
        <v>9.7</v>
      </c>
      <c r="F32" s="6">
        <v>9.7</v>
      </c>
      <c r="G32" s="6">
        <v>0.0</v>
      </c>
      <c r="H32" s="6">
        <v>15.0</v>
      </c>
      <c r="I32" s="6">
        <v>8.0</v>
      </c>
      <c r="J32" s="2"/>
      <c r="K32" s="2"/>
      <c r="L32" s="2"/>
      <c r="M32" s="2">
        <f t="shared" si="1"/>
        <v>0</v>
      </c>
      <c r="N32" s="6" t="s">
        <v>206</v>
      </c>
      <c r="O32" s="2"/>
      <c r="P32" s="6" t="s">
        <v>57</v>
      </c>
      <c r="Q32" s="7">
        <v>9.380000114440918</v>
      </c>
      <c r="R32" s="7">
        <v>-47.9999828338622</v>
      </c>
      <c r="S32" s="16">
        <f t="shared" si="2"/>
        <v>-0.03298967892</v>
      </c>
      <c r="T32" s="2"/>
      <c r="U32" s="2"/>
      <c r="V32" s="2"/>
      <c r="W32" s="2"/>
      <c r="X32" s="2"/>
      <c r="Y32" s="2"/>
      <c r="Z32" s="2"/>
    </row>
    <row r="33" ht="15.75" customHeight="1">
      <c r="A33" s="42" t="s">
        <v>266</v>
      </c>
      <c r="B33" s="42" t="s">
        <v>268</v>
      </c>
      <c r="C33" s="42" t="s">
        <v>161</v>
      </c>
      <c r="D33" s="42">
        <v>3.0</v>
      </c>
      <c r="E33" s="42">
        <v>422.55</v>
      </c>
      <c r="F33" s="42">
        <v>422.55</v>
      </c>
      <c r="G33" s="42">
        <v>0.0</v>
      </c>
      <c r="H33" s="42">
        <v>500.0</v>
      </c>
      <c r="I33" s="42">
        <v>400.0</v>
      </c>
      <c r="J33" s="19"/>
      <c r="K33" s="19" t="s">
        <v>212</v>
      </c>
      <c r="L33" s="19">
        <v>400.0</v>
      </c>
      <c r="M33" s="19">
        <f t="shared" si="1"/>
        <v>-67.65</v>
      </c>
      <c r="N33" s="42" t="s">
        <v>76</v>
      </c>
      <c r="O33" s="19"/>
      <c r="P33" s="42" t="s">
        <v>57</v>
      </c>
      <c r="Q33" s="2"/>
      <c r="R33" s="2"/>
      <c r="S33" s="16">
        <f t="shared" si="2"/>
        <v>-0.05336646551</v>
      </c>
      <c r="T33" s="2"/>
      <c r="U33" s="2"/>
      <c r="V33" s="2"/>
      <c r="W33" s="2"/>
      <c r="X33" s="2"/>
      <c r="Y33" s="2"/>
      <c r="Z33" s="2"/>
    </row>
    <row r="34" ht="15.75" customHeight="1">
      <c r="A34" s="6" t="s">
        <v>254</v>
      </c>
      <c r="B34" s="6" t="s">
        <v>271</v>
      </c>
      <c r="C34" s="6" t="s">
        <v>161</v>
      </c>
      <c r="D34" s="6">
        <v>100.0</v>
      </c>
      <c r="E34" s="6">
        <v>21.8</v>
      </c>
      <c r="F34" s="6">
        <v>22.2</v>
      </c>
      <c r="G34" s="6">
        <v>-0.3999999999999986</v>
      </c>
      <c r="H34" s="6">
        <v>26.55</v>
      </c>
      <c r="I34" s="6">
        <v>20.0</v>
      </c>
      <c r="J34" s="2"/>
      <c r="K34" s="2"/>
      <c r="L34" s="2"/>
      <c r="M34" s="2">
        <f t="shared" si="1"/>
        <v>0</v>
      </c>
      <c r="N34" s="6" t="s">
        <v>206</v>
      </c>
      <c r="O34" s="2"/>
      <c r="P34" s="6" t="s">
        <v>57</v>
      </c>
      <c r="Q34" s="2"/>
      <c r="R34" s="2"/>
      <c r="S34" s="16">
        <f t="shared" si="2"/>
        <v>0</v>
      </c>
      <c r="T34" s="2"/>
      <c r="U34" s="2"/>
      <c r="V34" s="2"/>
      <c r="W34" s="2"/>
      <c r="X34" s="2"/>
      <c r="Y34" s="2"/>
      <c r="Z34" s="2"/>
    </row>
    <row r="35" ht="15.75" customHeight="1">
      <c r="A35" s="2" t="s">
        <v>262</v>
      </c>
      <c r="B35" s="2" t="s">
        <v>262</v>
      </c>
      <c r="C35" s="2" t="s">
        <v>212</v>
      </c>
      <c r="D35" s="2">
        <v>4.0</v>
      </c>
      <c r="E35" s="7">
        <v>539.3</v>
      </c>
      <c r="F35" s="7">
        <v>539.3</v>
      </c>
      <c r="G35" s="7">
        <v>0.0</v>
      </c>
      <c r="H35" s="7">
        <v>640.46</v>
      </c>
      <c r="I35" s="7">
        <v>498.76</v>
      </c>
      <c r="J35" s="2" t="s">
        <v>273</v>
      </c>
      <c r="K35" s="2"/>
      <c r="L35" s="2"/>
      <c r="M35" s="7">
        <f t="shared" si="1"/>
        <v>0</v>
      </c>
      <c r="N35" s="2" t="s">
        <v>206</v>
      </c>
      <c r="O35" s="2" t="s">
        <v>275</v>
      </c>
      <c r="P35" s="2" t="s">
        <v>57</v>
      </c>
      <c r="Q35" s="7">
        <v>561.7000122070312</v>
      </c>
      <c r="R35" s="7">
        <v>89.60004882812518</v>
      </c>
      <c r="S35" s="16">
        <f t="shared" si="2"/>
        <v>0.0415353462</v>
      </c>
      <c r="T35" s="2"/>
      <c r="U35" s="2"/>
      <c r="V35" s="2"/>
      <c r="W35" s="2"/>
      <c r="X35" s="2"/>
      <c r="Y35" s="2"/>
      <c r="Z35" s="2"/>
    </row>
    <row r="36" ht="15.75" customHeight="1">
      <c r="A36" s="2" t="s">
        <v>267</v>
      </c>
      <c r="B36" s="2" t="s">
        <v>276</v>
      </c>
      <c r="C36" s="2" t="s">
        <v>257</v>
      </c>
      <c r="D36" s="2">
        <v>2.0</v>
      </c>
      <c r="E36" s="7">
        <v>963.0</v>
      </c>
      <c r="F36" s="7">
        <v>961.0</v>
      </c>
      <c r="G36" s="7">
        <v>0.0</v>
      </c>
      <c r="H36" s="7">
        <v>1086.64</v>
      </c>
      <c r="I36" s="7">
        <v>910.74</v>
      </c>
      <c r="J36" s="2" t="s">
        <v>273</v>
      </c>
      <c r="K36" s="2"/>
      <c r="L36" s="2"/>
      <c r="M36" s="7">
        <f t="shared" si="1"/>
        <v>0</v>
      </c>
      <c r="N36" s="2" t="s">
        <v>206</v>
      </c>
      <c r="O36" s="2" t="s">
        <v>278</v>
      </c>
      <c r="P36" s="2" t="s">
        <v>57</v>
      </c>
      <c r="Q36" s="7">
        <v>980.0</v>
      </c>
      <c r="R36" s="7">
        <v>34.0</v>
      </c>
      <c r="S36" s="16">
        <f t="shared" si="2"/>
        <v>0.01765316719</v>
      </c>
      <c r="T36" s="2"/>
      <c r="U36" s="2"/>
      <c r="V36" s="2"/>
      <c r="W36" s="2"/>
      <c r="X36" s="2"/>
      <c r="Y36" s="2"/>
      <c r="Z36" s="2"/>
    </row>
    <row r="37" ht="15.75" customHeight="1">
      <c r="A37" s="2" t="s">
        <v>272</v>
      </c>
      <c r="B37" s="2" t="s">
        <v>279</v>
      </c>
      <c r="C37" s="2" t="s">
        <v>257</v>
      </c>
      <c r="D37" s="2">
        <v>10.0</v>
      </c>
      <c r="E37" s="7">
        <v>258.0</v>
      </c>
      <c r="F37" s="7">
        <v>248.11</v>
      </c>
      <c r="G37" s="7">
        <v>0.0</v>
      </c>
      <c r="H37" s="7">
        <v>295.15</v>
      </c>
      <c r="I37" s="7">
        <v>229.3</v>
      </c>
      <c r="J37" s="2" t="s">
        <v>273</v>
      </c>
      <c r="K37" s="2"/>
      <c r="L37" s="2"/>
      <c r="M37" s="7">
        <f t="shared" si="1"/>
        <v>0</v>
      </c>
      <c r="N37" s="2" t="s">
        <v>206</v>
      </c>
      <c r="O37" s="2" t="s">
        <v>281</v>
      </c>
      <c r="P37" s="2" t="s">
        <v>57</v>
      </c>
      <c r="Q37" s="7">
        <v>254.1799926757812</v>
      </c>
      <c r="R37" s="7">
        <v>-38.2000732421875</v>
      </c>
      <c r="S37" s="16">
        <f t="shared" si="2"/>
        <v>-0.01480622994</v>
      </c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>
        <f t="shared" ref="M38:M485" si="3">IF(OR(N53="WIN", N53="LOSS"), (L53-E53)*D53, 0)</f>
        <v>0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>
        <f t="shared" si="3"/>
        <v>0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>
        <f t="shared" si="3"/>
        <v>0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>
        <f t="shared" si="3"/>
        <v>0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>
        <f t="shared" si="3"/>
        <v>0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>
        <f t="shared" si="3"/>
        <v>0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>
        <f t="shared" si="3"/>
        <v>0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>
        <f t="shared" si="3"/>
        <v>0</v>
      </c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>
        <f t="shared" si="3"/>
        <v>0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>
        <f t="shared" si="3"/>
        <v>0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>
        <f t="shared" si="3"/>
        <v>0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>
        <f t="shared" si="3"/>
        <v>0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>
        <f t="shared" si="3"/>
        <v>0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>
        <f t="shared" si="3"/>
        <v>0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>
        <f t="shared" si="3"/>
        <v>0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>
        <f t="shared" si="3"/>
        <v>0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>
        <f t="shared" si="3"/>
        <v>0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>
        <f t="shared" si="3"/>
        <v>0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>
        <f t="shared" si="3"/>
        <v>0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>
        <f t="shared" si="3"/>
        <v>0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>
        <f t="shared" si="3"/>
        <v>0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>
        <f t="shared" si="3"/>
        <v>0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>
        <f t="shared" si="3"/>
        <v>0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>
        <f t="shared" si="3"/>
        <v>0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>
        <f t="shared" si="3"/>
        <v>0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>
        <f t="shared" si="3"/>
        <v>0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>
        <f t="shared" si="3"/>
        <v>0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>
        <f t="shared" si="3"/>
        <v>0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>
        <f t="shared" si="3"/>
        <v>0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>
        <f t="shared" si="3"/>
        <v>0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>
        <f t="shared" si="3"/>
        <v>0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>
        <f t="shared" si="3"/>
        <v>0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>
        <f t="shared" si="3"/>
        <v>0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>
        <f t="shared" si="3"/>
        <v>0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>
        <f t="shared" si="3"/>
        <v>0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>
        <f t="shared" si="3"/>
        <v>0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>
        <f t="shared" si="3"/>
        <v>0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>
        <f t="shared" si="3"/>
        <v>0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>
        <f t="shared" si="3"/>
        <v>0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>
        <f t="shared" si="3"/>
        <v>0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>
        <f t="shared" si="3"/>
        <v>0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>
        <f t="shared" si="3"/>
        <v>0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>
        <f t="shared" si="3"/>
        <v>0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>
        <f t="shared" si="3"/>
        <v>0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>
        <f t="shared" si="3"/>
        <v>0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>
        <f t="shared" si="3"/>
        <v>0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>
        <f t="shared" si="3"/>
        <v>0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>
        <f t="shared" si="3"/>
        <v>0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>
        <f t="shared" si="3"/>
        <v>0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>
        <f t="shared" si="3"/>
        <v>0</v>
      </c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>
        <f t="shared" si="3"/>
        <v>0</v>
      </c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>
        <f t="shared" si="3"/>
        <v>0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>
        <f t="shared" si="3"/>
        <v>0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>
        <f t="shared" si="3"/>
        <v>0</v>
      </c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>
        <f t="shared" si="3"/>
        <v>0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>
        <f t="shared" si="3"/>
        <v>0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>
        <f t="shared" si="3"/>
        <v>0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>
        <f t="shared" si="3"/>
        <v>0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>
        <f t="shared" si="3"/>
        <v>0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>
        <f t="shared" si="3"/>
        <v>0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>
        <f t="shared" si="3"/>
        <v>0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>
        <f t="shared" si="3"/>
        <v>0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>
        <f t="shared" si="3"/>
        <v>0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>
        <f t="shared" si="3"/>
        <v>0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>
        <f t="shared" si="3"/>
        <v>0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>
        <f t="shared" si="3"/>
        <v>0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>
        <f t="shared" si="3"/>
        <v>0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>
        <f t="shared" si="3"/>
        <v>0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>
        <f t="shared" si="3"/>
        <v>0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>
        <f t="shared" si="3"/>
        <v>0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>
        <f t="shared" si="3"/>
        <v>0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>
        <f t="shared" si="3"/>
        <v>0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>
        <f t="shared" si="3"/>
        <v>0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>
        <f t="shared" si="3"/>
        <v>0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>
        <f t="shared" si="3"/>
        <v>0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>
        <f t="shared" si="3"/>
        <v>0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>
        <f t="shared" si="3"/>
        <v>0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>
        <f t="shared" si="3"/>
        <v>0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>
        <f t="shared" si="3"/>
        <v>0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>
        <f t="shared" si="3"/>
        <v>0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>
        <f t="shared" si="3"/>
        <v>0</v>
      </c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>
        <f t="shared" si="3"/>
        <v>0</v>
      </c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>
        <f t="shared" si="3"/>
        <v>0</v>
      </c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>
        <f t="shared" si="3"/>
        <v>0</v>
      </c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>
        <f t="shared" si="3"/>
        <v>0</v>
      </c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>
        <f t="shared" si="3"/>
        <v>0</v>
      </c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>
        <f t="shared" si="3"/>
        <v>0</v>
      </c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>
        <f t="shared" si="3"/>
        <v>0</v>
      </c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>
        <f t="shared" si="3"/>
        <v>0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>
        <f t="shared" si="3"/>
        <v>0</v>
      </c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>
        <f t="shared" si="3"/>
        <v>0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>
        <f t="shared" si="3"/>
        <v>0</v>
      </c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>
        <f t="shared" si="3"/>
        <v>0</v>
      </c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>
        <f t="shared" si="3"/>
        <v>0</v>
      </c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>
        <f t="shared" si="3"/>
        <v>0</v>
      </c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>
        <f t="shared" si="3"/>
        <v>0</v>
      </c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>
        <f t="shared" si="3"/>
        <v>0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>
        <f t="shared" si="3"/>
        <v>0</v>
      </c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>
        <f t="shared" si="3"/>
        <v>0</v>
      </c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>
        <f t="shared" si="3"/>
        <v>0</v>
      </c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>
        <f t="shared" si="3"/>
        <v>0</v>
      </c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>
        <f t="shared" si="3"/>
        <v>0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>
        <f t="shared" si="3"/>
        <v>0</v>
      </c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>
        <f t="shared" si="3"/>
        <v>0</v>
      </c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>
        <f t="shared" si="3"/>
        <v>0</v>
      </c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>
        <f t="shared" si="3"/>
        <v>0</v>
      </c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>
        <f t="shared" si="3"/>
        <v>0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>
        <f t="shared" si="3"/>
        <v>0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>
        <f t="shared" si="3"/>
        <v>0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>
        <f t="shared" si="3"/>
        <v>0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>
        <f t="shared" si="3"/>
        <v>0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>
        <f t="shared" si="3"/>
        <v>0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>
        <f t="shared" si="3"/>
        <v>0</v>
      </c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>
        <f t="shared" si="3"/>
        <v>0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>
        <f t="shared" si="3"/>
        <v>0</v>
      </c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>
        <f t="shared" si="3"/>
        <v>0</v>
      </c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>
        <f t="shared" si="3"/>
        <v>0</v>
      </c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>
        <f t="shared" si="3"/>
        <v>0</v>
      </c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>
        <f t="shared" si="3"/>
        <v>0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>
        <f t="shared" si="3"/>
        <v>0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>
        <f t="shared" si="3"/>
        <v>0</v>
      </c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>
        <f t="shared" si="3"/>
        <v>0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>
        <f t="shared" si="3"/>
        <v>0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>
        <f t="shared" si="3"/>
        <v>0</v>
      </c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>
        <f t="shared" si="3"/>
        <v>0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>
        <f t="shared" si="3"/>
        <v>0</v>
      </c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>
        <f t="shared" si="3"/>
        <v>0</v>
      </c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>
        <f t="shared" si="3"/>
        <v>0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>
        <f t="shared" si="3"/>
        <v>0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>
        <f t="shared" si="3"/>
        <v>0</v>
      </c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>
        <f t="shared" si="3"/>
        <v>0</v>
      </c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>
        <f t="shared" si="3"/>
        <v>0</v>
      </c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>
        <f t="shared" si="3"/>
        <v>0</v>
      </c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>
        <f t="shared" si="3"/>
        <v>0</v>
      </c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>
        <f t="shared" si="3"/>
        <v>0</v>
      </c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>
        <f t="shared" si="3"/>
        <v>0</v>
      </c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>
        <f t="shared" si="3"/>
        <v>0</v>
      </c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>
        <f t="shared" si="3"/>
        <v>0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>
        <f t="shared" si="3"/>
        <v>0</v>
      </c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>
        <f t="shared" si="3"/>
        <v>0</v>
      </c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>
        <f t="shared" si="3"/>
        <v>0</v>
      </c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>
        <f t="shared" si="3"/>
        <v>0</v>
      </c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>
        <f t="shared" si="3"/>
        <v>0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>
        <f t="shared" si="3"/>
        <v>0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>
        <f t="shared" si="3"/>
        <v>0</v>
      </c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>
        <f t="shared" si="3"/>
        <v>0</v>
      </c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>
        <f t="shared" si="3"/>
        <v>0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>
        <f t="shared" si="3"/>
        <v>0</v>
      </c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>
        <f t="shared" si="3"/>
        <v>0</v>
      </c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>
        <f t="shared" si="3"/>
        <v>0</v>
      </c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>
        <f t="shared" si="3"/>
        <v>0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>
        <f t="shared" si="3"/>
        <v>0</v>
      </c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>
        <f t="shared" si="3"/>
        <v>0</v>
      </c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>
        <f t="shared" si="3"/>
        <v>0</v>
      </c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>
        <f t="shared" si="3"/>
        <v>0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>
        <f t="shared" si="3"/>
        <v>0</v>
      </c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>
        <f t="shared" si="3"/>
        <v>0</v>
      </c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>
        <f t="shared" si="3"/>
        <v>0</v>
      </c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>
        <f t="shared" si="3"/>
        <v>0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>
        <f t="shared" si="3"/>
        <v>0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>
        <f t="shared" si="3"/>
        <v>0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>
        <f t="shared" si="3"/>
        <v>0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>
        <f t="shared" si="3"/>
        <v>0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>
        <f t="shared" si="3"/>
        <v>0</v>
      </c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>
        <f t="shared" si="3"/>
        <v>0</v>
      </c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>
        <f t="shared" si="3"/>
        <v>0</v>
      </c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>
        <f t="shared" si="3"/>
        <v>0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>
        <f t="shared" si="3"/>
        <v>0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>
        <f t="shared" si="3"/>
        <v>0</v>
      </c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>
        <f t="shared" si="3"/>
        <v>0</v>
      </c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>
        <f t="shared" si="3"/>
        <v>0</v>
      </c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>
        <f t="shared" si="3"/>
        <v>0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>
        <f t="shared" si="3"/>
        <v>0</v>
      </c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>
        <f t="shared" si="3"/>
        <v>0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>
        <f t="shared" si="3"/>
        <v>0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>
        <f t="shared" si="3"/>
        <v>0</v>
      </c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>
        <f t="shared" si="3"/>
        <v>0</v>
      </c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>
        <f t="shared" si="3"/>
        <v>0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>
        <f t="shared" si="3"/>
        <v>0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>
        <f t="shared" si="3"/>
        <v>0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>
        <f t="shared" si="3"/>
        <v>0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>
        <f t="shared" si="3"/>
        <v>0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>
        <f t="shared" si="3"/>
        <v>0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>
        <f t="shared" si="3"/>
        <v>0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>
        <f t="shared" si="3"/>
        <v>0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>
        <f t="shared" si="3"/>
        <v>0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>
        <f t="shared" si="3"/>
        <v>0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>
        <f t="shared" si="3"/>
        <v>0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>
        <f t="shared" si="3"/>
        <v>0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>
        <f t="shared" si="3"/>
        <v>0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>
        <f t="shared" si="3"/>
        <v>0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>
        <f t="shared" si="3"/>
        <v>0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>
        <f t="shared" si="3"/>
        <v>0</v>
      </c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>
        <f t="shared" si="3"/>
        <v>0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>
        <f t="shared" si="3"/>
        <v>0</v>
      </c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>
        <f t="shared" si="3"/>
        <v>0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>
        <f t="shared" si="3"/>
        <v>0</v>
      </c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>
        <f t="shared" si="3"/>
        <v>0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>
        <f t="shared" si="3"/>
        <v>0</v>
      </c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>
        <f t="shared" si="3"/>
        <v>0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>
        <f t="shared" si="3"/>
        <v>0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>
        <f t="shared" si="3"/>
        <v>0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>
        <f t="shared" si="3"/>
        <v>0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>
        <f t="shared" si="3"/>
        <v>0</v>
      </c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>
        <f t="shared" si="3"/>
        <v>0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>
        <f t="shared" si="3"/>
        <v>0</v>
      </c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>
        <f t="shared" si="3"/>
        <v>0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>
        <f t="shared" si="3"/>
        <v>0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>
        <f t="shared" si="3"/>
        <v>0</v>
      </c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>
        <f t="shared" si="3"/>
        <v>0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>
        <f t="shared" si="3"/>
        <v>0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>
        <f t="shared" si="3"/>
        <v>0</v>
      </c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>
        <f t="shared" si="3"/>
        <v>0</v>
      </c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>
        <f t="shared" si="3"/>
        <v>0</v>
      </c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>
        <f t="shared" si="3"/>
        <v>0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>
        <f t="shared" si="3"/>
        <v>0</v>
      </c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>
        <f t="shared" si="3"/>
        <v>0</v>
      </c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>
        <f t="shared" si="3"/>
        <v>0</v>
      </c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>
        <f t="shared" si="3"/>
        <v>0</v>
      </c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>
        <f t="shared" si="3"/>
        <v>0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>
        <f t="shared" si="3"/>
        <v>0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>
        <f t="shared" si="3"/>
        <v>0</v>
      </c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>
        <f t="shared" si="3"/>
        <v>0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>
        <f t="shared" si="3"/>
        <v>0</v>
      </c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>
        <f t="shared" si="3"/>
        <v>0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>
        <f t="shared" si="3"/>
        <v>0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>
        <f t="shared" si="3"/>
        <v>0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>
        <f t="shared" si="3"/>
        <v>0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>
        <f t="shared" si="3"/>
        <v>0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>
        <f t="shared" si="3"/>
        <v>0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>
        <f t="shared" si="3"/>
        <v>0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>
        <f t="shared" si="3"/>
        <v>0</v>
      </c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>
        <f t="shared" si="3"/>
        <v>0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>
        <f t="shared" si="3"/>
        <v>0</v>
      </c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>
        <f t="shared" si="3"/>
        <v>0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>
        <f t="shared" si="3"/>
        <v>0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>
        <f t="shared" si="3"/>
        <v>0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>
        <f t="shared" si="3"/>
        <v>0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>
        <f t="shared" si="3"/>
        <v>0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>
        <f t="shared" si="3"/>
        <v>0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>
        <f t="shared" si="3"/>
        <v>0</v>
      </c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>
        <f t="shared" si="3"/>
        <v>0</v>
      </c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>
        <f t="shared" si="3"/>
        <v>0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>
        <f t="shared" si="3"/>
        <v>0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>
        <f t="shared" si="3"/>
        <v>0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>
        <f t="shared" si="3"/>
        <v>0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>
        <f t="shared" si="3"/>
        <v>0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>
        <f t="shared" si="3"/>
        <v>0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>
        <f t="shared" si="3"/>
        <v>0</v>
      </c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>
        <f t="shared" si="3"/>
        <v>0</v>
      </c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>
        <f t="shared" si="3"/>
        <v>0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>
        <f t="shared" si="3"/>
        <v>0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>
        <f t="shared" si="3"/>
        <v>0</v>
      </c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>
        <f t="shared" si="3"/>
        <v>0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>
        <f t="shared" si="3"/>
        <v>0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>
        <f t="shared" si="3"/>
        <v>0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>
        <f t="shared" si="3"/>
        <v>0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>
        <f t="shared" si="3"/>
        <v>0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>
        <f t="shared" si="3"/>
        <v>0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>
        <f t="shared" si="3"/>
        <v>0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>
        <f t="shared" si="3"/>
        <v>0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>
        <f t="shared" si="3"/>
        <v>0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>
        <f t="shared" si="3"/>
        <v>0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>
        <f t="shared" si="3"/>
        <v>0</v>
      </c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>
        <f t="shared" si="3"/>
        <v>0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>
        <f t="shared" si="3"/>
        <v>0</v>
      </c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>
        <f t="shared" si="3"/>
        <v>0</v>
      </c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>
        <f t="shared" si="3"/>
        <v>0</v>
      </c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>
        <f t="shared" si="3"/>
        <v>0</v>
      </c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>
        <f t="shared" si="3"/>
        <v>0</v>
      </c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>
        <f t="shared" si="3"/>
        <v>0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>
        <f t="shared" si="3"/>
        <v>0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>
        <f t="shared" si="3"/>
        <v>0</v>
      </c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>
        <f t="shared" si="3"/>
        <v>0</v>
      </c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>
        <f t="shared" si="3"/>
        <v>0</v>
      </c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>
        <f t="shared" si="3"/>
        <v>0</v>
      </c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>
        <f t="shared" si="3"/>
        <v>0</v>
      </c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>
        <f t="shared" si="3"/>
        <v>0</v>
      </c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>
        <f t="shared" si="3"/>
        <v>0</v>
      </c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>
        <f t="shared" si="3"/>
        <v>0</v>
      </c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>
        <f t="shared" si="3"/>
        <v>0</v>
      </c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>
        <f t="shared" si="3"/>
        <v>0</v>
      </c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>
        <f t="shared" si="3"/>
        <v>0</v>
      </c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>
        <f t="shared" si="3"/>
        <v>0</v>
      </c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>
        <f t="shared" si="3"/>
        <v>0</v>
      </c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>
        <f t="shared" si="3"/>
        <v>0</v>
      </c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>
        <f t="shared" si="3"/>
        <v>0</v>
      </c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>
        <f t="shared" si="3"/>
        <v>0</v>
      </c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>
        <f t="shared" si="3"/>
        <v>0</v>
      </c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>
        <f t="shared" si="3"/>
        <v>0</v>
      </c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>
        <f t="shared" si="3"/>
        <v>0</v>
      </c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>
        <f t="shared" si="3"/>
        <v>0</v>
      </c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>
        <f t="shared" si="3"/>
        <v>0</v>
      </c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>
        <f t="shared" si="3"/>
        <v>0</v>
      </c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>
        <f t="shared" si="3"/>
        <v>0</v>
      </c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>
        <f t="shared" si="3"/>
        <v>0</v>
      </c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>
        <f t="shared" si="3"/>
        <v>0</v>
      </c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>
        <f t="shared" si="3"/>
        <v>0</v>
      </c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>
        <f t="shared" si="3"/>
        <v>0</v>
      </c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>
        <f t="shared" si="3"/>
        <v>0</v>
      </c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>
        <f t="shared" si="3"/>
        <v>0</v>
      </c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>
        <f t="shared" si="3"/>
        <v>0</v>
      </c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>
        <f t="shared" si="3"/>
        <v>0</v>
      </c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>
        <f t="shared" si="3"/>
        <v>0</v>
      </c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>
        <f t="shared" si="3"/>
        <v>0</v>
      </c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>
        <f t="shared" si="3"/>
        <v>0</v>
      </c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>
        <f t="shared" si="3"/>
        <v>0</v>
      </c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>
        <f t="shared" si="3"/>
        <v>0</v>
      </c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>
        <f t="shared" si="3"/>
        <v>0</v>
      </c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>
        <f t="shared" si="3"/>
        <v>0</v>
      </c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>
        <f t="shared" si="3"/>
        <v>0</v>
      </c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>
        <f t="shared" si="3"/>
        <v>0</v>
      </c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>
        <f t="shared" si="3"/>
        <v>0</v>
      </c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>
        <f t="shared" si="3"/>
        <v>0</v>
      </c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>
        <f t="shared" si="3"/>
        <v>0</v>
      </c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>
        <f t="shared" si="3"/>
        <v>0</v>
      </c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>
        <f t="shared" si="3"/>
        <v>0</v>
      </c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>
        <f t="shared" si="3"/>
        <v>0</v>
      </c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>
        <f t="shared" si="3"/>
        <v>0</v>
      </c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>
        <f t="shared" si="3"/>
        <v>0</v>
      </c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>
        <f t="shared" si="3"/>
        <v>0</v>
      </c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>
        <f t="shared" si="3"/>
        <v>0</v>
      </c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>
        <f t="shared" si="3"/>
        <v>0</v>
      </c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>
        <f t="shared" si="3"/>
        <v>0</v>
      </c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>
        <f t="shared" si="3"/>
        <v>0</v>
      </c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>
        <f t="shared" si="3"/>
        <v>0</v>
      </c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>
        <f t="shared" si="3"/>
        <v>0</v>
      </c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>
        <f t="shared" si="3"/>
        <v>0</v>
      </c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>
        <f t="shared" si="3"/>
        <v>0</v>
      </c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>
        <f t="shared" si="3"/>
        <v>0</v>
      </c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>
        <f t="shared" si="3"/>
        <v>0</v>
      </c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>
        <f t="shared" si="3"/>
        <v>0</v>
      </c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>
        <f t="shared" si="3"/>
        <v>0</v>
      </c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>
        <f t="shared" si="3"/>
        <v>0</v>
      </c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>
        <f t="shared" si="3"/>
        <v>0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>
        <f t="shared" si="3"/>
        <v>0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>
        <f t="shared" si="3"/>
        <v>0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>
        <f t="shared" si="3"/>
        <v>0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>
        <f t="shared" si="3"/>
        <v>0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>
        <f t="shared" si="3"/>
        <v>0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>
        <f t="shared" si="3"/>
        <v>0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>
        <f t="shared" si="3"/>
        <v>0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>
        <f t="shared" si="3"/>
        <v>0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>
        <f t="shared" si="3"/>
        <v>0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>
        <f t="shared" si="3"/>
        <v>0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>
        <f t="shared" si="3"/>
        <v>0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>
        <f t="shared" si="3"/>
        <v>0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>
        <f t="shared" si="3"/>
        <v>0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>
        <f t="shared" si="3"/>
        <v>0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>
        <f t="shared" si="3"/>
        <v>0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>
        <f t="shared" si="3"/>
        <v>0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>
        <f t="shared" si="3"/>
        <v>0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>
        <f t="shared" si="3"/>
        <v>0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>
        <f t="shared" si="3"/>
        <v>0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>
        <f t="shared" si="3"/>
        <v>0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>
        <f t="shared" si="3"/>
        <v>0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>
        <f t="shared" si="3"/>
        <v>0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>
        <f t="shared" si="3"/>
        <v>0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>
        <f t="shared" si="3"/>
        <v>0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>
        <f t="shared" si="3"/>
        <v>0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>
        <f t="shared" si="3"/>
        <v>0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>
        <f t="shared" si="3"/>
        <v>0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>
        <f t="shared" si="3"/>
        <v>0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>
        <f t="shared" si="3"/>
        <v>0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>
        <f t="shared" si="3"/>
        <v>0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>
        <f t="shared" si="3"/>
        <v>0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>
        <f t="shared" si="3"/>
        <v>0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>
        <f t="shared" si="3"/>
        <v>0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>
        <f t="shared" si="3"/>
        <v>0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>
        <f t="shared" si="3"/>
        <v>0</v>
      </c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>
        <f t="shared" si="3"/>
        <v>0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>
        <f t="shared" si="3"/>
        <v>0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>
        <f t="shared" si="3"/>
        <v>0</v>
      </c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>
        <f t="shared" si="3"/>
        <v>0</v>
      </c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>
        <f t="shared" si="3"/>
        <v>0</v>
      </c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>
        <f t="shared" si="3"/>
        <v>0</v>
      </c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>
        <f t="shared" si="3"/>
        <v>0</v>
      </c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>
        <f t="shared" si="3"/>
        <v>0</v>
      </c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>
        <f t="shared" si="3"/>
        <v>0</v>
      </c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>
        <f t="shared" si="3"/>
        <v>0</v>
      </c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>
        <f t="shared" si="3"/>
        <v>0</v>
      </c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>
        <f t="shared" si="3"/>
        <v>0</v>
      </c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>
        <f t="shared" si="3"/>
        <v>0</v>
      </c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>
        <f t="shared" si="3"/>
        <v>0</v>
      </c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>
        <f t="shared" si="3"/>
        <v>0</v>
      </c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>
        <f t="shared" si="3"/>
        <v>0</v>
      </c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>
        <f t="shared" si="3"/>
        <v>0</v>
      </c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>
        <f t="shared" si="3"/>
        <v>0</v>
      </c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>
        <f t="shared" si="3"/>
        <v>0</v>
      </c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>
        <f t="shared" si="3"/>
        <v>0</v>
      </c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>
        <f t="shared" si="3"/>
        <v>0</v>
      </c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>
        <f t="shared" si="3"/>
        <v>0</v>
      </c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>
        <f t="shared" si="3"/>
        <v>0</v>
      </c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>
        <f t="shared" si="3"/>
        <v>0</v>
      </c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>
        <f t="shared" si="3"/>
        <v>0</v>
      </c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>
        <f t="shared" si="3"/>
        <v>0</v>
      </c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>
        <f t="shared" si="3"/>
        <v>0</v>
      </c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>
        <f t="shared" si="3"/>
        <v>0</v>
      </c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>
        <f t="shared" si="3"/>
        <v>0</v>
      </c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>
        <f t="shared" si="3"/>
        <v>0</v>
      </c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>
        <f t="shared" si="3"/>
        <v>0</v>
      </c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>
        <f t="shared" si="3"/>
        <v>0</v>
      </c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>
        <f t="shared" si="3"/>
        <v>0</v>
      </c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>
        <f t="shared" si="3"/>
        <v>0</v>
      </c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>
        <f t="shared" si="3"/>
        <v>0</v>
      </c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>
        <f t="shared" si="3"/>
        <v>0</v>
      </c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>
        <f t="shared" si="3"/>
        <v>0</v>
      </c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>
        <f t="shared" si="3"/>
        <v>0</v>
      </c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>
        <f t="shared" si="3"/>
        <v>0</v>
      </c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>
        <f t="shared" si="3"/>
        <v>0</v>
      </c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>
        <f t="shared" si="3"/>
        <v>0</v>
      </c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>
        <f t="shared" si="3"/>
        <v>0</v>
      </c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>
        <f t="shared" si="3"/>
        <v>0</v>
      </c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>
        <f t="shared" si="3"/>
        <v>0</v>
      </c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>
        <f t="shared" si="3"/>
        <v>0</v>
      </c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>
        <f t="shared" si="3"/>
        <v>0</v>
      </c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>
        <f t="shared" si="3"/>
        <v>0</v>
      </c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>
        <f t="shared" si="3"/>
        <v>0</v>
      </c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>
        <f t="shared" si="3"/>
        <v>0</v>
      </c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>
        <f t="shared" si="3"/>
        <v>0</v>
      </c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>
        <f t="shared" si="3"/>
        <v>0</v>
      </c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>
        <f t="shared" si="3"/>
        <v>0</v>
      </c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>
        <f t="shared" si="3"/>
        <v>0</v>
      </c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>
        <f t="shared" si="3"/>
        <v>0</v>
      </c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>
        <f t="shared" si="3"/>
        <v>0</v>
      </c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>
        <f t="shared" si="3"/>
        <v>0</v>
      </c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>
        <f t="shared" si="3"/>
        <v>0</v>
      </c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>
        <f t="shared" si="3"/>
        <v>0</v>
      </c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>
        <f t="shared" si="3"/>
        <v>0</v>
      </c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>
        <f t="shared" si="3"/>
        <v>0</v>
      </c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>
        <f t="shared" si="3"/>
        <v>0</v>
      </c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>
        <f t="shared" si="3"/>
        <v>0</v>
      </c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>
        <f t="shared" si="3"/>
        <v>0</v>
      </c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>
        <f t="shared" si="3"/>
        <v>0</v>
      </c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>
        <f t="shared" si="3"/>
        <v>0</v>
      </c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>
        <f t="shared" si="3"/>
        <v>0</v>
      </c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>
        <f t="shared" si="3"/>
        <v>0</v>
      </c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>
        <f t="shared" si="3"/>
        <v>0</v>
      </c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>
        <f t="shared" si="3"/>
        <v>0</v>
      </c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>
        <f t="shared" si="3"/>
        <v>0</v>
      </c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>
        <f t="shared" si="3"/>
        <v>0</v>
      </c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>
        <f t="shared" si="3"/>
        <v>0</v>
      </c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>
        <f t="shared" si="3"/>
        <v>0</v>
      </c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>
        <f t="shared" si="3"/>
        <v>0</v>
      </c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>
        <f t="shared" si="3"/>
        <v>0</v>
      </c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>
        <f t="shared" si="3"/>
        <v>0</v>
      </c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>
        <f t="shared" si="3"/>
        <v>0</v>
      </c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>
        <f t="shared" si="3"/>
        <v>0</v>
      </c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25.0"/>
    <col customWidth="1" min="4" max="7" width="18.0"/>
    <col customWidth="1" min="8" max="8" width="22.0"/>
    <col customWidth="1" min="9" max="9" width="18.0"/>
    <col customWidth="1" min="10" max="10" width="22.0"/>
    <col customWidth="1" min="11" max="11" width="24.0"/>
    <col customWidth="1" min="12" max="12" width="30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9</v>
      </c>
      <c r="I1" s="3" t="s">
        <v>11</v>
      </c>
      <c r="J1" s="3" t="s">
        <v>12</v>
      </c>
      <c r="K1" s="3" t="s">
        <v>14</v>
      </c>
      <c r="L1" s="3" t="s">
        <v>16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22</v>
      </c>
      <c r="B2" s="6" t="s">
        <v>24</v>
      </c>
      <c r="C2" s="6" t="s">
        <v>25</v>
      </c>
      <c r="D2" s="6" t="s">
        <v>26</v>
      </c>
      <c r="E2" s="7">
        <v>1267.400024414062</v>
      </c>
      <c r="F2" s="7">
        <v>1217.533463494685</v>
      </c>
      <c r="G2" s="7">
        <v>1367.133146252818</v>
      </c>
      <c r="H2" s="6" t="s">
        <v>30</v>
      </c>
      <c r="I2" s="6">
        <v>1.0</v>
      </c>
      <c r="J2" s="7">
        <v>1267.400024414062</v>
      </c>
      <c r="K2" s="6" t="s">
        <v>32</v>
      </c>
      <c r="L2" s="6" t="s">
        <v>34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22</v>
      </c>
      <c r="B3" s="6" t="s">
        <v>38</v>
      </c>
      <c r="C3" s="6" t="s">
        <v>39</v>
      </c>
      <c r="D3" s="6" t="s">
        <v>26</v>
      </c>
      <c r="E3" s="7">
        <v>2514.800048828125</v>
      </c>
      <c r="F3" s="7">
        <v>2414.086713938525</v>
      </c>
      <c r="G3" s="7">
        <v>2716.226718607325</v>
      </c>
      <c r="H3" s="6" t="s">
        <v>30</v>
      </c>
      <c r="I3" s="6">
        <v>0.0</v>
      </c>
      <c r="J3" s="7">
        <v>0.0</v>
      </c>
      <c r="K3" s="6" t="s">
        <v>32</v>
      </c>
      <c r="L3" s="6" t="s">
        <v>34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22</v>
      </c>
      <c r="B4" s="6" t="s">
        <v>43</v>
      </c>
      <c r="C4" s="6" t="s">
        <v>45</v>
      </c>
      <c r="D4" s="6" t="s">
        <v>46</v>
      </c>
      <c r="E4" s="7">
        <v>12094.0</v>
      </c>
      <c r="F4" s="7">
        <v>11658.42857142857</v>
      </c>
      <c r="G4" s="7">
        <v>12965.14285714286</v>
      </c>
      <c r="H4" s="6" t="s">
        <v>30</v>
      </c>
      <c r="I4" s="6">
        <v>0.0</v>
      </c>
      <c r="J4" s="7">
        <v>0.0</v>
      </c>
      <c r="K4" s="6" t="s">
        <v>32</v>
      </c>
      <c r="L4" s="6" t="s">
        <v>34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22</v>
      </c>
      <c r="B5" s="6" t="s">
        <v>49</v>
      </c>
      <c r="C5" s="6" t="s">
        <v>50</v>
      </c>
      <c r="D5" s="6" t="s">
        <v>46</v>
      </c>
      <c r="E5" s="7">
        <v>7882.0</v>
      </c>
      <c r="F5" s="7">
        <v>7455.142857142857</v>
      </c>
      <c r="G5" s="7">
        <v>8735.714285714286</v>
      </c>
      <c r="H5" s="6" t="s">
        <v>30</v>
      </c>
      <c r="I5" s="6">
        <v>0.0</v>
      </c>
      <c r="J5" s="7">
        <v>0.0</v>
      </c>
      <c r="K5" s="6" t="s">
        <v>32</v>
      </c>
      <c r="L5" s="6" t="s">
        <v>34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22</v>
      </c>
      <c r="B6" s="6" t="s">
        <v>53</v>
      </c>
      <c r="C6" s="6" t="s">
        <v>54</v>
      </c>
      <c r="D6" s="6" t="s">
        <v>46</v>
      </c>
      <c r="E6" s="7">
        <v>1470.0</v>
      </c>
      <c r="F6" s="7">
        <v>1391.314226422991</v>
      </c>
      <c r="G6" s="7">
        <v>1627.371547154018</v>
      </c>
      <c r="H6" s="6" t="s">
        <v>30</v>
      </c>
      <c r="I6" s="6">
        <v>1.0</v>
      </c>
      <c r="J6" s="7">
        <v>1470.0</v>
      </c>
      <c r="K6" s="6" t="s">
        <v>32</v>
      </c>
      <c r="L6" s="6" t="s">
        <v>34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59</v>
      </c>
      <c r="B7" s="6" t="s">
        <v>24</v>
      </c>
      <c r="C7" s="6" t="s">
        <v>25</v>
      </c>
      <c r="D7" s="6" t="s">
        <v>26</v>
      </c>
      <c r="E7" s="7">
        <v>1267.4</v>
      </c>
      <c r="F7" s="7">
        <v>1219.23</v>
      </c>
      <c r="G7" s="7">
        <v>1363.73</v>
      </c>
      <c r="H7" s="6" t="s">
        <v>30</v>
      </c>
      <c r="I7" s="6">
        <v>1.0</v>
      </c>
      <c r="J7" s="7">
        <v>1267.4</v>
      </c>
      <c r="K7" s="6" t="s">
        <v>32</v>
      </c>
      <c r="L7" s="6" t="s">
        <v>60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59</v>
      </c>
      <c r="B8" s="6" t="s">
        <v>63</v>
      </c>
      <c r="C8" s="6" t="s">
        <v>64</v>
      </c>
      <c r="D8" s="6" t="s">
        <v>65</v>
      </c>
      <c r="E8" s="7">
        <v>732.75</v>
      </c>
      <c r="F8" s="7">
        <v>703.5</v>
      </c>
      <c r="G8" s="7">
        <v>797.86</v>
      </c>
      <c r="H8" s="6" t="s">
        <v>30</v>
      </c>
      <c r="I8" s="6">
        <v>2.0</v>
      </c>
      <c r="J8" s="7">
        <v>1465.5</v>
      </c>
      <c r="K8" s="6" t="s">
        <v>32</v>
      </c>
      <c r="L8" s="6" t="s">
        <v>60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59</v>
      </c>
      <c r="B9" s="6" t="s">
        <v>38</v>
      </c>
      <c r="C9" s="6" t="s">
        <v>39</v>
      </c>
      <c r="D9" s="6" t="s">
        <v>26</v>
      </c>
      <c r="E9" s="7">
        <v>2514.8</v>
      </c>
      <c r="F9" s="7">
        <v>2417.09</v>
      </c>
      <c r="G9" s="7">
        <v>2710.23</v>
      </c>
      <c r="H9" s="6" t="s">
        <v>30</v>
      </c>
      <c r="I9" s="6">
        <v>0.0</v>
      </c>
      <c r="J9" s="7">
        <v>0.0</v>
      </c>
      <c r="K9" s="6" t="s">
        <v>32</v>
      </c>
      <c r="L9" s="6" t="s">
        <v>60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59</v>
      </c>
      <c r="B10" s="6" t="s">
        <v>73</v>
      </c>
      <c r="C10" s="6" t="s">
        <v>74</v>
      </c>
      <c r="D10" s="6" t="s">
        <v>75</v>
      </c>
      <c r="E10" s="7">
        <v>4581.7</v>
      </c>
      <c r="F10" s="7">
        <v>4414.33</v>
      </c>
      <c r="G10" s="7">
        <v>4916.44</v>
      </c>
      <c r="H10" s="6" t="s">
        <v>30</v>
      </c>
      <c r="I10" s="6">
        <v>0.0</v>
      </c>
      <c r="J10" s="7">
        <v>0.0</v>
      </c>
      <c r="K10" s="6" t="s">
        <v>32</v>
      </c>
      <c r="L10" s="6" t="s">
        <v>60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59</v>
      </c>
      <c r="B11" s="6" t="s">
        <v>79</v>
      </c>
      <c r="C11" s="6" t="s">
        <v>80</v>
      </c>
      <c r="D11" s="6" t="s">
        <v>65</v>
      </c>
      <c r="E11" s="7">
        <v>27245.0</v>
      </c>
      <c r="F11" s="7">
        <v>26152.92</v>
      </c>
      <c r="G11" s="7">
        <v>29429.17</v>
      </c>
      <c r="H11" s="6" t="s">
        <v>30</v>
      </c>
      <c r="I11" s="6">
        <v>0.0</v>
      </c>
      <c r="J11" s="7">
        <v>0.0</v>
      </c>
      <c r="K11" s="6" t="s">
        <v>32</v>
      </c>
      <c r="L11" s="6" t="s">
        <v>60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84</v>
      </c>
      <c r="B12" s="2" t="s">
        <v>69</v>
      </c>
      <c r="C12" s="2" t="s">
        <v>86</v>
      </c>
      <c r="D12" s="2" t="s">
        <v>88</v>
      </c>
      <c r="E12" s="7">
        <v>1559.5</v>
      </c>
      <c r="F12" s="7">
        <v>1508.1</v>
      </c>
      <c r="G12" s="7">
        <v>1746.3</v>
      </c>
      <c r="H12" s="2" t="s">
        <v>30</v>
      </c>
      <c r="I12" s="2">
        <v>0.0</v>
      </c>
      <c r="J12" s="7">
        <v>0.0</v>
      </c>
      <c r="K12" s="2" t="s">
        <v>89</v>
      </c>
      <c r="L12" s="2" t="s">
        <v>90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92</v>
      </c>
      <c r="B13" s="2" t="s">
        <v>93</v>
      </c>
      <c r="C13" s="2" t="s">
        <v>94</v>
      </c>
      <c r="D13" s="2" t="s">
        <v>26</v>
      </c>
      <c r="E13" s="7">
        <v>521.35</v>
      </c>
      <c r="F13" s="7">
        <v>494.6</v>
      </c>
      <c r="G13" s="7">
        <v>574.85</v>
      </c>
      <c r="H13" s="2" t="s">
        <v>30</v>
      </c>
      <c r="I13" s="2">
        <v>1.0</v>
      </c>
      <c r="J13" s="7">
        <v>521.35</v>
      </c>
      <c r="K13" s="2" t="s">
        <v>89</v>
      </c>
      <c r="L13" s="2" t="s">
        <v>95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98</v>
      </c>
      <c r="B14" s="2" t="s">
        <v>99</v>
      </c>
      <c r="C14" s="2" t="s">
        <v>100</v>
      </c>
      <c r="D14" s="2" t="s">
        <v>101</v>
      </c>
      <c r="E14" s="7">
        <v>1530.0</v>
      </c>
      <c r="F14" s="7">
        <v>1520.11</v>
      </c>
      <c r="G14" s="7">
        <v>1549.77</v>
      </c>
      <c r="H14" s="2" t="s">
        <v>30</v>
      </c>
      <c r="I14" s="2">
        <v>1.0</v>
      </c>
      <c r="J14" s="7">
        <v>1530.0</v>
      </c>
      <c r="K14" s="2" t="s">
        <v>102</v>
      </c>
      <c r="L14" s="2" t="s">
        <v>103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98</v>
      </c>
      <c r="B15" s="2" t="s">
        <v>107</v>
      </c>
      <c r="C15" s="2" t="s">
        <v>108</v>
      </c>
      <c r="D15" s="2" t="s">
        <v>101</v>
      </c>
      <c r="E15" s="7">
        <v>1642.5</v>
      </c>
      <c r="F15" s="7">
        <v>1634.5</v>
      </c>
      <c r="G15" s="7">
        <v>1658.5</v>
      </c>
      <c r="H15" s="2" t="s">
        <v>30</v>
      </c>
      <c r="I15" s="2">
        <v>1.0</v>
      </c>
      <c r="J15" s="7">
        <v>1642.5</v>
      </c>
      <c r="K15" s="2" t="s">
        <v>102</v>
      </c>
      <c r="L15" s="2" t="s">
        <v>103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116</v>
      </c>
      <c r="B16" s="2" t="s">
        <v>117</v>
      </c>
      <c r="C16" s="2" t="s">
        <v>118</v>
      </c>
      <c r="D16" s="2" t="s">
        <v>26</v>
      </c>
      <c r="E16" s="7">
        <v>472.8999938964844</v>
      </c>
      <c r="F16" s="7">
        <v>445.4499947684152</v>
      </c>
      <c r="G16" s="7">
        <v>527.7999921526227</v>
      </c>
      <c r="H16" s="2" t="s">
        <v>30</v>
      </c>
      <c r="I16" s="2">
        <v>0.0</v>
      </c>
      <c r="J16" s="7">
        <v>0.0</v>
      </c>
      <c r="K16" s="2" t="s">
        <v>89</v>
      </c>
      <c r="L16" s="2" t="s">
        <v>119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116</v>
      </c>
      <c r="B17" s="2" t="s">
        <v>123</v>
      </c>
      <c r="C17" s="2" t="s">
        <v>124</v>
      </c>
      <c r="D17" s="2" t="s">
        <v>26</v>
      </c>
      <c r="E17" s="7">
        <v>1408.0</v>
      </c>
      <c r="F17" s="7">
        <v>1341.771414620536</v>
      </c>
      <c r="G17" s="7">
        <v>1540.457170758929</v>
      </c>
      <c r="H17" s="2" t="s">
        <v>30</v>
      </c>
      <c r="I17" s="2">
        <v>0.0</v>
      </c>
      <c r="J17" s="7">
        <v>0.0</v>
      </c>
      <c r="K17" s="2" t="s">
        <v>89</v>
      </c>
      <c r="L17" s="2" t="s">
        <v>119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116</v>
      </c>
      <c r="B18" s="2" t="s">
        <v>129</v>
      </c>
      <c r="C18" s="2" t="s">
        <v>129</v>
      </c>
      <c r="D18" s="2" t="s">
        <v>26</v>
      </c>
      <c r="E18" s="7">
        <v>764.0499877929688</v>
      </c>
      <c r="F18" s="7">
        <v>717.2571149553571</v>
      </c>
      <c r="G18" s="7">
        <v>857.6357334681919</v>
      </c>
      <c r="H18" s="2" t="s">
        <v>30</v>
      </c>
      <c r="I18" s="2">
        <v>0.0</v>
      </c>
      <c r="J18" s="7">
        <v>0.0</v>
      </c>
      <c r="K18" s="2" t="s">
        <v>89</v>
      </c>
      <c r="L18" s="2" t="s">
        <v>119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116</v>
      </c>
      <c r="B19" s="2" t="s">
        <v>133</v>
      </c>
      <c r="C19" s="2" t="s">
        <v>134</v>
      </c>
      <c r="D19" s="2" t="s">
        <v>26</v>
      </c>
      <c r="E19" s="7">
        <v>1461.400024414062</v>
      </c>
      <c r="F19" s="7">
        <v>1350.727503014851</v>
      </c>
      <c r="G19" s="7">
        <v>1682.745067212486</v>
      </c>
      <c r="H19" s="2" t="s">
        <v>30</v>
      </c>
      <c r="I19" s="2">
        <v>0.0</v>
      </c>
      <c r="J19" s="7">
        <v>0.0</v>
      </c>
      <c r="K19" s="2" t="s">
        <v>89</v>
      </c>
      <c r="L19" s="2" t="s">
        <v>119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116</v>
      </c>
      <c r="B20" s="2" t="s">
        <v>137</v>
      </c>
      <c r="C20" s="2" t="s">
        <v>138</v>
      </c>
      <c r="D20" s="2" t="s">
        <v>26</v>
      </c>
      <c r="E20" s="7">
        <v>1353.099975585938</v>
      </c>
      <c r="F20" s="7">
        <v>1214.848859742893</v>
      </c>
      <c r="G20" s="7">
        <v>1629.602207272027</v>
      </c>
      <c r="H20" s="2" t="s">
        <v>30</v>
      </c>
      <c r="I20" s="2">
        <v>0.0</v>
      </c>
      <c r="J20" s="7">
        <v>0.0</v>
      </c>
      <c r="K20" s="2" t="s">
        <v>89</v>
      </c>
      <c r="L20" s="2" t="s">
        <v>119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116</v>
      </c>
      <c r="B21" s="2" t="s">
        <v>142</v>
      </c>
      <c r="C21" s="2" t="s">
        <v>143</v>
      </c>
      <c r="D21" s="2" t="s">
        <v>65</v>
      </c>
      <c r="E21" s="7">
        <v>1885.7</v>
      </c>
      <c r="F21" s="7">
        <v>1818.6</v>
      </c>
      <c r="G21" s="7">
        <v>2019.85</v>
      </c>
      <c r="H21" s="2" t="s">
        <v>30</v>
      </c>
      <c r="I21" s="2">
        <v>0.0</v>
      </c>
      <c r="J21" s="7">
        <v>0.0</v>
      </c>
      <c r="K21" s="2" t="s">
        <v>89</v>
      </c>
      <c r="L21" s="2" t="s">
        <v>146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116</v>
      </c>
      <c r="B22" s="2" t="s">
        <v>148</v>
      </c>
      <c r="C22" s="2" t="s">
        <v>149</v>
      </c>
      <c r="D22" s="2" t="s">
        <v>151</v>
      </c>
      <c r="E22" s="7">
        <v>141.06</v>
      </c>
      <c r="F22" s="7">
        <v>134.5</v>
      </c>
      <c r="G22" s="7">
        <v>154.2</v>
      </c>
      <c r="H22" s="2" t="s">
        <v>30</v>
      </c>
      <c r="I22" s="2">
        <v>0.0</v>
      </c>
      <c r="J22" s="7">
        <v>0.0</v>
      </c>
      <c r="K22" s="2" t="s">
        <v>89</v>
      </c>
      <c r="L22" s="2" t="s">
        <v>146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116</v>
      </c>
      <c r="B23" s="2" t="s">
        <v>156</v>
      </c>
      <c r="C23" s="2" t="s">
        <v>158</v>
      </c>
      <c r="D23" s="2" t="s">
        <v>159</v>
      </c>
      <c r="E23" s="7">
        <v>1731.9</v>
      </c>
      <c r="F23" s="7">
        <v>1699.65</v>
      </c>
      <c r="G23" s="7">
        <v>1796.4</v>
      </c>
      <c r="H23" s="2" t="s">
        <v>30</v>
      </c>
      <c r="I23" s="2">
        <v>0.0</v>
      </c>
      <c r="J23" s="7">
        <v>0.0</v>
      </c>
      <c r="K23" s="2" t="s">
        <v>89</v>
      </c>
      <c r="L23" s="2" t="s">
        <v>146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116</v>
      </c>
      <c r="B24" s="2" t="s">
        <v>163</v>
      </c>
      <c r="C24" s="2" t="s">
        <v>164</v>
      </c>
      <c r="D24" s="2" t="s">
        <v>166</v>
      </c>
      <c r="E24" s="7">
        <v>738.7</v>
      </c>
      <c r="F24" s="7">
        <v>726.55</v>
      </c>
      <c r="G24" s="7">
        <v>763.0</v>
      </c>
      <c r="H24" s="2" t="s">
        <v>30</v>
      </c>
      <c r="I24" s="2">
        <v>0.0</v>
      </c>
      <c r="J24" s="7">
        <v>0.0</v>
      </c>
      <c r="K24" s="2" t="s">
        <v>89</v>
      </c>
      <c r="L24" s="2" t="s">
        <v>146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116</v>
      </c>
      <c r="B25" s="2" t="s">
        <v>170</v>
      </c>
      <c r="C25" s="2" t="s">
        <v>171</v>
      </c>
      <c r="D25" s="2" t="s">
        <v>173</v>
      </c>
      <c r="E25" s="7">
        <v>3572.6</v>
      </c>
      <c r="F25" s="7">
        <v>3521.3</v>
      </c>
      <c r="G25" s="7">
        <v>3675.2</v>
      </c>
      <c r="H25" s="2" t="s">
        <v>30</v>
      </c>
      <c r="I25" s="2">
        <v>0.0</v>
      </c>
      <c r="J25" s="7">
        <v>0.0</v>
      </c>
      <c r="K25" s="2" t="s">
        <v>89</v>
      </c>
      <c r="L25" s="2" t="s">
        <v>146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116</v>
      </c>
      <c r="B26" s="2" t="s">
        <v>177</v>
      </c>
      <c r="C26" s="2" t="s">
        <v>178</v>
      </c>
      <c r="D26" s="2" t="s">
        <v>101</v>
      </c>
      <c r="E26" s="7">
        <v>803.5499877929688</v>
      </c>
      <c r="F26" s="7">
        <v>754.6499895368304</v>
      </c>
      <c r="G26" s="7">
        <v>901.3499843052456</v>
      </c>
      <c r="H26" s="2" t="s">
        <v>30</v>
      </c>
      <c r="I26" s="2">
        <v>0.0</v>
      </c>
      <c r="J26" s="7">
        <v>0.0</v>
      </c>
      <c r="K26" s="2" t="s">
        <v>89</v>
      </c>
      <c r="L26" s="2" t="s">
        <v>119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116</v>
      </c>
      <c r="B27" s="2" t="s">
        <v>181</v>
      </c>
      <c r="C27" s="2" t="s">
        <v>182</v>
      </c>
      <c r="D27" s="2" t="s">
        <v>101</v>
      </c>
      <c r="E27" s="7">
        <v>432.6000061035156</v>
      </c>
      <c r="F27" s="7">
        <v>408.8357151576451</v>
      </c>
      <c r="G27" s="7">
        <v>480.1285879952567</v>
      </c>
      <c r="H27" s="2" t="s">
        <v>30</v>
      </c>
      <c r="I27" s="2">
        <v>0.0</v>
      </c>
      <c r="J27" s="7">
        <v>0.0</v>
      </c>
      <c r="K27" s="2" t="s">
        <v>89</v>
      </c>
      <c r="L27" s="2" t="s">
        <v>119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116</v>
      </c>
      <c r="B28" s="2" t="s">
        <v>190</v>
      </c>
      <c r="C28" s="2" t="s">
        <v>191</v>
      </c>
      <c r="D28" s="2" t="s">
        <v>26</v>
      </c>
      <c r="E28" s="7">
        <v>1424.900024414062</v>
      </c>
      <c r="F28" s="7">
        <v>1320.614310128348</v>
      </c>
      <c r="G28" s="7">
        <v>1633.471452985491</v>
      </c>
      <c r="H28" s="2" t="s">
        <v>30</v>
      </c>
      <c r="I28" s="2">
        <v>0.0</v>
      </c>
      <c r="J28" s="7">
        <v>0.0</v>
      </c>
      <c r="K28" s="2" t="s">
        <v>89</v>
      </c>
      <c r="L28" s="2" t="s">
        <v>119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116</v>
      </c>
      <c r="B29" s="2" t="s">
        <v>196</v>
      </c>
      <c r="C29" s="2" t="s">
        <v>197</v>
      </c>
      <c r="D29" s="2" t="s">
        <v>26</v>
      </c>
      <c r="E29" s="7">
        <v>5623.5</v>
      </c>
      <c r="F29" s="7">
        <v>5378.120418563584</v>
      </c>
      <c r="G29" s="7">
        <v>6114.259162872831</v>
      </c>
      <c r="H29" s="2" t="s">
        <v>30</v>
      </c>
      <c r="I29" s="2">
        <v>0.0</v>
      </c>
      <c r="J29" s="7">
        <v>0.0</v>
      </c>
      <c r="K29" s="2" t="s">
        <v>89</v>
      </c>
      <c r="L29" s="2" t="s">
        <v>119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116</v>
      </c>
      <c r="B30" s="2" t="s">
        <v>199</v>
      </c>
      <c r="C30" s="2" t="s">
        <v>200</v>
      </c>
      <c r="D30" s="2" t="s">
        <v>26</v>
      </c>
      <c r="E30" s="7">
        <v>1923.699951171875</v>
      </c>
      <c r="F30" s="7">
        <v>1723.614240373884</v>
      </c>
      <c r="G30" s="7">
        <v>2323.871372767857</v>
      </c>
      <c r="H30" s="2" t="s">
        <v>30</v>
      </c>
      <c r="I30" s="2">
        <v>0.0</v>
      </c>
      <c r="J30" s="7">
        <v>0.0</v>
      </c>
      <c r="K30" s="2" t="s">
        <v>89</v>
      </c>
      <c r="L30" s="2" t="s">
        <v>119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116</v>
      </c>
      <c r="B31" s="2" t="s">
        <v>201</v>
      </c>
      <c r="C31" s="2" t="s">
        <v>205</v>
      </c>
      <c r="D31" s="2" t="s">
        <v>101</v>
      </c>
      <c r="E31" s="7">
        <v>405.85</v>
      </c>
      <c r="F31" s="7">
        <v>399.4</v>
      </c>
      <c r="G31" s="7">
        <v>418.75</v>
      </c>
      <c r="H31" s="2" t="s">
        <v>30</v>
      </c>
      <c r="I31" s="2">
        <v>0.0</v>
      </c>
      <c r="J31" s="7">
        <v>0.0</v>
      </c>
      <c r="K31" s="2" t="s">
        <v>89</v>
      </c>
      <c r="L31" s="2" t="s">
        <v>146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116</v>
      </c>
      <c r="B32" s="2" t="s">
        <v>208</v>
      </c>
      <c r="C32" s="2" t="s">
        <v>209</v>
      </c>
      <c r="D32" s="2" t="s">
        <v>101</v>
      </c>
      <c r="E32" s="7">
        <v>881.0</v>
      </c>
      <c r="F32" s="7">
        <v>873.4</v>
      </c>
      <c r="G32" s="7">
        <v>896.25</v>
      </c>
      <c r="H32" s="2" t="s">
        <v>30</v>
      </c>
      <c r="I32" s="2">
        <v>0.0</v>
      </c>
      <c r="J32" s="7">
        <v>0.0</v>
      </c>
      <c r="K32" s="2" t="s">
        <v>89</v>
      </c>
      <c r="L32" s="2" t="s">
        <v>146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116</v>
      </c>
      <c r="B33" s="2" t="s">
        <v>215</v>
      </c>
      <c r="C33" s="2" t="s">
        <v>216</v>
      </c>
      <c r="D33" s="2" t="s">
        <v>101</v>
      </c>
      <c r="E33" s="7">
        <v>153.07</v>
      </c>
      <c r="F33" s="7">
        <v>151.85</v>
      </c>
      <c r="G33" s="7">
        <v>155.45</v>
      </c>
      <c r="H33" s="2" t="s">
        <v>30</v>
      </c>
      <c r="I33" s="2">
        <v>0.0</v>
      </c>
      <c r="J33" s="7">
        <v>0.0</v>
      </c>
      <c r="K33" s="2" t="s">
        <v>89</v>
      </c>
      <c r="L33" s="2" t="s">
        <v>146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116</v>
      </c>
      <c r="B34" s="2" t="s">
        <v>219</v>
      </c>
      <c r="C34" s="2" t="s">
        <v>220</v>
      </c>
      <c r="D34" s="2" t="s">
        <v>101</v>
      </c>
      <c r="E34" s="7">
        <v>1205.0</v>
      </c>
      <c r="F34" s="7">
        <v>1189.6</v>
      </c>
      <c r="G34" s="7">
        <v>1235.85</v>
      </c>
      <c r="H34" s="2" t="s">
        <v>30</v>
      </c>
      <c r="I34" s="2">
        <v>0.0</v>
      </c>
      <c r="J34" s="7">
        <v>0.0</v>
      </c>
      <c r="K34" s="2" t="s">
        <v>89</v>
      </c>
      <c r="L34" s="2" t="s">
        <v>146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116</v>
      </c>
      <c r="B35" s="2" t="s">
        <v>224</v>
      </c>
      <c r="C35" s="2" t="s">
        <v>225</v>
      </c>
      <c r="D35" s="2" t="s">
        <v>101</v>
      </c>
      <c r="E35" s="7">
        <v>1746.1</v>
      </c>
      <c r="F35" s="7">
        <v>1722.5</v>
      </c>
      <c r="G35" s="7">
        <v>1793.25</v>
      </c>
      <c r="H35" s="2" t="s">
        <v>30</v>
      </c>
      <c r="I35" s="2">
        <v>0.0</v>
      </c>
      <c r="J35" s="7">
        <v>0.0</v>
      </c>
      <c r="K35" s="2" t="s">
        <v>89</v>
      </c>
      <c r="L35" s="2" t="s">
        <v>146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0"/>
    <col customWidth="1" min="3" max="3" width="18.0"/>
    <col customWidth="1" min="4" max="4" width="40.0"/>
    <col customWidth="1" min="5" max="6" width="8.71"/>
  </cols>
  <sheetData>
    <row r="1">
      <c r="A1" s="6" t="s">
        <v>1</v>
      </c>
      <c r="B1" s="6" t="s">
        <v>299</v>
      </c>
      <c r="C1" s="6" t="s">
        <v>300</v>
      </c>
      <c r="D1" s="6" t="s">
        <v>16</v>
      </c>
      <c r="E1" s="2"/>
      <c r="F1" s="2"/>
    </row>
    <row r="2">
      <c r="A2" s="6" t="s">
        <v>301</v>
      </c>
      <c r="B2" s="6" t="s">
        <v>302</v>
      </c>
      <c r="C2" s="7">
        <v>10000.0</v>
      </c>
      <c r="D2" s="2"/>
      <c r="E2" s="2"/>
      <c r="F2" s="2"/>
    </row>
    <row r="3">
      <c r="A3" s="6" t="s">
        <v>59</v>
      </c>
      <c r="B3" s="6" t="s">
        <v>303</v>
      </c>
      <c r="C3" s="7">
        <v>1.76</v>
      </c>
      <c r="D3" s="6" t="s">
        <v>304</v>
      </c>
      <c r="E3" s="2"/>
      <c r="F3" s="2"/>
    </row>
    <row r="4">
      <c r="A4" s="6" t="s">
        <v>59</v>
      </c>
      <c r="B4" s="6" t="s">
        <v>303</v>
      </c>
      <c r="C4" s="7">
        <v>1.52</v>
      </c>
      <c r="D4" s="6" t="s">
        <v>305</v>
      </c>
      <c r="E4" s="2"/>
      <c r="F4" s="2"/>
    </row>
    <row r="5">
      <c r="A5" s="6" t="s">
        <v>306</v>
      </c>
      <c r="B5" s="6" t="s">
        <v>303</v>
      </c>
      <c r="C5" s="7">
        <v>181.62</v>
      </c>
      <c r="D5" s="6" t="s">
        <v>307</v>
      </c>
      <c r="E5" s="2"/>
      <c r="F5" s="2"/>
    </row>
    <row r="6">
      <c r="A6" s="6" t="s">
        <v>84</v>
      </c>
      <c r="B6" s="6" t="s">
        <v>303</v>
      </c>
      <c r="C6" s="7">
        <v>1.89</v>
      </c>
      <c r="D6" s="6" t="s">
        <v>308</v>
      </c>
      <c r="E6" s="2"/>
      <c r="F6" s="2"/>
    </row>
    <row r="7">
      <c r="A7" s="6" t="s">
        <v>106</v>
      </c>
      <c r="B7" s="6" t="s">
        <v>303</v>
      </c>
      <c r="C7" s="7">
        <v>1.76</v>
      </c>
      <c r="D7" s="6" t="s">
        <v>309</v>
      </c>
      <c r="E7" s="2"/>
      <c r="F7" s="2"/>
    </row>
    <row r="8">
      <c r="A8" s="6" t="s">
        <v>115</v>
      </c>
      <c r="B8" s="6" t="s">
        <v>303</v>
      </c>
      <c r="C8" s="7">
        <v>0.61</v>
      </c>
      <c r="D8" s="6" t="s">
        <v>310</v>
      </c>
      <c r="E8" s="2"/>
      <c r="F8" s="2"/>
    </row>
    <row r="9">
      <c r="A9" s="6" t="s">
        <v>115</v>
      </c>
      <c r="B9" s="6" t="s">
        <v>303</v>
      </c>
      <c r="C9" s="7">
        <v>0.12</v>
      </c>
      <c r="D9" s="6" t="s">
        <v>311</v>
      </c>
      <c r="E9" s="2"/>
      <c r="F9" s="2"/>
    </row>
    <row r="10">
      <c r="A10" s="6" t="s">
        <v>98</v>
      </c>
      <c r="B10" s="6" t="s">
        <v>303</v>
      </c>
      <c r="C10" s="7">
        <v>1.84</v>
      </c>
      <c r="D10" s="6" t="s">
        <v>312</v>
      </c>
      <c r="E10" s="2"/>
      <c r="F10" s="2"/>
    </row>
    <row r="11">
      <c r="A11" s="6" t="s">
        <v>98</v>
      </c>
      <c r="B11" s="6" t="s">
        <v>303</v>
      </c>
      <c r="C11" s="7">
        <v>1.97</v>
      </c>
      <c r="D11" s="6" t="s">
        <v>313</v>
      </c>
      <c r="E11" s="2"/>
      <c r="F11" s="2"/>
    </row>
    <row r="12">
      <c r="A12" s="6" t="s">
        <v>98</v>
      </c>
      <c r="B12" s="6" t="s">
        <v>303</v>
      </c>
      <c r="C12" s="7">
        <v>1.83</v>
      </c>
      <c r="D12" s="6" t="s">
        <v>314</v>
      </c>
      <c r="E12" s="2"/>
      <c r="F12" s="2"/>
    </row>
    <row r="13">
      <c r="A13" s="6" t="s">
        <v>98</v>
      </c>
      <c r="B13" s="6" t="s">
        <v>303</v>
      </c>
      <c r="C13" s="7">
        <v>1.96</v>
      </c>
      <c r="D13" s="6" t="s">
        <v>315</v>
      </c>
      <c r="E13" s="2"/>
      <c r="F13" s="2"/>
    </row>
    <row r="14">
      <c r="A14" s="6" t="s">
        <v>82</v>
      </c>
      <c r="B14" s="6" t="s">
        <v>303</v>
      </c>
      <c r="C14" s="7">
        <v>0.84</v>
      </c>
      <c r="D14" s="6" t="s">
        <v>316</v>
      </c>
      <c r="E14" s="2"/>
      <c r="F14" s="2"/>
    </row>
    <row r="15">
      <c r="A15" s="6" t="s">
        <v>82</v>
      </c>
      <c r="B15" s="6" t="s">
        <v>303</v>
      </c>
      <c r="C15" s="7">
        <v>0.8</v>
      </c>
      <c r="D15" s="6" t="s">
        <v>317</v>
      </c>
      <c r="E15" s="2"/>
      <c r="F15" s="2"/>
    </row>
    <row r="16">
      <c r="A16" s="6" t="s">
        <v>82</v>
      </c>
      <c r="B16" s="6" t="s">
        <v>303</v>
      </c>
      <c r="C16" s="7">
        <v>0.79</v>
      </c>
      <c r="D16" s="6" t="s">
        <v>318</v>
      </c>
      <c r="E16" s="2"/>
      <c r="F16" s="2"/>
    </row>
    <row r="17">
      <c r="A17" s="6" t="s">
        <v>82</v>
      </c>
      <c r="B17" s="6" t="s">
        <v>303</v>
      </c>
      <c r="C17" s="7">
        <v>17.59</v>
      </c>
      <c r="D17" s="6" t="s">
        <v>319</v>
      </c>
      <c r="E17" s="2"/>
      <c r="F17" s="2"/>
    </row>
    <row r="18">
      <c r="A18" s="6" t="s">
        <v>82</v>
      </c>
      <c r="B18" s="6" t="s">
        <v>303</v>
      </c>
      <c r="C18" s="7">
        <v>1.23</v>
      </c>
      <c r="D18" s="6" t="s">
        <v>320</v>
      </c>
      <c r="E18" s="2"/>
      <c r="F18" s="2"/>
    </row>
    <row r="19">
      <c r="A19" s="6" t="s">
        <v>82</v>
      </c>
      <c r="B19" s="6" t="s">
        <v>303</v>
      </c>
      <c r="C19" s="7">
        <v>1.23</v>
      </c>
      <c r="D19" s="6" t="s">
        <v>321</v>
      </c>
      <c r="E19" s="2"/>
      <c r="F19" s="2"/>
    </row>
    <row r="20">
      <c r="A20" s="6" t="s">
        <v>82</v>
      </c>
      <c r="B20" s="6" t="s">
        <v>303</v>
      </c>
      <c r="C20" s="7">
        <v>1.05</v>
      </c>
      <c r="D20" s="6" t="s">
        <v>322</v>
      </c>
      <c r="E20" s="2"/>
      <c r="F20" s="2"/>
    </row>
    <row r="21" ht="15.75" customHeight="1">
      <c r="A21" s="6" t="s">
        <v>82</v>
      </c>
      <c r="B21" s="6" t="s">
        <v>303</v>
      </c>
      <c r="C21" s="7">
        <v>0.97</v>
      </c>
      <c r="D21" s="6" t="s">
        <v>323</v>
      </c>
      <c r="E21" s="2"/>
      <c r="F21" s="2"/>
    </row>
    <row r="22" ht="15.75" customHeight="1">
      <c r="A22" s="6" t="s">
        <v>82</v>
      </c>
      <c r="B22" s="6" t="s">
        <v>303</v>
      </c>
      <c r="C22" s="7">
        <v>1.27</v>
      </c>
      <c r="D22" s="6" t="s">
        <v>324</v>
      </c>
      <c r="E22" s="2"/>
      <c r="F22" s="2"/>
    </row>
    <row r="23" ht="15.75" customHeight="1">
      <c r="A23" s="6" t="s">
        <v>82</v>
      </c>
      <c r="B23" s="6" t="s">
        <v>303</v>
      </c>
      <c r="C23" s="7">
        <v>0.69</v>
      </c>
      <c r="D23" s="6" t="s">
        <v>325</v>
      </c>
      <c r="E23" s="2"/>
      <c r="F23" s="2"/>
    </row>
    <row r="24" ht="15.75" customHeight="1">
      <c r="A24" s="6" t="s">
        <v>155</v>
      </c>
      <c r="B24" s="6" t="s">
        <v>303</v>
      </c>
      <c r="C24" s="7">
        <v>1.27</v>
      </c>
      <c r="D24" s="6" t="s">
        <v>326</v>
      </c>
      <c r="E24" s="2"/>
      <c r="F24" s="2"/>
    </row>
    <row r="25" ht="15.75" customHeight="1">
      <c r="A25" s="6" t="s">
        <v>155</v>
      </c>
      <c r="B25" s="6" t="s">
        <v>303</v>
      </c>
      <c r="C25" s="7">
        <v>0.23</v>
      </c>
      <c r="D25" s="6" t="s">
        <v>327</v>
      </c>
      <c r="E25" s="2"/>
      <c r="F25" s="2"/>
    </row>
    <row r="26" ht="15.75" customHeight="1">
      <c r="A26" s="6" t="s">
        <v>155</v>
      </c>
      <c r="B26" s="6" t="s">
        <v>303</v>
      </c>
      <c r="C26" s="7">
        <v>16.13</v>
      </c>
      <c r="D26" s="6" t="s">
        <v>328</v>
      </c>
      <c r="E26" s="2"/>
      <c r="F26" s="2"/>
    </row>
    <row r="27" ht="15.75" customHeight="1">
      <c r="A27" s="6" t="s">
        <v>136</v>
      </c>
      <c r="B27" s="6" t="s">
        <v>303</v>
      </c>
      <c r="C27" s="7">
        <v>16.79</v>
      </c>
      <c r="D27" s="6" t="s">
        <v>329</v>
      </c>
      <c r="E27" s="2"/>
      <c r="F27" s="2"/>
    </row>
    <row r="28" ht="15.75" customHeight="1">
      <c r="A28" s="6" t="s">
        <v>136</v>
      </c>
      <c r="B28" s="6" t="s">
        <v>303</v>
      </c>
      <c r="C28" s="7">
        <v>16.92</v>
      </c>
      <c r="D28" s="6" t="s">
        <v>330</v>
      </c>
      <c r="E28" s="2"/>
      <c r="F28" s="2"/>
    </row>
    <row r="29" ht="15.75" customHeight="1">
      <c r="A29" s="6" t="s">
        <v>136</v>
      </c>
      <c r="B29" s="6" t="s">
        <v>303</v>
      </c>
      <c r="C29" s="7">
        <v>16.58</v>
      </c>
      <c r="D29" s="6" t="s">
        <v>331</v>
      </c>
      <c r="E29" s="2"/>
      <c r="F29" s="2"/>
    </row>
    <row r="30" ht="15.75" customHeight="1">
      <c r="A30" s="6" t="s">
        <v>116</v>
      </c>
      <c r="B30" s="6" t="s">
        <v>303</v>
      </c>
      <c r="C30" s="7">
        <v>1.56</v>
      </c>
      <c r="D30" s="6" t="s">
        <v>332</v>
      </c>
      <c r="E30" s="2"/>
      <c r="F30" s="2"/>
    </row>
    <row r="31" ht="15.75" customHeight="1">
      <c r="A31" s="6" t="s">
        <v>116</v>
      </c>
      <c r="B31" s="6" t="s">
        <v>303</v>
      </c>
      <c r="C31" s="7">
        <v>0.99</v>
      </c>
      <c r="D31" s="6" t="s">
        <v>333</v>
      </c>
      <c r="E31" s="2"/>
      <c r="F31" s="2"/>
    </row>
    <row r="32" ht="15.75" customHeight="1">
      <c r="A32" s="2" t="s">
        <v>109</v>
      </c>
      <c r="B32" s="2" t="s">
        <v>303</v>
      </c>
      <c r="C32" s="7">
        <v>2.44</v>
      </c>
      <c r="D32" s="2" t="s">
        <v>334</v>
      </c>
      <c r="E32" s="2"/>
      <c r="F32" s="2"/>
    </row>
    <row r="33" ht="15.75" customHeight="1">
      <c r="A33" s="2" t="s">
        <v>109</v>
      </c>
      <c r="B33" s="2" t="s">
        <v>303</v>
      </c>
      <c r="C33" s="7">
        <v>16.67</v>
      </c>
      <c r="D33" s="2" t="s">
        <v>335</v>
      </c>
      <c r="E33" s="2"/>
      <c r="F33" s="2"/>
    </row>
    <row r="34" ht="15.75" customHeight="1">
      <c r="A34" s="2" t="s">
        <v>109</v>
      </c>
      <c r="B34" s="2" t="s">
        <v>303</v>
      </c>
      <c r="C34" s="7">
        <v>3.87</v>
      </c>
      <c r="D34" s="2" t="s">
        <v>336</v>
      </c>
      <c r="E34" s="2"/>
      <c r="F34" s="2"/>
    </row>
    <row r="35" ht="15.75" customHeight="1">
      <c r="A35" s="2" t="s">
        <v>109</v>
      </c>
      <c r="B35" s="2" t="s">
        <v>303</v>
      </c>
      <c r="C35" s="7">
        <v>16.7</v>
      </c>
      <c r="D35" s="2" t="s">
        <v>337</v>
      </c>
      <c r="E35" s="2"/>
      <c r="F35" s="2"/>
    </row>
    <row r="36" ht="15.75" customHeight="1">
      <c r="A36" s="2"/>
      <c r="B36" s="2"/>
      <c r="C36" s="2"/>
      <c r="D36" s="2"/>
      <c r="E36" s="2"/>
      <c r="F36" s="2"/>
    </row>
    <row r="37" ht="15.75" customHeight="1">
      <c r="A37" s="2"/>
      <c r="B37" s="2"/>
      <c r="C37" s="2"/>
      <c r="D37" s="2"/>
      <c r="E37" s="2"/>
      <c r="F37" s="2"/>
    </row>
    <row r="38" ht="15.75" customHeight="1">
      <c r="A38" s="2"/>
      <c r="B38" s="2"/>
      <c r="C38" s="2"/>
      <c r="D38" s="2"/>
      <c r="E38" s="2"/>
      <c r="F38" s="2"/>
    </row>
    <row r="39" ht="15.75" customHeight="1">
      <c r="A39" s="2"/>
      <c r="B39" s="2"/>
      <c r="C39" s="2"/>
      <c r="D39" s="2"/>
      <c r="E39" s="2"/>
      <c r="F39" s="2"/>
    </row>
    <row r="40" ht="15.75" customHeight="1">
      <c r="A40" s="2"/>
      <c r="B40" s="2"/>
      <c r="C40" s="2"/>
      <c r="D40" s="2"/>
      <c r="E40" s="2"/>
      <c r="F40" s="2"/>
    </row>
    <row r="41" ht="15.75" customHeight="1">
      <c r="A41" s="2"/>
      <c r="B41" s="2"/>
      <c r="C41" s="2"/>
      <c r="D41" s="2"/>
      <c r="E41" s="2"/>
      <c r="F41" s="2"/>
    </row>
    <row r="42" ht="15.75" customHeight="1">
      <c r="A42" s="2"/>
      <c r="B42" s="2"/>
      <c r="C42" s="2"/>
      <c r="D42" s="2"/>
      <c r="E42" s="2"/>
      <c r="F42" s="2"/>
    </row>
    <row r="43" ht="15.75" customHeight="1">
      <c r="A43" s="2"/>
      <c r="B43" s="2"/>
      <c r="C43" s="2"/>
      <c r="D43" s="2"/>
      <c r="E43" s="2"/>
      <c r="F43" s="2"/>
    </row>
    <row r="44" ht="15.75" customHeight="1">
      <c r="A44" s="2"/>
      <c r="B44" s="2"/>
      <c r="C44" s="2"/>
      <c r="D44" s="2"/>
      <c r="E44" s="2"/>
      <c r="F44" s="2"/>
    </row>
    <row r="45" ht="15.75" customHeight="1">
      <c r="A45" s="2"/>
      <c r="B45" s="2"/>
      <c r="C45" s="2"/>
      <c r="D45" s="2"/>
      <c r="E45" s="2"/>
      <c r="F45" s="2"/>
    </row>
    <row r="46" ht="15.75" customHeight="1">
      <c r="A46" s="2"/>
      <c r="B46" s="2"/>
      <c r="C46" s="2"/>
      <c r="D46" s="2"/>
      <c r="E46" s="2"/>
      <c r="F46" s="2"/>
    </row>
    <row r="47" ht="15.75" customHeight="1">
      <c r="A47" s="2"/>
      <c r="B47" s="2"/>
      <c r="C47" s="2"/>
      <c r="D47" s="2"/>
      <c r="E47" s="2"/>
      <c r="F47" s="2"/>
    </row>
    <row r="48" ht="15.75" customHeight="1">
      <c r="A48" s="2"/>
      <c r="B48" s="2"/>
      <c r="C48" s="2"/>
      <c r="D48" s="2"/>
      <c r="E48" s="2"/>
      <c r="F48" s="2"/>
    </row>
    <row r="49" ht="15.75" customHeight="1">
      <c r="A49" s="2"/>
      <c r="B49" s="2"/>
      <c r="C49" s="2"/>
      <c r="D49" s="2"/>
      <c r="E49" s="2"/>
      <c r="F49" s="2"/>
    </row>
    <row r="50" ht="15.75" customHeight="1">
      <c r="A50" s="2"/>
      <c r="B50" s="2"/>
      <c r="C50" s="2"/>
      <c r="D50" s="2"/>
      <c r="E50" s="2"/>
      <c r="F50" s="2"/>
    </row>
    <row r="51" ht="15.75" customHeight="1">
      <c r="A51" s="2"/>
      <c r="B51" s="2"/>
      <c r="C51" s="2"/>
      <c r="D51" s="2"/>
      <c r="E51" s="2"/>
      <c r="F51" s="2"/>
    </row>
    <row r="52" ht="15.75" customHeight="1">
      <c r="A52" s="2"/>
      <c r="B52" s="2"/>
      <c r="C52" s="2"/>
      <c r="D52" s="2"/>
      <c r="E52" s="2"/>
      <c r="F52" s="2"/>
    </row>
    <row r="53" ht="15.75" customHeight="1">
      <c r="A53" s="2"/>
      <c r="B53" s="2"/>
      <c r="C53" s="2"/>
      <c r="D53" s="2"/>
      <c r="E53" s="2"/>
      <c r="F53" s="2"/>
    </row>
    <row r="54" ht="15.75" customHeight="1">
      <c r="A54" s="2"/>
      <c r="B54" s="2"/>
      <c r="C54" s="2"/>
      <c r="D54" s="2"/>
      <c r="E54" s="2"/>
      <c r="F54" s="2"/>
    </row>
    <row r="55" ht="15.75" customHeight="1">
      <c r="A55" s="2"/>
      <c r="B55" s="2"/>
      <c r="C55" s="2"/>
      <c r="D55" s="2"/>
      <c r="E55" s="2"/>
      <c r="F55" s="2"/>
    </row>
    <row r="56" ht="15.75" customHeight="1">
      <c r="A56" s="2"/>
      <c r="B56" s="2"/>
      <c r="C56" s="2"/>
      <c r="D56" s="2"/>
      <c r="E56" s="2"/>
      <c r="F56" s="2"/>
    </row>
    <row r="57" ht="15.75" customHeight="1">
      <c r="A57" s="2"/>
      <c r="B57" s="2"/>
      <c r="C57" s="2"/>
      <c r="D57" s="2"/>
      <c r="E57" s="2"/>
      <c r="F57" s="2"/>
    </row>
    <row r="58" ht="15.75" customHeight="1">
      <c r="A58" s="2"/>
      <c r="B58" s="2"/>
      <c r="C58" s="2"/>
      <c r="D58" s="2"/>
      <c r="E58" s="2"/>
      <c r="F58" s="2"/>
    </row>
    <row r="59" ht="15.75" customHeight="1">
      <c r="A59" s="2"/>
      <c r="B59" s="2"/>
      <c r="C59" s="2"/>
      <c r="D59" s="2"/>
      <c r="E59" s="2"/>
      <c r="F59" s="2"/>
    </row>
    <row r="60" ht="15.75" customHeight="1">
      <c r="A60" s="2"/>
      <c r="B60" s="2"/>
      <c r="C60" s="2"/>
      <c r="D60" s="2"/>
      <c r="E60" s="2"/>
      <c r="F60" s="2"/>
    </row>
    <row r="61" ht="15.75" customHeight="1">
      <c r="A61" s="2"/>
      <c r="B61" s="2"/>
      <c r="C61" s="2"/>
      <c r="D61" s="2"/>
      <c r="E61" s="2"/>
      <c r="F61" s="2"/>
    </row>
    <row r="62" ht="15.75" customHeight="1">
      <c r="A62" s="2"/>
      <c r="B62" s="2"/>
      <c r="C62" s="2"/>
      <c r="D62" s="2"/>
      <c r="E62" s="2"/>
      <c r="F62" s="2"/>
    </row>
    <row r="63" ht="15.75" customHeight="1">
      <c r="A63" s="2"/>
      <c r="B63" s="2"/>
      <c r="C63" s="2"/>
      <c r="D63" s="2"/>
      <c r="E63" s="2"/>
      <c r="F63" s="2"/>
    </row>
    <row r="64" ht="15.75" customHeight="1">
      <c r="A64" s="2"/>
      <c r="B64" s="2"/>
      <c r="C64" s="2"/>
      <c r="D64" s="2"/>
      <c r="E64" s="2"/>
      <c r="F64" s="2"/>
    </row>
    <row r="65" ht="15.75" customHeight="1">
      <c r="A65" s="2"/>
      <c r="B65" s="2"/>
      <c r="C65" s="2"/>
      <c r="D65" s="2"/>
      <c r="E65" s="2"/>
      <c r="F65" s="2"/>
    </row>
    <row r="66" ht="15.75" customHeight="1">
      <c r="A66" s="2"/>
      <c r="B66" s="2"/>
      <c r="C66" s="2"/>
      <c r="D66" s="2"/>
      <c r="E66" s="2"/>
      <c r="F66" s="2"/>
    </row>
    <row r="67" ht="15.75" customHeight="1">
      <c r="A67" s="2"/>
      <c r="B67" s="2"/>
      <c r="C67" s="2"/>
      <c r="D67" s="2"/>
      <c r="E67" s="2"/>
      <c r="F67" s="2"/>
    </row>
    <row r="68" ht="15.75" customHeight="1">
      <c r="A68" s="2"/>
      <c r="B68" s="2"/>
      <c r="C68" s="2"/>
      <c r="D68" s="2"/>
      <c r="E68" s="2"/>
      <c r="F68" s="2"/>
    </row>
    <row r="69" ht="15.75" customHeight="1">
      <c r="A69" s="2"/>
      <c r="B69" s="2"/>
      <c r="C69" s="2"/>
      <c r="D69" s="2"/>
      <c r="E69" s="2"/>
      <c r="F69" s="2"/>
    </row>
    <row r="70" ht="15.75" customHeight="1">
      <c r="A70" s="2"/>
      <c r="B70" s="2"/>
      <c r="C70" s="2"/>
      <c r="D70" s="2"/>
      <c r="E70" s="2"/>
      <c r="F70" s="2"/>
    </row>
    <row r="71" ht="15.75" customHeight="1">
      <c r="A71" s="2"/>
      <c r="B71" s="2"/>
      <c r="C71" s="2"/>
      <c r="D71" s="2"/>
      <c r="E71" s="2"/>
      <c r="F71" s="2"/>
    </row>
    <row r="72" ht="15.75" customHeight="1">
      <c r="A72" s="2"/>
      <c r="B72" s="2"/>
      <c r="C72" s="2"/>
      <c r="D72" s="2"/>
      <c r="E72" s="2"/>
      <c r="F72" s="2"/>
    </row>
    <row r="73" ht="15.75" customHeight="1">
      <c r="A73" s="2"/>
      <c r="B73" s="2"/>
      <c r="C73" s="2"/>
      <c r="D73" s="2"/>
      <c r="E73" s="2"/>
      <c r="F73" s="2"/>
    </row>
    <row r="74" ht="15.75" customHeight="1">
      <c r="A74" s="2"/>
      <c r="B74" s="2"/>
      <c r="C74" s="2"/>
      <c r="D74" s="2"/>
      <c r="E74" s="2"/>
      <c r="F74" s="2"/>
    </row>
    <row r="75" ht="15.75" customHeight="1">
      <c r="A75" s="2"/>
      <c r="B75" s="2"/>
      <c r="C75" s="2"/>
      <c r="D75" s="2"/>
      <c r="E75" s="2"/>
      <c r="F75" s="2"/>
    </row>
    <row r="76" ht="15.75" customHeight="1">
      <c r="A76" s="2"/>
      <c r="B76" s="2"/>
      <c r="C76" s="2"/>
      <c r="D76" s="2"/>
      <c r="E76" s="2"/>
      <c r="F76" s="2"/>
    </row>
    <row r="77" ht="15.75" customHeight="1">
      <c r="A77" s="2"/>
      <c r="B77" s="2"/>
      <c r="C77" s="2"/>
      <c r="D77" s="2"/>
      <c r="E77" s="2"/>
      <c r="F77" s="2"/>
    </row>
    <row r="78" ht="15.75" customHeight="1">
      <c r="A78" s="2"/>
      <c r="B78" s="2"/>
      <c r="C78" s="2"/>
      <c r="D78" s="2"/>
      <c r="E78" s="2"/>
      <c r="F78" s="2"/>
    </row>
    <row r="79" ht="15.75" customHeight="1">
      <c r="A79" s="2"/>
      <c r="B79" s="2"/>
      <c r="C79" s="2"/>
      <c r="D79" s="2"/>
      <c r="E79" s="2"/>
      <c r="F79" s="2"/>
    </row>
    <row r="80" ht="15.75" customHeight="1">
      <c r="A80" s="2"/>
      <c r="B80" s="2"/>
      <c r="C80" s="2"/>
      <c r="D80" s="2"/>
      <c r="E80" s="2"/>
      <c r="F80" s="2"/>
    </row>
    <row r="81" ht="15.75" customHeight="1">
      <c r="A81" s="2"/>
      <c r="B81" s="2"/>
      <c r="C81" s="2"/>
      <c r="D81" s="2"/>
      <c r="E81" s="2"/>
      <c r="F81" s="2"/>
    </row>
    <row r="82" ht="15.75" customHeight="1">
      <c r="A82" s="2"/>
      <c r="B82" s="2"/>
      <c r="C82" s="2"/>
      <c r="D82" s="2"/>
      <c r="E82" s="2"/>
      <c r="F82" s="2"/>
    </row>
    <row r="83" ht="15.75" customHeight="1">
      <c r="A83" s="2"/>
      <c r="B83" s="2"/>
      <c r="C83" s="2"/>
      <c r="D83" s="2"/>
      <c r="E83" s="2"/>
      <c r="F83" s="2"/>
    </row>
    <row r="84" ht="15.75" customHeight="1">
      <c r="A84" s="2"/>
      <c r="B84" s="2"/>
      <c r="C84" s="2"/>
      <c r="D84" s="2"/>
      <c r="E84" s="2"/>
      <c r="F84" s="2"/>
    </row>
    <row r="85" ht="15.75" customHeight="1">
      <c r="A85" s="2"/>
      <c r="B85" s="2"/>
      <c r="C85" s="2"/>
      <c r="D85" s="2"/>
      <c r="E85" s="2"/>
      <c r="F85" s="2"/>
    </row>
    <row r="86" ht="15.75" customHeight="1">
      <c r="A86" s="2"/>
      <c r="B86" s="2"/>
      <c r="C86" s="2"/>
      <c r="D86" s="2"/>
      <c r="E86" s="2"/>
      <c r="F86" s="2"/>
    </row>
    <row r="87" ht="15.75" customHeight="1">
      <c r="A87" s="2"/>
      <c r="B87" s="2"/>
      <c r="C87" s="2"/>
      <c r="D87" s="2"/>
      <c r="E87" s="2"/>
      <c r="F87" s="2"/>
    </row>
    <row r="88" ht="15.75" customHeight="1">
      <c r="A88" s="2"/>
      <c r="B88" s="2"/>
      <c r="C88" s="2"/>
      <c r="D88" s="2"/>
      <c r="E88" s="2"/>
      <c r="F88" s="2"/>
    </row>
    <row r="89" ht="15.75" customHeight="1">
      <c r="A89" s="2"/>
      <c r="B89" s="2"/>
      <c r="C89" s="2"/>
      <c r="D89" s="2"/>
      <c r="E89" s="2"/>
      <c r="F89" s="2"/>
    </row>
    <row r="90" ht="15.75" customHeight="1">
      <c r="A90" s="2"/>
      <c r="B90" s="2"/>
      <c r="C90" s="2"/>
      <c r="D90" s="2"/>
      <c r="E90" s="2"/>
      <c r="F90" s="2"/>
    </row>
    <row r="91" ht="15.75" customHeight="1">
      <c r="A91" s="2"/>
      <c r="B91" s="2"/>
      <c r="C91" s="2"/>
      <c r="D91" s="2"/>
      <c r="E91" s="2"/>
      <c r="F91" s="2"/>
    </row>
    <row r="92" ht="15.75" customHeight="1">
      <c r="A92" s="2"/>
      <c r="B92" s="2"/>
      <c r="C92" s="2"/>
      <c r="D92" s="2"/>
      <c r="E92" s="2"/>
      <c r="F92" s="2"/>
    </row>
    <row r="93" ht="15.75" customHeight="1">
      <c r="A93" s="2"/>
      <c r="B93" s="2"/>
      <c r="C93" s="2"/>
      <c r="D93" s="2"/>
      <c r="E93" s="2"/>
      <c r="F93" s="2"/>
    </row>
    <row r="94" ht="15.75" customHeight="1">
      <c r="A94" s="2"/>
      <c r="B94" s="2"/>
      <c r="C94" s="2"/>
      <c r="D94" s="2"/>
      <c r="E94" s="2"/>
      <c r="F94" s="2"/>
    </row>
    <row r="95" ht="15.75" customHeight="1">
      <c r="A95" s="2"/>
      <c r="B95" s="2"/>
      <c r="C95" s="2"/>
      <c r="D95" s="2"/>
      <c r="E95" s="2"/>
      <c r="F95" s="2"/>
    </row>
    <row r="96" ht="15.75" customHeight="1">
      <c r="A96" s="2"/>
      <c r="B96" s="2"/>
      <c r="C96" s="2"/>
      <c r="D96" s="2"/>
      <c r="E96" s="2"/>
      <c r="F96" s="2"/>
    </row>
    <row r="97" ht="15.75" customHeight="1">
      <c r="A97" s="2"/>
      <c r="B97" s="2"/>
      <c r="C97" s="2"/>
      <c r="D97" s="2"/>
      <c r="E97" s="2"/>
      <c r="F97" s="2"/>
    </row>
    <row r="98" ht="15.75" customHeight="1">
      <c r="A98" s="2"/>
      <c r="B98" s="2"/>
      <c r="C98" s="2"/>
      <c r="D98" s="2"/>
      <c r="E98" s="2"/>
      <c r="F98" s="2"/>
    </row>
    <row r="99" ht="15.75" customHeight="1">
      <c r="A99" s="2"/>
      <c r="B99" s="2"/>
      <c r="C99" s="2"/>
      <c r="D99" s="2"/>
      <c r="E99" s="2"/>
      <c r="F99" s="2"/>
    </row>
    <row r="100" ht="15.75" customHeight="1">
      <c r="A100" s="2"/>
      <c r="B100" s="2"/>
      <c r="C100" s="2"/>
      <c r="D100" s="2"/>
      <c r="E100" s="2"/>
      <c r="F100" s="2"/>
    </row>
    <row r="101" ht="15.75" customHeight="1">
      <c r="A101" s="2"/>
      <c r="B101" s="2"/>
      <c r="C101" s="2"/>
      <c r="D101" s="2"/>
      <c r="E101" s="2"/>
      <c r="F101" s="2"/>
    </row>
    <row r="102" ht="15.75" customHeight="1">
      <c r="A102" s="2"/>
      <c r="B102" s="2"/>
      <c r="C102" s="2"/>
      <c r="D102" s="2"/>
      <c r="E102" s="2"/>
      <c r="F102" s="2"/>
    </row>
    <row r="103" ht="15.75" customHeight="1">
      <c r="A103" s="2"/>
      <c r="B103" s="2"/>
      <c r="C103" s="2"/>
      <c r="D103" s="2"/>
      <c r="E103" s="2"/>
      <c r="F103" s="2"/>
    </row>
    <row r="104" ht="15.75" customHeight="1">
      <c r="A104" s="2"/>
      <c r="B104" s="2"/>
      <c r="C104" s="2"/>
      <c r="D104" s="2"/>
      <c r="E104" s="2"/>
      <c r="F104" s="2"/>
    </row>
    <row r="105" ht="15.75" customHeight="1">
      <c r="A105" s="2"/>
      <c r="B105" s="2"/>
      <c r="C105" s="2"/>
      <c r="D105" s="2"/>
      <c r="E105" s="2"/>
      <c r="F105" s="2"/>
    </row>
    <row r="106" ht="15.75" customHeight="1">
      <c r="A106" s="2"/>
      <c r="B106" s="2"/>
      <c r="C106" s="2"/>
      <c r="D106" s="2"/>
      <c r="E106" s="2"/>
      <c r="F106" s="2"/>
    </row>
    <row r="107" ht="15.75" customHeight="1">
      <c r="A107" s="2"/>
      <c r="B107" s="2"/>
      <c r="C107" s="2"/>
      <c r="D107" s="2"/>
      <c r="E107" s="2"/>
      <c r="F107" s="2"/>
    </row>
    <row r="108" ht="15.75" customHeight="1">
      <c r="A108" s="2"/>
      <c r="B108" s="2"/>
      <c r="C108" s="2"/>
      <c r="D108" s="2"/>
      <c r="E108" s="2"/>
      <c r="F108" s="2"/>
    </row>
    <row r="109" ht="15.75" customHeight="1">
      <c r="A109" s="2"/>
      <c r="B109" s="2"/>
      <c r="C109" s="2"/>
      <c r="D109" s="2"/>
      <c r="E109" s="2"/>
      <c r="F109" s="2"/>
    </row>
    <row r="110" ht="15.75" customHeight="1">
      <c r="A110" s="2"/>
      <c r="B110" s="2"/>
      <c r="C110" s="2"/>
      <c r="D110" s="2"/>
      <c r="E110" s="2"/>
      <c r="F110" s="2"/>
    </row>
    <row r="111" ht="15.75" customHeight="1">
      <c r="A111" s="2"/>
      <c r="B111" s="2"/>
      <c r="C111" s="2"/>
      <c r="D111" s="2"/>
      <c r="E111" s="2"/>
      <c r="F111" s="2"/>
    </row>
    <row r="112" ht="15.75" customHeight="1">
      <c r="A112" s="2"/>
      <c r="B112" s="2"/>
      <c r="C112" s="2"/>
      <c r="D112" s="2"/>
      <c r="E112" s="2"/>
      <c r="F112" s="2"/>
    </row>
    <row r="113" ht="15.75" customHeight="1">
      <c r="A113" s="2"/>
      <c r="B113" s="2"/>
      <c r="C113" s="2"/>
      <c r="D113" s="2"/>
      <c r="E113" s="2"/>
      <c r="F113" s="2"/>
    </row>
    <row r="114" ht="15.75" customHeight="1">
      <c r="A114" s="2"/>
      <c r="B114" s="2"/>
      <c r="C114" s="2"/>
      <c r="D114" s="2"/>
      <c r="E114" s="2"/>
      <c r="F114" s="2"/>
    </row>
    <row r="115" ht="15.75" customHeight="1">
      <c r="A115" s="2"/>
      <c r="B115" s="2"/>
      <c r="C115" s="2"/>
      <c r="D115" s="2"/>
      <c r="E115" s="2"/>
      <c r="F115" s="2"/>
    </row>
    <row r="116" ht="15.75" customHeight="1">
      <c r="A116" s="2"/>
      <c r="B116" s="2"/>
      <c r="C116" s="2"/>
      <c r="D116" s="2"/>
      <c r="E116" s="2"/>
      <c r="F116" s="2"/>
    </row>
    <row r="117" ht="15.75" customHeight="1">
      <c r="A117" s="2"/>
      <c r="B117" s="2"/>
      <c r="C117" s="2"/>
      <c r="D117" s="2"/>
      <c r="E117" s="2"/>
      <c r="F117" s="2"/>
    </row>
    <row r="118" ht="15.75" customHeight="1">
      <c r="A118" s="2"/>
      <c r="B118" s="2"/>
      <c r="C118" s="2"/>
      <c r="D118" s="2"/>
      <c r="E118" s="2"/>
      <c r="F118" s="2"/>
    </row>
    <row r="119" ht="15.75" customHeight="1">
      <c r="A119" s="2"/>
      <c r="B119" s="2"/>
      <c r="C119" s="2"/>
      <c r="D119" s="2"/>
      <c r="E119" s="2"/>
      <c r="F119" s="2"/>
    </row>
    <row r="120" ht="15.75" customHeight="1">
      <c r="A120" s="2"/>
      <c r="B120" s="2"/>
      <c r="C120" s="2"/>
      <c r="D120" s="2"/>
      <c r="E120" s="2"/>
      <c r="F120" s="2"/>
    </row>
    <row r="121" ht="15.75" customHeight="1">
      <c r="A121" s="2"/>
      <c r="B121" s="2"/>
      <c r="C121" s="2"/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  <row r="1001" ht="15.75" customHeight="1">
      <c r="A1001" s="6" t="s">
        <v>109</v>
      </c>
      <c r="B1001" s="6" t="s">
        <v>302</v>
      </c>
      <c r="C1001" s="6">
        <v>10000.0</v>
      </c>
      <c r="D1001" s="6" t="s">
        <v>602</v>
      </c>
      <c r="E1001" s="2"/>
      <c r="F1001" s="2"/>
    </row>
    <row r="1002" ht="15.75" customHeight="1">
      <c r="A1002" s="6" t="s">
        <v>109</v>
      </c>
      <c r="B1002" s="6" t="s">
        <v>303</v>
      </c>
      <c r="C1002" s="7">
        <v>18.01</v>
      </c>
      <c r="D1002" s="6" t="s">
        <v>603</v>
      </c>
      <c r="E1002" s="2"/>
      <c r="F1002" s="2"/>
    </row>
    <row r="1003" ht="15.75" customHeight="1">
      <c r="A1003" s="6" t="s">
        <v>109</v>
      </c>
      <c r="B1003" s="6" t="s">
        <v>303</v>
      </c>
      <c r="C1003" s="7">
        <v>17.1</v>
      </c>
      <c r="D1003" s="6" t="s">
        <v>604</v>
      </c>
      <c r="E1003" s="2"/>
      <c r="F1003" s="2"/>
    </row>
    <row r="1004" ht="15.75" customHeight="1">
      <c r="A1004" s="6" t="s">
        <v>109</v>
      </c>
      <c r="B1004" s="6" t="s">
        <v>303</v>
      </c>
      <c r="C1004" s="7">
        <v>16.42</v>
      </c>
      <c r="D1004" s="6" t="s">
        <v>605</v>
      </c>
      <c r="E1004" s="2"/>
      <c r="F1004" s="2"/>
    </row>
    <row r="1005" ht="15.75" customHeight="1">
      <c r="A1005" s="6" t="s">
        <v>91</v>
      </c>
      <c r="B1005" s="6" t="s">
        <v>303</v>
      </c>
      <c r="C1005" s="7">
        <v>17.25</v>
      </c>
      <c r="D1005" s="6" t="s">
        <v>606</v>
      </c>
      <c r="E1005" s="2"/>
      <c r="F1005" s="2"/>
    </row>
    <row r="1006" ht="15.75" customHeight="1">
      <c r="A1006" s="6" t="s">
        <v>91</v>
      </c>
      <c r="B1006" s="6" t="s">
        <v>303</v>
      </c>
      <c r="C1006" s="7">
        <v>2.1</v>
      </c>
      <c r="D1006" s="6" t="s">
        <v>607</v>
      </c>
      <c r="E1006" s="2"/>
      <c r="F1006" s="2"/>
    </row>
    <row r="1007" ht="15.75" customHeight="1">
      <c r="A1007" s="6" t="s">
        <v>91</v>
      </c>
      <c r="B1007" s="6" t="s">
        <v>303</v>
      </c>
      <c r="C1007" s="7">
        <v>2.9</v>
      </c>
      <c r="D1007" s="6" t="s">
        <v>608</v>
      </c>
      <c r="E1007" s="2"/>
      <c r="F1007" s="2"/>
    </row>
    <row r="1008" ht="15.75" customHeight="1">
      <c r="A1008" s="6" t="s">
        <v>91</v>
      </c>
      <c r="B1008" s="6" t="s">
        <v>303</v>
      </c>
      <c r="C1008" s="7">
        <v>2.57</v>
      </c>
      <c r="D1008" s="6" t="s">
        <v>609</v>
      </c>
      <c r="E1008" s="2"/>
      <c r="F1008" s="2"/>
    </row>
    <row r="1009" ht="15.75" customHeight="1">
      <c r="A1009" s="6" t="s">
        <v>91</v>
      </c>
      <c r="B1009" s="6" t="s">
        <v>303</v>
      </c>
      <c r="C1009" s="7">
        <v>2.27</v>
      </c>
      <c r="D1009" s="6" t="s">
        <v>610</v>
      </c>
      <c r="E1009" s="2"/>
      <c r="F1009" s="2"/>
    </row>
    <row r="1010" ht="15.75" customHeight="1">
      <c r="A1010" s="6" t="s">
        <v>91</v>
      </c>
      <c r="B1010" s="6" t="s">
        <v>303</v>
      </c>
      <c r="C1010" s="7">
        <v>3.42</v>
      </c>
      <c r="D1010" s="6" t="s">
        <v>611</v>
      </c>
      <c r="E1010" s="2"/>
      <c r="F1010" s="2"/>
    </row>
    <row r="1011" ht="15.75" customHeight="1">
      <c r="A1011" s="6" t="s">
        <v>91</v>
      </c>
      <c r="B1011" s="6" t="s">
        <v>303</v>
      </c>
      <c r="C1011" s="7">
        <v>17.63</v>
      </c>
      <c r="D1011" s="6" t="s">
        <v>612</v>
      </c>
      <c r="E1011" s="2"/>
      <c r="F1011" s="2"/>
    </row>
    <row r="1012" ht="15.75" customHeight="1">
      <c r="A1012" s="6" t="s">
        <v>232</v>
      </c>
      <c r="B1012" s="6" t="s">
        <v>303</v>
      </c>
      <c r="C1012" s="7">
        <v>18.84</v>
      </c>
      <c r="D1012" s="6" t="s">
        <v>613</v>
      </c>
      <c r="E1012" s="2"/>
      <c r="F1012" s="2"/>
    </row>
    <row r="1013" ht="15.75" customHeight="1">
      <c r="A1013" s="6" t="s">
        <v>232</v>
      </c>
      <c r="B1013" s="6" t="s">
        <v>303</v>
      </c>
      <c r="C1013" s="7">
        <v>16.49</v>
      </c>
      <c r="D1013" s="6" t="s">
        <v>614</v>
      </c>
      <c r="E1013" s="2"/>
      <c r="F1013" s="2"/>
    </row>
    <row r="1014" ht="15.75" customHeight="1">
      <c r="A1014" s="6" t="s">
        <v>232</v>
      </c>
      <c r="B1014" s="6" t="s">
        <v>303</v>
      </c>
      <c r="C1014" s="7">
        <v>17.61</v>
      </c>
      <c r="D1014" s="6" t="s">
        <v>615</v>
      </c>
      <c r="E1014" s="2"/>
      <c r="F1014" s="2"/>
    </row>
    <row r="1015" ht="15.75" customHeight="1">
      <c r="A1015" s="6" t="s">
        <v>161</v>
      </c>
      <c r="B1015" s="6" t="s">
        <v>303</v>
      </c>
      <c r="C1015" s="7">
        <v>2.62</v>
      </c>
      <c r="D1015" s="6" t="s">
        <v>616</v>
      </c>
      <c r="E1015" s="2"/>
      <c r="F1015" s="2"/>
    </row>
    <row r="1016" ht="15.75" customHeight="1">
      <c r="A1016" s="6" t="s">
        <v>212</v>
      </c>
      <c r="B1016" s="6" t="s">
        <v>303</v>
      </c>
      <c r="C1016" s="7">
        <v>2.59</v>
      </c>
      <c r="D1016" s="6" t="s">
        <v>617</v>
      </c>
      <c r="E1016" s="2"/>
      <c r="F1016" s="2"/>
    </row>
    <row r="1017" ht="15.75" customHeight="1">
      <c r="A1017" s="6" t="s">
        <v>257</v>
      </c>
      <c r="B1017" s="6" t="s">
        <v>303</v>
      </c>
      <c r="C1017" s="7">
        <v>2.31</v>
      </c>
      <c r="D1017" s="6" t="s">
        <v>618</v>
      </c>
      <c r="E1017" s="2"/>
      <c r="F1017" s="2"/>
    </row>
    <row r="1018" ht="15.75" customHeight="1">
      <c r="A1018" s="6" t="s">
        <v>257</v>
      </c>
      <c r="B1018" s="6" t="s">
        <v>303</v>
      </c>
      <c r="C1018" s="7">
        <v>2.31</v>
      </c>
      <c r="D1018" s="6" t="s">
        <v>619</v>
      </c>
      <c r="E1018" s="2"/>
      <c r="F1018" s="2"/>
    </row>
    <row r="1019" ht="15.75" customHeight="1">
      <c r="A1019" s="6" t="s">
        <v>257</v>
      </c>
      <c r="B1019" s="6" t="s">
        <v>303</v>
      </c>
      <c r="C1019" s="7">
        <v>3.1</v>
      </c>
      <c r="D1019" s="6" t="s">
        <v>620</v>
      </c>
      <c r="E1019" s="2"/>
      <c r="F1019" s="2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80.0"/>
    <col customWidth="1" min="4" max="6" width="8.71"/>
  </cols>
  <sheetData>
    <row r="1">
      <c r="A1" s="50" t="s">
        <v>338</v>
      </c>
      <c r="B1" s="50" t="s">
        <v>339</v>
      </c>
      <c r="C1" s="50" t="s">
        <v>340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341</v>
      </c>
      <c r="B2" s="6" t="s">
        <v>342</v>
      </c>
      <c r="C2" s="6" t="s">
        <v>343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344</v>
      </c>
      <c r="B3" s="6" t="s">
        <v>342</v>
      </c>
      <c r="C3" s="6" t="s">
        <v>345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344</v>
      </c>
      <c r="B4" s="6" t="s">
        <v>342</v>
      </c>
      <c r="C4" s="6" t="s">
        <v>346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347</v>
      </c>
      <c r="B5" s="6" t="s">
        <v>342</v>
      </c>
      <c r="C5" s="6" t="s">
        <v>348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349</v>
      </c>
      <c r="B6" s="6" t="s">
        <v>342</v>
      </c>
      <c r="C6" s="6" t="s">
        <v>350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351</v>
      </c>
      <c r="B7" s="6" t="s">
        <v>342</v>
      </c>
      <c r="C7" s="6" t="s">
        <v>352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353</v>
      </c>
      <c r="B8" s="6" t="s">
        <v>342</v>
      </c>
      <c r="C8" s="6" t="s">
        <v>354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355</v>
      </c>
      <c r="B9" s="6" t="s">
        <v>342</v>
      </c>
      <c r="C9" s="6" t="s">
        <v>356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357</v>
      </c>
      <c r="B10" s="6" t="s">
        <v>342</v>
      </c>
      <c r="C10" s="6" t="s">
        <v>358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359</v>
      </c>
      <c r="B11" s="6" t="s">
        <v>342</v>
      </c>
      <c r="C11" s="6" t="s">
        <v>360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361</v>
      </c>
      <c r="B12" s="2" t="s">
        <v>342</v>
      </c>
      <c r="C12" s="2" t="s">
        <v>362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363</v>
      </c>
      <c r="B13" s="2" t="s">
        <v>342</v>
      </c>
      <c r="C13" s="2" t="s">
        <v>364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51" t="s">
        <v>365</v>
      </c>
      <c r="B14" s="51" t="s">
        <v>366</v>
      </c>
      <c r="C14" s="52" t="s">
        <v>367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368</v>
      </c>
      <c r="B15" s="2" t="s">
        <v>342</v>
      </c>
      <c r="C15" s="2" t="s">
        <v>369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370</v>
      </c>
      <c r="B16" s="2" t="s">
        <v>342</v>
      </c>
      <c r="C16" s="2" t="s">
        <v>371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372</v>
      </c>
      <c r="B17" s="2" t="s">
        <v>342</v>
      </c>
      <c r="C17" s="2" t="s">
        <v>373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374</v>
      </c>
      <c r="B18" s="2" t="s">
        <v>342</v>
      </c>
      <c r="C18" s="2" t="s">
        <v>373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375</v>
      </c>
      <c r="B19" s="2" t="s">
        <v>342</v>
      </c>
      <c r="C19" s="2" t="s">
        <v>376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377</v>
      </c>
      <c r="B20" s="2" t="s">
        <v>342</v>
      </c>
      <c r="C20" s="2" t="s">
        <v>378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379</v>
      </c>
      <c r="B21" s="2" t="s">
        <v>342</v>
      </c>
      <c r="C21" s="2" t="s">
        <v>380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381</v>
      </c>
      <c r="B22" s="2" t="s">
        <v>342</v>
      </c>
      <c r="C22" s="2" t="s">
        <v>382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383</v>
      </c>
      <c r="B23" s="2" t="s">
        <v>342</v>
      </c>
      <c r="C23" s="2" t="s">
        <v>384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385</v>
      </c>
      <c r="B24" s="2" t="s">
        <v>342</v>
      </c>
      <c r="C24" s="2" t="s">
        <v>386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387</v>
      </c>
      <c r="B25" s="2" t="s">
        <v>342</v>
      </c>
      <c r="C25" s="2" t="s">
        <v>388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389</v>
      </c>
      <c r="B26" s="2" t="s">
        <v>342</v>
      </c>
      <c r="C26" s="2" t="s">
        <v>390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391</v>
      </c>
      <c r="B27" s="2" t="s">
        <v>342</v>
      </c>
      <c r="C27" s="2" t="s">
        <v>392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393</v>
      </c>
      <c r="B28" s="2" t="s">
        <v>342</v>
      </c>
      <c r="C28" s="2" t="s">
        <v>394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395</v>
      </c>
      <c r="B29" s="2" t="s">
        <v>342</v>
      </c>
      <c r="C29" s="2" t="s">
        <v>396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397</v>
      </c>
      <c r="B30" s="2" t="s">
        <v>342</v>
      </c>
      <c r="C30" s="2" t="s">
        <v>398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399</v>
      </c>
      <c r="B31" s="2" t="s">
        <v>342</v>
      </c>
      <c r="C31" s="2" t="s">
        <v>400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401</v>
      </c>
      <c r="B32" s="2" t="s">
        <v>342</v>
      </c>
      <c r="C32" s="2" t="s">
        <v>402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403</v>
      </c>
      <c r="B33" s="2" t="s">
        <v>342</v>
      </c>
      <c r="C33" s="2" t="s">
        <v>404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405</v>
      </c>
      <c r="B34" s="2" t="s">
        <v>342</v>
      </c>
      <c r="C34" s="2" t="s">
        <v>406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407</v>
      </c>
      <c r="B35" s="2" t="s">
        <v>342</v>
      </c>
      <c r="C35" s="2" t="s">
        <v>408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409</v>
      </c>
      <c r="B36" s="2" t="s">
        <v>342</v>
      </c>
      <c r="C36" s="2" t="s">
        <v>410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411</v>
      </c>
      <c r="B37" s="2" t="s">
        <v>342</v>
      </c>
      <c r="C37" s="2" t="s">
        <v>412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413</v>
      </c>
      <c r="B38" s="2" t="s">
        <v>342</v>
      </c>
      <c r="C38" s="2" t="s">
        <v>414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415</v>
      </c>
      <c r="B39" s="2" t="s">
        <v>342</v>
      </c>
      <c r="C39" s="2" t="s">
        <v>416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417</v>
      </c>
      <c r="B40" s="2" t="s">
        <v>342</v>
      </c>
      <c r="C40" s="2" t="s">
        <v>418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419</v>
      </c>
      <c r="B41" s="2" t="s">
        <v>342</v>
      </c>
      <c r="C41" s="2" t="s">
        <v>420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421</v>
      </c>
      <c r="B42" s="2" t="s">
        <v>342</v>
      </c>
      <c r="C42" s="2" t="s">
        <v>422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423</v>
      </c>
      <c r="B43" s="2" t="s">
        <v>342</v>
      </c>
      <c r="C43" s="2" t="s">
        <v>424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425</v>
      </c>
      <c r="B44" s="2" t="s">
        <v>342</v>
      </c>
      <c r="C44" s="2" t="s">
        <v>426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427</v>
      </c>
      <c r="B45" s="2" t="s">
        <v>342</v>
      </c>
      <c r="C45" s="2" t="s">
        <v>422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428</v>
      </c>
      <c r="B46" s="2" t="s">
        <v>342</v>
      </c>
      <c r="C46" s="2" t="s">
        <v>429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430</v>
      </c>
      <c r="B47" s="2" t="s">
        <v>342</v>
      </c>
      <c r="C47" s="2" t="s">
        <v>431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432</v>
      </c>
      <c r="B48" s="2" t="s">
        <v>342</v>
      </c>
      <c r="C48" s="2" t="s">
        <v>433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434</v>
      </c>
      <c r="B49" s="2" t="s">
        <v>342</v>
      </c>
      <c r="C49" s="2" t="s">
        <v>435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436</v>
      </c>
      <c r="B50" s="2" t="s">
        <v>342</v>
      </c>
      <c r="C50" s="2" t="s">
        <v>437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438</v>
      </c>
      <c r="B51" s="2" t="s">
        <v>342</v>
      </c>
      <c r="C51" s="2" t="s">
        <v>439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440</v>
      </c>
      <c r="B52" s="2" t="s">
        <v>342</v>
      </c>
      <c r="C52" s="2" t="s">
        <v>441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442</v>
      </c>
      <c r="B53" s="2" t="s">
        <v>342</v>
      </c>
      <c r="C53" s="2" t="s">
        <v>443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444</v>
      </c>
      <c r="B54" s="2" t="s">
        <v>342</v>
      </c>
      <c r="C54" s="2" t="s">
        <v>445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446</v>
      </c>
      <c r="B55" s="2" t="s">
        <v>342</v>
      </c>
      <c r="C55" s="2" t="s">
        <v>447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448</v>
      </c>
      <c r="B56" s="2" t="s">
        <v>342</v>
      </c>
      <c r="C56" s="2" t="s">
        <v>449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450</v>
      </c>
      <c r="B57" s="2" t="s">
        <v>342</v>
      </c>
      <c r="C57" s="2" t="s">
        <v>441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451</v>
      </c>
      <c r="B58" s="2" t="s">
        <v>342</v>
      </c>
      <c r="C58" s="2" t="s">
        <v>435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452</v>
      </c>
      <c r="B59" s="2" t="s">
        <v>342</v>
      </c>
      <c r="C59" s="2" t="s">
        <v>431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453</v>
      </c>
      <c r="B60" s="2" t="s">
        <v>342</v>
      </c>
      <c r="C60" s="2" t="s">
        <v>454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455</v>
      </c>
      <c r="B61" s="2" t="s">
        <v>342</v>
      </c>
      <c r="C61" s="2" t="s">
        <v>456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457</v>
      </c>
      <c r="B62" s="2" t="s">
        <v>342</v>
      </c>
      <c r="C62" s="2" t="s">
        <v>458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459</v>
      </c>
      <c r="B63" s="2" t="s">
        <v>342</v>
      </c>
      <c r="C63" s="2" t="s">
        <v>460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461</v>
      </c>
      <c r="B64" s="2" t="s">
        <v>342</v>
      </c>
      <c r="C64" s="2" t="s">
        <v>462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463</v>
      </c>
      <c r="B65" s="2" t="s">
        <v>342</v>
      </c>
      <c r="C65" s="2" t="s">
        <v>462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464</v>
      </c>
      <c r="B66" s="2" t="s">
        <v>342</v>
      </c>
      <c r="C66" s="2" t="s">
        <v>462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465</v>
      </c>
      <c r="B67" s="2" t="s">
        <v>342</v>
      </c>
      <c r="C67" s="2" t="s">
        <v>462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466</v>
      </c>
      <c r="B68" s="2" t="s">
        <v>342</v>
      </c>
      <c r="C68" s="2" t="s">
        <v>462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467</v>
      </c>
      <c r="B69" s="2" t="s">
        <v>342</v>
      </c>
      <c r="C69" s="2" t="s">
        <v>468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469</v>
      </c>
      <c r="B70" s="2" t="s">
        <v>342</v>
      </c>
      <c r="C70" s="2" t="s">
        <v>470</v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471</v>
      </c>
      <c r="B71" s="2" t="s">
        <v>342</v>
      </c>
      <c r="C71" s="2" t="s">
        <v>472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473</v>
      </c>
      <c r="B72" s="2" t="s">
        <v>342</v>
      </c>
      <c r="C72" s="2" t="s">
        <v>474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475</v>
      </c>
      <c r="B73" s="2" t="s">
        <v>342</v>
      </c>
      <c r="C73" s="2" t="s">
        <v>476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477</v>
      </c>
      <c r="B74" s="2" t="s">
        <v>342</v>
      </c>
      <c r="C74" s="2" t="s">
        <v>478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479</v>
      </c>
      <c r="B75" s="2" t="s">
        <v>342</v>
      </c>
      <c r="C75" s="2" t="s">
        <v>480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481</v>
      </c>
      <c r="B76" s="2" t="s">
        <v>342</v>
      </c>
      <c r="C76" s="2" t="s">
        <v>482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483</v>
      </c>
      <c r="B77" s="2" t="s">
        <v>342</v>
      </c>
      <c r="C77" s="2" t="s">
        <v>484</v>
      </c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485</v>
      </c>
      <c r="B78" s="2" t="s">
        <v>342</v>
      </c>
      <c r="C78" s="2" t="s">
        <v>486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487</v>
      </c>
      <c r="B79" s="2" t="s">
        <v>342</v>
      </c>
      <c r="C79" s="2" t="s">
        <v>488</v>
      </c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489</v>
      </c>
      <c r="B80" s="2" t="s">
        <v>342</v>
      </c>
      <c r="C80" s="2" t="s">
        <v>490</v>
      </c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491</v>
      </c>
      <c r="B81" s="2" t="s">
        <v>342</v>
      </c>
      <c r="C81" s="2" t="s">
        <v>492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493</v>
      </c>
      <c r="B82" s="2" t="s">
        <v>342</v>
      </c>
      <c r="C82" s="2" t="s">
        <v>494</v>
      </c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495</v>
      </c>
      <c r="B83" s="2" t="s">
        <v>342</v>
      </c>
      <c r="C83" s="2" t="s">
        <v>496</v>
      </c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497</v>
      </c>
      <c r="B84" s="2" t="s">
        <v>342</v>
      </c>
      <c r="C84" s="2" t="s">
        <v>498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499</v>
      </c>
      <c r="B85" s="2" t="s">
        <v>342</v>
      </c>
      <c r="C85" s="2" t="s">
        <v>500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501</v>
      </c>
      <c r="B86" s="2" t="s">
        <v>342</v>
      </c>
      <c r="C86" s="2" t="s">
        <v>502</v>
      </c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503</v>
      </c>
      <c r="B87" s="2" t="s">
        <v>342</v>
      </c>
      <c r="C87" s="2" t="s">
        <v>504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505</v>
      </c>
      <c r="B88" s="2" t="s">
        <v>342</v>
      </c>
      <c r="C88" s="2" t="s">
        <v>506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507</v>
      </c>
      <c r="B89" s="2" t="s">
        <v>342</v>
      </c>
      <c r="C89" s="2" t="s">
        <v>508</v>
      </c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509</v>
      </c>
      <c r="B90" s="2" t="s">
        <v>342</v>
      </c>
      <c r="C90" s="2" t="s">
        <v>510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511</v>
      </c>
      <c r="B91" s="2" t="s">
        <v>342</v>
      </c>
      <c r="C91" s="2" t="s">
        <v>512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513</v>
      </c>
      <c r="B92" s="2" t="s">
        <v>342</v>
      </c>
      <c r="C92" s="2" t="s">
        <v>514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515</v>
      </c>
      <c r="B93" s="2" t="s">
        <v>342</v>
      </c>
      <c r="C93" s="2" t="s">
        <v>516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517</v>
      </c>
      <c r="B94" s="2" t="s">
        <v>342</v>
      </c>
      <c r="C94" s="2" t="s">
        <v>518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519</v>
      </c>
      <c r="B95" s="2" t="s">
        <v>342</v>
      </c>
      <c r="C95" s="2" t="s">
        <v>520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521</v>
      </c>
      <c r="B96" s="2" t="s">
        <v>342</v>
      </c>
      <c r="C96" s="2" t="s">
        <v>522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523</v>
      </c>
      <c r="B97" s="2" t="s">
        <v>342</v>
      </c>
      <c r="C97" s="2" t="s">
        <v>524</v>
      </c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525</v>
      </c>
      <c r="B98" s="2" t="s">
        <v>342</v>
      </c>
      <c r="C98" s="2" t="s">
        <v>526</v>
      </c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527</v>
      </c>
      <c r="B99" s="2" t="s">
        <v>342</v>
      </c>
      <c r="C99" s="2" t="s">
        <v>528</v>
      </c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529</v>
      </c>
      <c r="B100" s="2" t="s">
        <v>342</v>
      </c>
      <c r="C100" s="2" t="s">
        <v>530</v>
      </c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531</v>
      </c>
      <c r="B101" s="2" t="s">
        <v>342</v>
      </c>
      <c r="C101" s="2" t="s">
        <v>532</v>
      </c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533</v>
      </c>
      <c r="B102" s="2" t="s">
        <v>342</v>
      </c>
      <c r="C102" s="2" t="s">
        <v>534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535</v>
      </c>
      <c r="B103" s="2" t="s">
        <v>342</v>
      </c>
      <c r="C103" s="2" t="s">
        <v>536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537</v>
      </c>
      <c r="B104" s="2" t="s">
        <v>342</v>
      </c>
      <c r="C104" s="2" t="s">
        <v>538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539</v>
      </c>
      <c r="B105" s="2" t="s">
        <v>342</v>
      </c>
      <c r="C105" s="2" t="s">
        <v>540</v>
      </c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541</v>
      </c>
      <c r="B106" s="2" t="s">
        <v>342</v>
      </c>
      <c r="C106" s="2" t="s">
        <v>542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543</v>
      </c>
      <c r="B107" s="2" t="s">
        <v>342</v>
      </c>
      <c r="C107" s="2" t="s">
        <v>544</v>
      </c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545</v>
      </c>
      <c r="B108" s="2" t="s">
        <v>342</v>
      </c>
      <c r="C108" s="2" t="s">
        <v>528</v>
      </c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546</v>
      </c>
      <c r="B109" s="2" t="s">
        <v>342</v>
      </c>
      <c r="C109" s="2" t="s">
        <v>547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548</v>
      </c>
      <c r="B110" s="2" t="s">
        <v>342</v>
      </c>
      <c r="C110" s="2" t="s">
        <v>534</v>
      </c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549</v>
      </c>
      <c r="B111" s="2" t="s">
        <v>342</v>
      </c>
      <c r="C111" s="2" t="s">
        <v>550</v>
      </c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551</v>
      </c>
      <c r="B112" s="2" t="s">
        <v>342</v>
      </c>
      <c r="C112" s="2" t="s">
        <v>552</v>
      </c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553</v>
      </c>
      <c r="B113" s="2" t="s">
        <v>342</v>
      </c>
      <c r="C113" s="2" t="s">
        <v>554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555</v>
      </c>
      <c r="B114" s="2" t="s">
        <v>342</v>
      </c>
      <c r="C114" s="2" t="s">
        <v>556</v>
      </c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557</v>
      </c>
      <c r="B115" s="2" t="s">
        <v>342</v>
      </c>
      <c r="C115" s="2" t="s">
        <v>558</v>
      </c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559</v>
      </c>
      <c r="B116" s="2" t="s">
        <v>342</v>
      </c>
      <c r="C116" s="2" t="s">
        <v>560</v>
      </c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561</v>
      </c>
      <c r="B117" s="2" t="s">
        <v>342</v>
      </c>
      <c r="C117" s="2" t="s">
        <v>562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563</v>
      </c>
      <c r="B118" s="2" t="s">
        <v>342</v>
      </c>
      <c r="C118" s="2" t="s">
        <v>528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564</v>
      </c>
      <c r="B119" s="2" t="s">
        <v>342</v>
      </c>
      <c r="C119" s="2" t="s">
        <v>565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566</v>
      </c>
      <c r="B120" s="2" t="s">
        <v>342</v>
      </c>
      <c r="C120" s="2" t="s">
        <v>534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567</v>
      </c>
      <c r="B121" s="2" t="s">
        <v>342</v>
      </c>
      <c r="C121" s="2" t="s">
        <v>568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569</v>
      </c>
      <c r="B122" s="2" t="s">
        <v>342</v>
      </c>
      <c r="C122" s="2" t="s">
        <v>570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571</v>
      </c>
      <c r="B123" s="2" t="s">
        <v>342</v>
      </c>
      <c r="C123" s="2" t="s">
        <v>572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573</v>
      </c>
      <c r="B124" s="2" t="s">
        <v>342</v>
      </c>
      <c r="C124" s="2" t="s">
        <v>574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575</v>
      </c>
      <c r="B125" s="2" t="s">
        <v>342</v>
      </c>
      <c r="C125" s="2" t="s">
        <v>576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577</v>
      </c>
      <c r="B126" s="2" t="s">
        <v>342</v>
      </c>
      <c r="C126" s="2" t="s">
        <v>578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579</v>
      </c>
      <c r="B127" s="2" t="s">
        <v>342</v>
      </c>
      <c r="C127" s="2" t="s">
        <v>580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581</v>
      </c>
      <c r="B128" s="2" t="s">
        <v>342</v>
      </c>
      <c r="C128" s="2" t="s">
        <v>582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583</v>
      </c>
      <c r="B129" s="2" t="s">
        <v>342</v>
      </c>
      <c r="C129" s="2" t="s">
        <v>584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585</v>
      </c>
      <c r="B130" s="2" t="s">
        <v>342</v>
      </c>
      <c r="C130" s="2" t="s">
        <v>586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587</v>
      </c>
      <c r="B131" s="2" t="s">
        <v>342</v>
      </c>
      <c r="C131" s="2" t="s">
        <v>588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589</v>
      </c>
      <c r="B132" s="2" t="s">
        <v>342</v>
      </c>
      <c r="C132" s="2" t="s">
        <v>590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591</v>
      </c>
      <c r="B133" s="2" t="s">
        <v>342</v>
      </c>
      <c r="C133" s="2" t="s">
        <v>592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593</v>
      </c>
      <c r="B134" s="2" t="s">
        <v>342</v>
      </c>
      <c r="C134" s="2" t="s">
        <v>594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595</v>
      </c>
      <c r="B135" s="2" t="s">
        <v>342</v>
      </c>
      <c r="C135" s="2" t="s">
        <v>590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596</v>
      </c>
      <c r="B136" s="2" t="s">
        <v>342</v>
      </c>
      <c r="C136" s="2" t="s">
        <v>597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598</v>
      </c>
      <c r="B137" s="2" t="s">
        <v>342</v>
      </c>
      <c r="C137" s="2" t="s">
        <v>599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600</v>
      </c>
      <c r="B138" s="2" t="s">
        <v>342</v>
      </c>
      <c r="C138" s="2" t="s">
        <v>601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3.0"/>
    <col customWidth="1" min="3" max="3" width="24.0"/>
    <col customWidth="1" min="4" max="4" width="14.0"/>
    <col customWidth="1" min="5" max="6" width="12.0"/>
    <col customWidth="1" min="7" max="7" width="16.0"/>
    <col customWidth="1" min="8" max="8" width="13.0"/>
    <col customWidth="1" min="9" max="9" width="16.0"/>
    <col customWidth="1" min="10" max="10" width="12.0"/>
    <col customWidth="1" min="11" max="11" width="53.0"/>
  </cols>
  <sheetData>
    <row r="1" ht="25.5" customHeight="1">
      <c r="A1" s="53" t="s">
        <v>1</v>
      </c>
      <c r="B1" s="53" t="s">
        <v>2</v>
      </c>
      <c r="C1" s="53" t="s">
        <v>621</v>
      </c>
      <c r="D1" s="53" t="s">
        <v>622</v>
      </c>
      <c r="E1" s="53" t="s">
        <v>20</v>
      </c>
      <c r="F1" s="53" t="s">
        <v>623</v>
      </c>
      <c r="G1" s="53" t="s">
        <v>624</v>
      </c>
      <c r="H1" s="53" t="s">
        <v>29</v>
      </c>
      <c r="I1" s="53" t="s">
        <v>35</v>
      </c>
      <c r="J1" s="53" t="s">
        <v>625</v>
      </c>
      <c r="K1" s="53" t="s">
        <v>16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9.5" customHeight="1">
      <c r="A2" s="54" t="s">
        <v>306</v>
      </c>
      <c r="B2" s="54" t="s">
        <v>40</v>
      </c>
      <c r="C2" s="55" t="s">
        <v>626</v>
      </c>
      <c r="D2" s="56">
        <v>1954.0</v>
      </c>
      <c r="E2" s="56">
        <v>1890.88</v>
      </c>
      <c r="F2" s="56">
        <v>2080.24</v>
      </c>
      <c r="G2" s="56">
        <v>2000.0</v>
      </c>
      <c r="H2" s="54" t="s">
        <v>627</v>
      </c>
      <c r="I2" s="56">
        <v>1954.0</v>
      </c>
      <c r="J2" s="56">
        <v>0.0</v>
      </c>
      <c r="K2" s="55" t="s">
        <v>628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9.5" customHeight="1">
      <c r="A3" s="54" t="s">
        <v>306</v>
      </c>
      <c r="B3" s="54" t="s">
        <v>629</v>
      </c>
      <c r="C3" s="55" t="s">
        <v>630</v>
      </c>
      <c r="D3" s="56">
        <v>11283.5</v>
      </c>
      <c r="E3" s="56">
        <v>10780.43</v>
      </c>
      <c r="F3" s="56">
        <v>12289.64</v>
      </c>
      <c r="G3" s="56">
        <v>2000.0</v>
      </c>
      <c r="H3" s="54" t="s">
        <v>627</v>
      </c>
      <c r="I3" s="56">
        <v>11283.5</v>
      </c>
      <c r="J3" s="56">
        <v>0.0</v>
      </c>
      <c r="K3" s="55" t="s">
        <v>631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9.5" customHeight="1">
      <c r="A4" s="54" t="s">
        <v>306</v>
      </c>
      <c r="B4" s="54" t="s">
        <v>632</v>
      </c>
      <c r="C4" s="55" t="s">
        <v>633</v>
      </c>
      <c r="D4" s="56">
        <v>5098.8</v>
      </c>
      <c r="E4" s="56">
        <v>4900.54</v>
      </c>
      <c r="F4" s="56">
        <v>5495.31</v>
      </c>
      <c r="G4" s="56">
        <v>2000.0</v>
      </c>
      <c r="H4" s="54" t="s">
        <v>627</v>
      </c>
      <c r="I4" s="56">
        <v>5098.8</v>
      </c>
      <c r="J4" s="56">
        <v>0.0</v>
      </c>
      <c r="K4" s="55" t="s">
        <v>631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9.5" customHeight="1">
      <c r="A5" s="54" t="s">
        <v>306</v>
      </c>
      <c r="B5" s="54" t="s">
        <v>634</v>
      </c>
      <c r="C5" s="55" t="s">
        <v>635</v>
      </c>
      <c r="D5" s="56">
        <v>3686.3</v>
      </c>
      <c r="E5" s="56">
        <v>3491.06</v>
      </c>
      <c r="F5" s="56">
        <v>4076.79</v>
      </c>
      <c r="G5" s="56">
        <v>2000.0</v>
      </c>
      <c r="H5" s="54" t="s">
        <v>627</v>
      </c>
      <c r="I5" s="56">
        <v>3686.3</v>
      </c>
      <c r="J5" s="56">
        <v>0.0</v>
      </c>
      <c r="K5" s="55" t="s">
        <v>636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9.5" customHeight="1">
      <c r="A6" s="54" t="s">
        <v>306</v>
      </c>
      <c r="B6" s="54" t="s">
        <v>73</v>
      </c>
      <c r="C6" s="55" t="s">
        <v>637</v>
      </c>
      <c r="D6" s="56">
        <v>4592.5</v>
      </c>
      <c r="E6" s="56">
        <v>4418.04</v>
      </c>
      <c r="F6" s="56">
        <v>4941.41</v>
      </c>
      <c r="G6" s="56">
        <v>2000.0</v>
      </c>
      <c r="H6" s="54" t="s">
        <v>627</v>
      </c>
      <c r="I6" s="56">
        <v>4592.5</v>
      </c>
      <c r="J6" s="56">
        <v>0.0</v>
      </c>
      <c r="K6" s="55" t="s">
        <v>638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>
      <c r="A1" s="6" t="s">
        <v>1</v>
      </c>
      <c r="B1" s="6" t="s">
        <v>639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" t="s">
        <v>22</v>
      </c>
      <c r="B2" s="6">
        <v>-4.400000000000091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6" t="s">
        <v>98</v>
      </c>
      <c r="B3" s="6">
        <v>-22.30000000000018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" t="s">
        <v>82</v>
      </c>
      <c r="B4" s="6">
        <v>104.7999999999997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6" t="s">
        <v>155</v>
      </c>
      <c r="B5" s="6">
        <v>103.8499999999997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" t="s">
        <v>136</v>
      </c>
      <c r="B6" s="6">
        <v>119.6399999999998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6" t="s">
        <v>109</v>
      </c>
      <c r="B7" s="6">
        <v>120.9499999999996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" t="s">
        <v>91</v>
      </c>
      <c r="B8" s="6">
        <v>180.6499999999997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" t="s">
        <v>232</v>
      </c>
      <c r="B9" s="6">
        <v>145.6499999999997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6" t="s">
        <v>161</v>
      </c>
      <c r="B10" s="6">
        <v>92.88999999999982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" t="s">
        <v>212</v>
      </c>
      <c r="B11" s="6">
        <v>96.93999999999977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2026-07-21T07:18:24Z</dcterms:created>
  <dc:creator>openpyxl</dc:creator>
</cp:coreProperties>
</file>