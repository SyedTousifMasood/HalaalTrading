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b val="1"/>
      <color rgb="FF385723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0" fontId="6" fillId="5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5" fillId="6" borderId="0" pivotButton="0" quotePrefix="0" xfId="0"/>
    <xf numFmtId="164" fontId="2" fillId="6" borderId="0" pivotButton="0" quotePrefix="0" xfId="0"/>
    <xf numFmtId="0" fontId="2" fillId="6" borderId="0" pivotButton="0" quotePrefix="0" xfId="0"/>
    <xf numFmtId="10" fontId="2" fillId="0" borderId="0" pivotButton="0" quotePrefix="0" xfId="0"/>
    <xf numFmtId="0" fontId="5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4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164" fontId="15" fillId="6" borderId="0" applyAlignment="1" pivotButton="0" quotePrefix="0" xfId="0">
      <alignment horizontal="right"/>
    </xf>
    <xf numFmtId="165" fontId="2" fillId="0" borderId="0" pivotButton="0" quotePrefix="0" xfId="0"/>
    <xf numFmtId="0" fontId="14" fillId="9" borderId="0" pivotButton="0" quotePrefix="0" xfId="0"/>
    <xf numFmtId="164" fontId="11" fillId="9" borderId="0" pivotButton="0" quotePrefix="0" xfId="0"/>
    <xf numFmtId="164" fontId="16" fillId="0" borderId="0" applyAlignment="1" pivotButton="0" quotePrefix="0" xfId="0">
      <alignment horizontal="right"/>
    </xf>
    <xf numFmtId="164" fontId="16" fillId="7" borderId="0" applyAlignment="1" pivotButton="0" quotePrefix="0" xfId="0">
      <alignment horizontal="right"/>
    </xf>
    <xf numFmtId="165" fontId="11" fillId="9" borderId="0" pivotButton="0" quotePrefix="0" xfId="0"/>
    <xf numFmtId="3" fontId="11" fillId="9" borderId="0" pivotButton="0" quotePrefix="0" xfId="0"/>
    <xf numFmtId="164" fontId="17" fillId="6" borderId="0" pivotButton="0" quotePrefix="0" xfId="0"/>
    <xf numFmtId="0" fontId="2" fillId="7" borderId="0" applyAlignment="1" pivotButton="0" quotePrefix="0" xfId="0">
      <alignment vertical="bottom"/>
    </xf>
    <xf numFmtId="0" fontId="11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right"/>
    </xf>
    <xf numFmtId="165" fontId="14" fillId="0" borderId="0" applyAlignment="1" pivotButton="0" quotePrefix="0" xfId="0">
      <alignment horizontal="right"/>
    </xf>
    <xf numFmtId="0" fontId="14" fillId="8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14" fillId="0" borderId="0" pivotButton="0" quotePrefix="0" xfId="0"/>
    <xf numFmtId="0" fontId="3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righ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9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2" fillId="8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22" fillId="0" borderId="0" pivotButton="0" quotePrefix="0" xfId="0"/>
    <xf numFmtId="0" fontId="5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5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4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  <xf numFmtId="164" fontId="27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'Dashboard'!$AA$4:$AA$13</f>
            </numRef>
          </cat>
          <val>
            <numRef>
              <f>'Dashboard'!$AB$4:$AB$13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'HelperData'!$A$2:$A$12</f>
            </numRef>
          </cat>
          <val>
            <numRef>
              <f>'HelperData'!$B$2:$B$12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5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8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8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8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57">
      <c r="A7" s="8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57">
      <c r="A9" s="5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57">
      <c r="A10" s="8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57">
      <c r="A11" s="8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57">
      <c r="A12" s="8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57">
      <c r="A13" s="8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57">
      <c r="A14" s="8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57">
      <c r="A16" s="5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57">
      <c r="A17" s="8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57">
      <c r="A18" s="8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57">
      <c r="A19" s="8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57">
      <c r="A20" s="8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57">
      <c r="A21" s="8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57">
      <c r="A23" s="5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57">
      <c r="A24" s="8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57">
      <c r="A25" s="8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57">
      <c r="A26" s="8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57">
      <c r="A27" s="8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57">
      <c r="A28" s="8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57">
      <c r="A42" s="5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57">
      <c r="A43" s="8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57">
      <c r="A44" s="8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57">
      <c r="A45" s="8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57">
      <c r="A46" s="8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57">
      <c r="A47" s="8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13"/>
    <col width="10" customWidth="1" style="57" min="5" max="5"/>
    <col width="16" customWidth="1" style="57" min="6" max="6"/>
    <col width="16" customWidth="1" style="57" min="7" max="7"/>
    <col width="18" customWidth="1" style="57" min="8" max="8"/>
    <col width="18" customWidth="1" style="57" min="9" max="9"/>
    <col width="14" customWidth="1" style="57" min="10" max="10"/>
    <col width="14" customWidth="1" style="57" min="11" max="11"/>
    <col hidden="1" width="13" customWidth="1" style="57" min="15" max="16"/>
  </cols>
  <sheetData>
    <row r="1" ht="30" customHeight="1" s="57">
      <c r="A1" s="61" t="inlineStr">
        <is>
          <t>HSTS v1.0 Trading Dashboard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57">
      <c r="A2" s="62" t="inlineStr">
        <is>
          <t>Last updated on : 2026-09-24 15:52:59</t>
        </is>
      </c>
      <c r="B2" s="84" t="n"/>
      <c r="C2" s="84" t="n"/>
      <c r="D2" s="84" t="n"/>
      <c r="E2" s="84" t="n"/>
      <c r="F2" s="84" t="n"/>
      <c r="G2" s="84" t="n"/>
      <c r="H2" s="84" t="n"/>
      <c r="I2" s="84" t="n"/>
      <c r="J2" s="84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84" t="n"/>
      <c r="D3" s="85" t="inlineStr">
        <is>
          <t>Stock</t>
        </is>
      </c>
      <c r="E3" s="85" t="inlineStr">
        <is>
          <t>Qty</t>
        </is>
      </c>
      <c r="F3" s="85" t="inlineStr">
        <is>
          <t>Purchase Price</t>
        </is>
      </c>
      <c r="G3" s="85" t="inlineStr">
        <is>
          <t>Current Price</t>
        </is>
      </c>
      <c r="H3" s="85" t="inlineStr">
        <is>
          <t>Current Value</t>
        </is>
      </c>
      <c r="I3" s="85" t="inlineStr">
        <is>
          <t>P&amp;L Amount</t>
        </is>
      </c>
      <c r="J3" s="85" t="inlineStr">
        <is>
          <t>P&amp;L %</t>
        </is>
      </c>
      <c r="K3" s="85" t="inlineStr">
        <is>
          <t>Holding %</t>
        </is>
      </c>
      <c r="L3" s="9" t="inlineStr">
        <is>
          <t>Target Reach</t>
        </is>
      </c>
      <c r="M3" s="9" t="inlineStr">
        <is>
          <t>Holding %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4" t="inlineStr">
        <is>
          <t>Global Portfolio Metrics</t>
        </is>
      </c>
      <c r="C4" s="84" t="n"/>
      <c r="D4" s="86" t="inlineStr">
        <is>
          <t>CLEAN</t>
        </is>
      </c>
      <c r="E4" s="87" t="n">
        <v>4</v>
      </c>
      <c r="F4" s="88" t="n">
        <v>806.25</v>
      </c>
      <c r="G4" s="88" t="n">
        <v>815.4500122070312</v>
      </c>
      <c r="H4" s="88">
        <f>E4*G4</f>
        <v/>
      </c>
      <c r="I4" s="89">
        <f>H4-(E4*F4)</f>
        <v/>
      </c>
      <c r="J4" s="90">
        <f>IF(F4&gt;0, I4/(E4*F4), 0)</f>
        <v/>
      </c>
      <c r="K4" s="91">
        <f>H4/H14</f>
        <v/>
      </c>
      <c r="L4" s="34" t="n">
        <v>0.2138040460134866</v>
      </c>
      <c r="M4" s="34">
        <f>I4/$B$11</f>
        <v/>
      </c>
      <c r="N4" s="2" t="n"/>
      <c r="O4" s="2" t="inlineStr">
        <is>
          <t>CLEAN (4 Qty, ₹3,225)</t>
        </is>
      </c>
      <c r="P4" s="2" t="n">
        <v>3225</v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6" t="inlineStr">
        <is>
          <t>CLEAN (4 Qty, ₹3,225)</t>
        </is>
      </c>
      <c r="AB4" s="6" t="n">
        <v>3225</v>
      </c>
    </row>
    <row r="5">
      <c r="A5" s="72" t="inlineStr">
        <is>
          <t>Total Net Capital Deposited</t>
        </is>
      </c>
      <c r="B5" s="66">
        <f>SUMIF(Capital!B:B, "DEPOSIT", Capital!C:C)</f>
        <v/>
      </c>
      <c r="C5" s="84" t="n"/>
      <c r="D5" s="86" t="inlineStr">
        <is>
          <t>OIL</t>
        </is>
      </c>
      <c r="E5" s="87" t="n">
        <v>4</v>
      </c>
      <c r="F5" s="88" t="n">
        <v>473</v>
      </c>
      <c r="G5" s="88" t="n">
        <v>479</v>
      </c>
      <c r="H5" s="88">
        <f>E5*G5</f>
        <v/>
      </c>
      <c r="I5" s="89">
        <f>H5-(E5*F5)</f>
        <v/>
      </c>
      <c r="J5" s="90">
        <f>IF(F5&gt;0, I5/(E5*F5), 0)</f>
        <v/>
      </c>
      <c r="K5" s="91">
        <f>H5/H14</f>
        <v/>
      </c>
      <c r="L5" s="34" t="n">
        <v>0.03827751196172249</v>
      </c>
      <c r="M5" s="34">
        <f>I5/$B$11</f>
        <v/>
      </c>
      <c r="N5" s="2" t="n"/>
      <c r="O5" s="2" t="inlineStr">
        <is>
          <t>OIL (4 Qty, ₹1,892)</t>
        </is>
      </c>
      <c r="P5" s="2" t="n">
        <v>1892</v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6" t="inlineStr">
        <is>
          <t>OIL (4 Qty, ₹1,892)</t>
        </is>
      </c>
      <c r="AB5" s="6" t="n">
        <v>1892</v>
      </c>
    </row>
    <row r="6">
      <c r="A6" s="72" t="inlineStr">
        <is>
          <t>Lifetime Realized PnL</t>
        </is>
      </c>
      <c r="B6" s="66">
        <f>SUM(Ledger!M:M)</f>
        <v/>
      </c>
      <c r="C6" s="84" t="n"/>
      <c r="D6" s="86" t="inlineStr">
        <is>
          <t>JAIBALAJI</t>
        </is>
      </c>
      <c r="E6" s="87" t="n">
        <v>8</v>
      </c>
      <c r="F6" s="88" t="n">
        <v>68.87</v>
      </c>
      <c r="G6" s="88" t="n">
        <v>65.5</v>
      </c>
      <c r="H6" s="88">
        <f>E6*G6</f>
        <v/>
      </c>
      <c r="I6" s="93">
        <f>H6-(E6*F6)</f>
        <v/>
      </c>
      <c r="J6" s="94">
        <f>IF(F6&gt;0, I6/(E6*F6), 0)</f>
        <v/>
      </c>
      <c r="K6" s="91">
        <f>H6/H14</f>
        <v/>
      </c>
      <c r="L6" s="34" t="n">
        <v>-0.4240000244140629</v>
      </c>
      <c r="M6" s="34">
        <f>I6/$B$11</f>
        <v/>
      </c>
      <c r="N6" s="2" t="n"/>
      <c r="O6" s="2" t="inlineStr">
        <is>
          <t>JAIBALAJI (8 Qty, ₹551)</t>
        </is>
      </c>
      <c r="P6" s="2" t="n">
        <v>550.96</v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6" t="inlineStr">
        <is>
          <t>JAIBALAJI (8 Qty, ₹551)</t>
        </is>
      </c>
      <c r="AB6" s="6" t="n">
        <v>550.96</v>
      </c>
    </row>
    <row r="7">
      <c r="A7" s="72" t="inlineStr">
        <is>
          <t>Lifetime Realized P/L Percentage</t>
        </is>
      </c>
      <c r="B7" s="67">
        <f>B6/B5</f>
        <v/>
      </c>
      <c r="C7" s="84" t="n"/>
      <c r="D7" s="86" t="inlineStr">
        <is>
          <t>IOLCP</t>
        </is>
      </c>
      <c r="E7" s="87" t="n">
        <v>10</v>
      </c>
      <c r="F7" s="88" t="n">
        <v>166.02</v>
      </c>
      <c r="G7" s="88" t="n">
        <v>203.2200012207031</v>
      </c>
      <c r="H7" s="88">
        <f>E7*G7</f>
        <v/>
      </c>
      <c r="I7" s="89">
        <f>H7-(E7*F7)</f>
        <v/>
      </c>
      <c r="J7" s="90">
        <f>IF(F7&gt;0, I7/(E7*F7), 0)</f>
        <v/>
      </c>
      <c r="K7" s="91">
        <f>H7/H14</f>
        <v/>
      </c>
      <c r="L7" s="34" t="n">
        <v>0.1096836186919752</v>
      </c>
      <c r="M7" s="34">
        <f>I7/$B$11</f>
        <v/>
      </c>
      <c r="N7" s="2" t="n"/>
      <c r="O7" s="2" t="inlineStr">
        <is>
          <t>IOLCP (10 Qty, ₹1,660)</t>
        </is>
      </c>
      <c r="P7" s="2" t="n">
        <v>1660.2</v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6" t="inlineStr">
        <is>
          <t>IOLCP (10 Qty, ₹1,660)</t>
        </is>
      </c>
      <c r="AB7" s="6" t="n">
        <v>1660.2</v>
      </c>
    </row>
    <row r="8">
      <c r="A8" s="72" t="inlineStr">
        <is>
          <t>Current Total Portfolio Value</t>
        </is>
      </c>
      <c r="B8" s="66">
        <f>B13+B12</f>
        <v/>
      </c>
      <c r="C8" s="84" t="n"/>
      <c r="D8" s="86" t="inlineStr">
        <is>
          <t>HAPPSTMNDS</t>
        </is>
      </c>
      <c r="E8" s="87" t="n">
        <v>3</v>
      </c>
      <c r="F8" s="88" t="n">
        <v>426.8</v>
      </c>
      <c r="G8" s="88" t="n">
        <v>311.6000061035156</v>
      </c>
      <c r="H8" s="88">
        <f>E8*G8</f>
        <v/>
      </c>
      <c r="I8" s="93">
        <f>H8-(E8*F8)</f>
        <v/>
      </c>
      <c r="J8" s="94">
        <f>IF(F8&gt;0, I8/(E8*F8), 0)</f>
        <v/>
      </c>
      <c r="K8" s="91">
        <f>H8/H14</f>
        <v/>
      </c>
      <c r="L8" s="34" t="n">
        <v>0.2424861720350921</v>
      </c>
      <c r="M8" s="34">
        <f>I8/$B$11</f>
        <v/>
      </c>
      <c r="N8" s="2" t="n"/>
      <c r="O8" s="2" t="inlineStr">
        <is>
          <t>BHARATSE (6 Qty, ₹1,472)</t>
        </is>
      </c>
      <c r="P8" s="2" t="n">
        <v>1471.5</v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6" t="inlineStr">
        <is>
          <t>HAPPSTMNDS (3 Qty, ₹1,280)</t>
        </is>
      </c>
      <c r="AB8" s="6" t="n">
        <v>1280.4</v>
      </c>
    </row>
    <row r="9">
      <c r="A9" s="72" t="inlineStr">
        <is>
          <t>Total Number of Trades</t>
        </is>
      </c>
      <c r="B9" s="68">
        <f>COUNTIF(Ledger!N:N, "WIN") + COUNTIF(Ledger!N:N, "LOSS") + COUNTIF(Ledger!N:N, "OPEN")</f>
        <v/>
      </c>
      <c r="C9" s="84" t="n"/>
      <c r="D9" s="86" t="inlineStr">
        <is>
          <t>ZEEMEDIA</t>
        </is>
      </c>
      <c r="E9" s="87" t="n">
        <v>150</v>
      </c>
      <c r="F9" s="88" t="n">
        <v>9.699999999999999</v>
      </c>
      <c r="G9" s="88" t="n">
        <v>7.400000095367432</v>
      </c>
      <c r="H9" s="88">
        <f>E9*G9</f>
        <v/>
      </c>
      <c r="I9" s="93">
        <f>H9-(E9*F9)</f>
        <v/>
      </c>
      <c r="J9" s="94">
        <f>IF(F9&gt;0, I9/(E9*F9), 0)</f>
        <v/>
      </c>
      <c r="K9" s="91">
        <f>H9/H14</f>
        <v/>
      </c>
      <c r="L9" s="34" t="n">
        <v>-0.06037733689793987</v>
      </c>
      <c r="M9" s="34">
        <f>I9/$B$11</f>
        <v/>
      </c>
      <c r="N9" s="2" t="n"/>
      <c r="O9" s="2" t="inlineStr">
        <is>
          <t>HAPPSTMNDS (3 Qty, ₹1,280)</t>
        </is>
      </c>
      <c r="P9" s="2" t="n">
        <v>1280.4</v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6" t="inlineStr">
        <is>
          <t>ZEEMEDIA (150 Qty, ₹1,455)</t>
        </is>
      </c>
      <c r="AB9" s="6" t="n">
        <v>1455</v>
      </c>
    </row>
    <row r="10">
      <c r="A10" s="72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84" t="n"/>
      <c r="D10" s="86" t="inlineStr">
        <is>
          <t>GAYAPROJ-BE</t>
        </is>
      </c>
      <c r="E10" s="87" t="n">
        <v>100</v>
      </c>
      <c r="F10" s="88" t="n">
        <v>21.8</v>
      </c>
      <c r="G10" s="88" t="n">
        <v>21.8</v>
      </c>
      <c r="H10" s="88">
        <f>E10*G10</f>
        <v/>
      </c>
      <c r="I10" s="89">
        <f>H10-(E10*F10)</f>
        <v/>
      </c>
      <c r="J10" s="90">
        <f>IF(F10&gt;0, I10/(E10*F10), 0)</f>
        <v/>
      </c>
      <c r="K10" s="91">
        <f>H10/H14</f>
        <v/>
      </c>
      <c r="L10" s="34" t="n">
        <v>0</v>
      </c>
      <c r="M10" s="34">
        <f>I10/$B$11</f>
        <v/>
      </c>
      <c r="N10" s="2" t="n"/>
      <c r="O10" s="2" t="inlineStr">
        <is>
          <t>ZEEMEDIA (150 Qty, ₹1,455)</t>
        </is>
      </c>
      <c r="P10" s="2" t="n">
        <v>1455</v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6" t="inlineStr">
        <is>
          <t>GAYAPROJ-BE (100 Qty, ₹2,180)</t>
        </is>
      </c>
      <c r="AB10" s="6" t="n">
        <v>2180</v>
      </c>
    </row>
    <row r="11">
      <c r="A11" s="72" t="inlineStr">
        <is>
          <t>Capital Deployed in Open Trades</t>
        </is>
      </c>
      <c r="B11" s="66">
        <f>SUMPRODUCT((Ledger!N2:N5000="OPEN")*(Ledger!E2:E5000)*(Ledger!D2:D5000))</f>
        <v/>
      </c>
      <c r="C11" s="84" t="n"/>
      <c r="D11" s="86" t="inlineStr">
        <is>
          <t>THELEELA</t>
        </is>
      </c>
      <c r="E11" s="87" t="n">
        <v>4</v>
      </c>
      <c r="F11" s="88" t="n">
        <v>539.3</v>
      </c>
      <c r="G11" s="88" t="n">
        <v>533.2000122070312</v>
      </c>
      <c r="H11" s="88">
        <f>E11*G11</f>
        <v/>
      </c>
      <c r="I11" s="93">
        <f>H11-(E11*F11)</f>
        <v/>
      </c>
      <c r="J11" s="94">
        <f>IF(F11&gt;0, I11/(E11*F11), 0)</f>
        <v/>
      </c>
      <c r="K11" s="91">
        <f>H11/H14</f>
        <v/>
      </c>
      <c r="L11" s="34" t="n">
        <v>0.2214315164791546</v>
      </c>
      <c r="M11" s="34">
        <f>I11/$B$11</f>
        <v/>
      </c>
      <c r="N11" s="2" t="n"/>
      <c r="O11" s="2" t="inlineStr">
        <is>
          <t>GAYAPROJ-BE (100 Qty, ₹2,180)</t>
        </is>
      </c>
      <c r="P11" s="2" t="n">
        <v>2180</v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6" t="inlineStr">
        <is>
          <t>THELEELA (4 Qty, ₹2,157)</t>
        </is>
      </c>
      <c r="AB11" s="6" t="n">
        <v>2157.2</v>
      </c>
    </row>
    <row r="12">
      <c r="A12" s="72" t="inlineStr">
        <is>
          <t>Current Value of Active Trades</t>
        </is>
      </c>
      <c r="B12" s="66" t="n">
        <v>18480.60014247894</v>
      </c>
      <c r="C12" s="84" t="n"/>
      <c r="D12" s="86" t="inlineStr">
        <is>
          <t>KFINTECH</t>
        </is>
      </c>
      <c r="E12" s="87" t="n">
        <v>2</v>
      </c>
      <c r="F12" s="88" t="n">
        <v>963</v>
      </c>
      <c r="G12" s="88" t="n">
        <v>897.9500122070312</v>
      </c>
      <c r="H12" s="88">
        <f>E12*G12</f>
        <v/>
      </c>
      <c r="I12" s="93">
        <f>H12-(E12*F12)</f>
        <v/>
      </c>
      <c r="J12" s="94">
        <f>IF(F12&gt;0, I12/(E12*F12), 0)</f>
        <v/>
      </c>
      <c r="K12" s="91">
        <f>H12/H14</f>
        <v/>
      </c>
      <c r="L12" s="34" t="n">
        <v>0.137495956001294</v>
      </c>
      <c r="M12" s="34">
        <f>I12/$B$11</f>
        <v/>
      </c>
      <c r="N12" s="2" t="n"/>
      <c r="O12" s="2" t="inlineStr">
        <is>
          <t>THELEELA (4 Qty, ₹2,157)</t>
        </is>
      </c>
      <c r="P12" s="2" t="n">
        <v>2157.2</v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6" t="inlineStr">
        <is>
          <t>KFINTECH (2 Qty, ₹1,926)</t>
        </is>
      </c>
      <c r="AB12" s="6" t="n">
        <v>1926</v>
      </c>
    </row>
    <row r="13">
      <c r="A13" s="72" t="inlineStr">
        <is>
          <t>Capital Available for Trading</t>
        </is>
      </c>
      <c r="B13" s="66">
        <f>B5 - SUMIF(Capital!B:B, "WITHDRAWAL", Capital!C:C) + B6 - B11</f>
        <v/>
      </c>
      <c r="C13" s="84" t="n"/>
      <c r="D13" s="86" t="inlineStr">
        <is>
          <t>BOROLTD</t>
        </is>
      </c>
      <c r="E13" s="87" t="n">
        <v>10</v>
      </c>
      <c r="F13" s="88" t="n">
        <v>258</v>
      </c>
      <c r="G13" s="88" t="n">
        <v>259.3099975585938</v>
      </c>
      <c r="H13" s="88">
        <f>E13*G13</f>
        <v/>
      </c>
      <c r="I13" s="89">
        <f>H13-(E13*F13)</f>
        <v/>
      </c>
      <c r="J13" s="90">
        <f>IF(F13&gt;0, I13/(E13*F13), 0)</f>
        <v/>
      </c>
      <c r="K13" s="91">
        <f>H13/H14</f>
        <v/>
      </c>
      <c r="L13" s="34" t="n">
        <v>-0.1028265766949866</v>
      </c>
      <c r="M13" s="34">
        <f>I13/$B$11</f>
        <v/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0" t="inlineStr">
        <is>
          <t>BOROLTD (10 Qty, ₹2,580)</t>
        </is>
      </c>
      <c r="AB13" s="0" t="n">
        <v>2580</v>
      </c>
    </row>
    <row r="14">
      <c r="A14" s="72" t="inlineStr">
        <is>
          <t>Total Wins</t>
        </is>
      </c>
      <c r="B14" s="68">
        <f>COUNTIF(Ledger!N:N, "WIN")</f>
        <v/>
      </c>
      <c r="C14" s="84" t="n"/>
      <c r="D14" s="96" t="inlineStr">
        <is>
          <t>Total Portfolio</t>
        </is>
      </c>
      <c r="E14" s="97" t="inlineStr"/>
      <c r="F14" s="98" t="inlineStr"/>
      <c r="G14" s="98" t="inlineStr"/>
      <c r="H14" s="99">
        <f>SUM(H4:H13)</f>
        <v/>
      </c>
      <c r="I14" s="99">
        <f>SUM(I4:I13)</f>
        <v/>
      </c>
      <c r="J14" s="100">
        <f>IF((H14-I14)&gt;0, I14/(H14-I14), 0)</f>
        <v/>
      </c>
      <c r="K14" s="100">
        <f>SUM(K4:K13)</f>
        <v/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2" t="inlineStr">
        <is>
          <t>Total Losses</t>
        </is>
      </c>
      <c r="B15" s="68">
        <f>COUNTIF(Ledger!N:N, "LOSS")</f>
        <v/>
      </c>
      <c r="C15" s="84" t="n"/>
      <c r="D15" s="101" t="n"/>
      <c r="E15" s="84" t="n"/>
      <c r="F15" s="84" t="n"/>
      <c r="G15" s="84" t="n"/>
      <c r="H15" s="102" t="n"/>
      <c r="I15" s="102" t="n"/>
      <c r="J15" s="103" t="n"/>
      <c r="K15" s="45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2" t="inlineStr">
        <is>
          <t>Total Taxes Paid to Zerodha</t>
        </is>
      </c>
      <c r="B16" s="66">
        <f>SUMIF(Capital!D:D, "*Brokerage &amp; taxes*", Capital!C:C)</f>
        <v/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0" t="inlineStr">
        <is>
          <t>Swing Trading Statistics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2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2" t="inlineStr">
        <is>
          <t>Swing Realized PnL</t>
        </is>
      </c>
      <c r="B19" s="66">
        <f>SUMIFS(Ledger!M:M, Ledger!P:P, "SWING")</f>
        <v/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2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2" t="inlineStr">
        <is>
          <t>Swing Active Positions</t>
        </is>
      </c>
      <c r="B21" s="68">
        <f>COUNTIFS(Ledger!P:P, "SWING", Ledger!N:N, "OPEN")</f>
        <v/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70" t="inlineStr">
        <is>
          <t>Intraday Trading Statistics</t>
        </is>
      </c>
      <c r="C22" s="84" t="n"/>
      <c r="D22" s="84" t="n"/>
      <c r="E22" s="84" t="n"/>
      <c r="F22" s="84" t="n"/>
      <c r="G22" s="84" t="n"/>
      <c r="H22" s="84" t="n"/>
      <c r="I22" s="84" t="n"/>
      <c r="J22" s="84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2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4" t="n"/>
      <c r="D23" s="84" t="n"/>
      <c r="E23" s="84" t="n"/>
      <c r="F23" s="84" t="n"/>
      <c r="G23" s="84" t="n"/>
      <c r="H23" s="84" t="n"/>
      <c r="I23" s="84" t="n"/>
      <c r="J23" s="84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2" t="inlineStr">
        <is>
          <t>Intraday Realized PnL</t>
        </is>
      </c>
      <c r="B24" s="66">
        <f>SUMIFS(Ledger!M:M, Ledger!P:P, "INTRADAY")</f>
        <v/>
      </c>
      <c r="C24" s="84" t="n"/>
      <c r="D24" s="84" t="n"/>
      <c r="E24" s="84" t="n"/>
      <c r="F24" s="84" t="n"/>
      <c r="G24" s="84" t="n"/>
      <c r="H24" s="84" t="n"/>
      <c r="I24" s="84" t="n"/>
      <c r="J24" s="84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72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84" t="n"/>
      <c r="D25" s="84" t="n"/>
      <c r="E25" s="84" t="n"/>
      <c r="F25" s="84" t="n"/>
      <c r="G25" s="84" t="n"/>
      <c r="H25" s="84" t="n"/>
      <c r="I25" s="84" t="n"/>
      <c r="J25" s="84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2" t="inlineStr">
        <is>
          <t>Intraday Active Positions</t>
        </is>
      </c>
      <c r="B26" s="68">
        <f>COUNTIFS(Ledger!P:P, "INTRADAY", Ledger!N:N, "OPEN")</f>
        <v/>
      </c>
      <c r="C26" s="84" t="n"/>
      <c r="D26" s="84" t="n"/>
      <c r="E26" s="84" t="n"/>
      <c r="F26" s="84" t="n"/>
      <c r="G26" s="84" t="n"/>
      <c r="H26" s="84" t="n"/>
      <c r="I26" s="84" t="n"/>
      <c r="J26" s="84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0" t="inlineStr">
        <is>
          <t>Activity &amp; Performance Metrics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72" t="inlineStr">
        <is>
          <t>Average Days to Exit a Trade</t>
        </is>
      </c>
      <c r="B28" s="71" t="n">
        <v>14.63888888888889</v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72" t="inlineStr">
        <is>
          <t>Average Trades per Day</t>
        </is>
      </c>
      <c r="B29" s="71" t="n">
        <v>2.4</v>
      </c>
      <c r="C29" s="84" t="n"/>
      <c r="D29" s="84" t="n"/>
      <c r="E29" s="84" t="n"/>
      <c r="F29" s="84" t="n"/>
      <c r="G29" s="84" t="n"/>
      <c r="H29" s="84" t="n"/>
      <c r="I29" s="84" t="n"/>
      <c r="J29" s="84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2" t="inlineStr">
        <is>
          <t>Average Unique Holdings per Day</t>
        </is>
      </c>
      <c r="B30" s="71" t="n">
        <v>8.604166666666666</v>
      </c>
      <c r="C30" s="84" t="n"/>
      <c r="D30" s="84" t="n"/>
      <c r="E30" s="84" t="n"/>
      <c r="F30" s="84" t="n"/>
      <c r="G30" s="84" t="n"/>
      <c r="H30" s="84" t="n"/>
      <c r="I30" s="84" t="n"/>
      <c r="J30" s="84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72" t="inlineStr">
        <is>
          <t>Average Profit % per trade</t>
        </is>
      </c>
      <c r="B31" s="67" t="n">
        <v>0.06422336099808393</v>
      </c>
      <c r="C31" s="84" t="n"/>
      <c r="D31" s="84" t="n"/>
      <c r="E31" s="84" t="n"/>
      <c r="F31" s="84" t="n"/>
      <c r="G31" s="84" t="n"/>
      <c r="H31" s="84" t="n"/>
      <c r="I31" s="84" t="n"/>
      <c r="J31" s="84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72" t="inlineStr">
        <is>
          <t>Average Loss % per trade</t>
        </is>
      </c>
      <c r="B32" s="67" t="n">
        <v>-0.03977667713730747</v>
      </c>
      <c r="C32" s="84" t="n"/>
      <c r="D32" s="84" t="n"/>
      <c r="E32" s="84" t="n"/>
      <c r="F32" s="84" t="n"/>
      <c r="G32" s="84" t="n"/>
      <c r="H32" s="84" t="n"/>
      <c r="I32" s="84" t="n"/>
      <c r="J32" s="84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72" t="inlineStr">
        <is>
          <t>Average Value per Trade</t>
        </is>
      </c>
      <c r="B33" s="66" t="n">
        <v>1503.326944444444</v>
      </c>
      <c r="C33" s="84" t="n"/>
      <c r="D33" s="84" t="n"/>
      <c r="E33" s="84" t="n"/>
      <c r="F33" s="84" t="n"/>
      <c r="G33" s="84" t="n"/>
      <c r="H33" s="84" t="n"/>
      <c r="I33" s="84" t="n"/>
      <c r="J33" s="84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84" t="n"/>
      <c r="B34" s="84" t="n"/>
      <c r="C34" s="84" t="n"/>
      <c r="D34" s="84" t="n"/>
      <c r="E34" s="84" t="n"/>
      <c r="F34" s="84" t="n"/>
      <c r="G34" s="84" t="n"/>
      <c r="H34" s="84" t="n"/>
      <c r="I34" s="84" t="n"/>
      <c r="J34" s="84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84" t="n"/>
      <c r="B35" s="84" t="n"/>
      <c r="C35" s="84" t="n"/>
      <c r="D35" s="84" t="n"/>
      <c r="E35" s="84" t="n"/>
      <c r="F35" s="84" t="n"/>
      <c r="G35" s="84" t="n"/>
      <c r="H35" s="84" t="n"/>
      <c r="I35" s="84" t="n"/>
      <c r="J35" s="84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84" t="n"/>
      <c r="B36" s="84" t="n"/>
      <c r="C36" s="84" t="n"/>
      <c r="D36" s="84" t="n"/>
      <c r="E36" s="84" t="n"/>
      <c r="F36" s="84" t="n"/>
      <c r="G36" s="84" t="n"/>
      <c r="H36" s="84" t="n"/>
      <c r="I36" s="84" t="n"/>
      <c r="J36" s="84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84" t="n"/>
      <c r="B37" s="84" t="n"/>
      <c r="C37" s="84" t="n"/>
      <c r="D37" s="84" t="n"/>
      <c r="E37" s="84" t="n"/>
      <c r="F37" s="84" t="n"/>
      <c r="G37" s="84" t="n"/>
      <c r="H37" s="84" t="n"/>
      <c r="I37" s="84" t="n"/>
      <c r="J37" s="84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84" t="n"/>
      <c r="B38" s="84" t="n"/>
      <c r="C38" s="84" t="n"/>
      <c r="D38" s="84" t="n"/>
      <c r="E38" s="84" t="n"/>
      <c r="F38" s="84" t="n"/>
      <c r="G38" s="84" t="n"/>
      <c r="H38" s="84" t="n"/>
      <c r="I38" s="84" t="n"/>
      <c r="J38" s="84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84" t="n"/>
      <c r="B39" s="84" t="n"/>
      <c r="C39" s="84" t="n"/>
      <c r="D39" s="84" t="n"/>
      <c r="E39" s="84" t="n"/>
      <c r="F39" s="84" t="n"/>
      <c r="G39" s="84" t="n"/>
      <c r="H39" s="84" t="n"/>
      <c r="I39" s="84" t="n"/>
      <c r="J39" s="84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84" t="n"/>
      <c r="B40" s="84" t="n"/>
      <c r="C40" s="84" t="n"/>
      <c r="D40" s="84" t="n"/>
      <c r="E40" s="84" t="n"/>
      <c r="F40" s="84" t="n"/>
      <c r="G40" s="84" t="n"/>
      <c r="H40" s="84" t="n"/>
      <c r="I40" s="84" t="n"/>
      <c r="J40" s="84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84" t="n"/>
      <c r="B41" s="84" t="n"/>
      <c r="C41" s="84" t="n"/>
      <c r="D41" s="84" t="n"/>
      <c r="E41" s="84" t="n"/>
      <c r="F41" s="84" t="n"/>
      <c r="G41" s="84" t="n"/>
      <c r="H41" s="84" t="n"/>
      <c r="I41" s="84" t="n"/>
      <c r="J41" s="84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84" t="n"/>
      <c r="B42" s="84" t="n"/>
      <c r="C42" s="84" t="n"/>
      <c r="D42" s="84" t="n"/>
      <c r="E42" s="84" t="n"/>
      <c r="F42" s="84" t="n"/>
      <c r="G42" s="84" t="n"/>
      <c r="H42" s="84" t="n"/>
      <c r="I42" s="84" t="n"/>
      <c r="J42" s="84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84" t="n"/>
      <c r="B43" s="84" t="n"/>
      <c r="C43" s="84" t="n"/>
      <c r="D43" s="84" t="n"/>
      <c r="E43" s="84" t="n"/>
      <c r="F43" s="84" t="n"/>
      <c r="G43" s="84" t="n"/>
      <c r="H43" s="84" t="n"/>
      <c r="I43" s="84" t="n"/>
      <c r="J43" s="84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84" t="n"/>
      <c r="B44" s="84" t="n"/>
      <c r="C44" s="84" t="n"/>
      <c r="D44" s="84" t="n"/>
      <c r="E44" s="84" t="n"/>
      <c r="F44" s="84" t="n"/>
      <c r="G44" s="84" t="n"/>
      <c r="H44" s="84" t="n"/>
      <c r="I44" s="84" t="n"/>
      <c r="J44" s="84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84" t="n"/>
      <c r="B45" s="84" t="n"/>
      <c r="C45" s="84" t="n"/>
      <c r="D45" s="84" t="n"/>
      <c r="E45" s="84" t="n"/>
      <c r="F45" s="84" t="n"/>
      <c r="G45" s="84" t="n"/>
      <c r="H45" s="84" t="n"/>
      <c r="I45" s="84" t="n"/>
      <c r="J45" s="84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84" t="n"/>
      <c r="B46" s="84" t="n"/>
      <c r="C46" s="84" t="n"/>
      <c r="D46" s="84" t="n"/>
      <c r="E46" s="84" t="n"/>
      <c r="F46" s="84" t="n"/>
      <c r="G46" s="84" t="n"/>
      <c r="H46" s="84" t="n"/>
      <c r="I46" s="84" t="n"/>
      <c r="J46" s="84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84" t="n"/>
      <c r="B47" s="84" t="n"/>
      <c r="C47" s="84" t="n"/>
      <c r="D47" s="84" t="n"/>
      <c r="E47" s="84" t="n"/>
      <c r="F47" s="84" t="n"/>
      <c r="G47" s="84" t="n"/>
      <c r="H47" s="84" t="n"/>
      <c r="I47" s="84" t="n"/>
      <c r="J47" s="84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84" t="n"/>
      <c r="B48" s="84" t="n"/>
      <c r="C48" s="84" t="n"/>
      <c r="D48" s="84" t="n"/>
      <c r="E48" s="84" t="n"/>
      <c r="F48" s="84" t="n"/>
      <c r="G48" s="84" t="n"/>
      <c r="H48" s="84" t="n"/>
      <c r="I48" s="84" t="n"/>
      <c r="J48" s="84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84" t="n"/>
      <c r="B49" s="84" t="n"/>
      <c r="C49" s="84" t="n"/>
      <c r="D49" s="84" t="n"/>
      <c r="E49" s="84" t="n"/>
      <c r="F49" s="84" t="n"/>
      <c r="G49" s="84" t="n"/>
      <c r="H49" s="84" t="n"/>
      <c r="I49" s="84" t="n"/>
      <c r="J49" s="84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84" t="n"/>
      <c r="B50" s="84" t="n"/>
      <c r="C50" s="84" t="n"/>
      <c r="D50" s="84" t="n"/>
      <c r="E50" s="84" t="n"/>
      <c r="F50" s="84" t="n"/>
      <c r="G50" s="84" t="n"/>
      <c r="H50" s="84" t="n"/>
      <c r="I50" s="84" t="n"/>
      <c r="J50" s="84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O221" s="2" t="n"/>
      <c r="P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O222" s="2" t="n"/>
      <c r="P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O223" s="2" t="n"/>
      <c r="P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O224" s="2" t="n"/>
      <c r="P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O225" s="2" t="n"/>
      <c r="P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O226" s="2" t="n"/>
      <c r="P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O227" s="2" t="n"/>
      <c r="P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O228" s="2" t="n"/>
      <c r="P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O229" s="2" t="n"/>
      <c r="P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O230" s="2" t="n"/>
      <c r="P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O231" s="2" t="n"/>
      <c r="P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O232" s="2" t="n"/>
      <c r="P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O233" s="2" t="n"/>
      <c r="P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O234" s="2" t="n"/>
      <c r="P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O235" s="2" t="n"/>
      <c r="P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O236" s="2" t="n"/>
      <c r="P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O237" s="2" t="n"/>
      <c r="P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O238" s="2" t="n"/>
      <c r="P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O239" s="2" t="n"/>
      <c r="P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O240" s="2" t="n"/>
      <c r="P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O241" s="2" t="n"/>
      <c r="P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O242" s="2" t="n"/>
      <c r="P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O243" s="2" t="n"/>
      <c r="P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O244" s="2" t="n"/>
      <c r="P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O245" s="2" t="n"/>
      <c r="P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O246" s="2" t="n"/>
      <c r="P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O247" s="2" t="n"/>
      <c r="P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O248" s="2" t="n"/>
      <c r="P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O249" s="2" t="n"/>
      <c r="P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O250" s="2" t="n"/>
      <c r="P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O251" s="2" t="n"/>
      <c r="P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O252" s="2" t="n"/>
      <c r="P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O253" s="2" t="n"/>
      <c r="P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O254" s="2" t="n"/>
      <c r="P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O255" s="2" t="n"/>
      <c r="P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O256" s="2" t="n"/>
      <c r="P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O257" s="2" t="n"/>
      <c r="P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O258" s="2" t="n"/>
      <c r="P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O259" s="2" t="n"/>
      <c r="P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O260" s="2" t="n"/>
      <c r="P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O261" s="2" t="n"/>
      <c r="P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O262" s="2" t="n"/>
      <c r="P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O263" s="2" t="n"/>
      <c r="P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O264" s="2" t="n"/>
      <c r="P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O265" s="2" t="n"/>
      <c r="P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O266" s="2" t="n"/>
      <c r="P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O267" s="2" t="n"/>
      <c r="P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O268" s="2" t="n"/>
      <c r="P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O269" s="2" t="n"/>
      <c r="P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O270" s="2" t="n"/>
      <c r="P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O271" s="2" t="n"/>
      <c r="P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O272" s="2" t="n"/>
      <c r="P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O273" s="2" t="n"/>
      <c r="P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O274" s="2" t="n"/>
      <c r="P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O275" s="2" t="n"/>
      <c r="P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O276" s="2" t="n"/>
      <c r="P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O277" s="2" t="n"/>
      <c r="P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O278" s="2" t="n"/>
      <c r="P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O279" s="2" t="n"/>
      <c r="P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O280" s="2" t="n"/>
      <c r="P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O281" s="2" t="n"/>
      <c r="P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O282" s="2" t="n"/>
      <c r="P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O283" s="2" t="n"/>
      <c r="P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O284" s="2" t="n"/>
      <c r="P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O285" s="2" t="n"/>
      <c r="P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O286" s="2" t="n"/>
      <c r="P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O287" s="2" t="n"/>
      <c r="P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O288" s="2" t="n"/>
      <c r="P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O289" s="2" t="n"/>
      <c r="P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O290" s="2" t="n"/>
      <c r="P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O291" s="2" t="n"/>
      <c r="P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O292" s="2" t="n"/>
      <c r="P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O293" s="2" t="n"/>
      <c r="P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O294" s="2" t="n"/>
      <c r="P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O295" s="2" t="n"/>
      <c r="P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O296" s="2" t="n"/>
      <c r="P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O297" s="2" t="n"/>
      <c r="P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O298" s="2" t="n"/>
      <c r="P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O299" s="2" t="n"/>
      <c r="P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O300" s="2" t="n"/>
      <c r="P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O301" s="2" t="n"/>
      <c r="P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O302" s="2" t="n"/>
      <c r="P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O303" s="2" t="n"/>
      <c r="P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O304" s="2" t="n"/>
      <c r="P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O305" s="2" t="n"/>
      <c r="P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O306" s="2" t="n"/>
      <c r="P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O307" s="2" t="n"/>
      <c r="P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O308" s="2" t="n"/>
      <c r="P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O309" s="2" t="n"/>
      <c r="P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O310" s="2" t="n"/>
      <c r="P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O311" s="2" t="n"/>
      <c r="P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O312" s="2" t="n"/>
      <c r="P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O313" s="2" t="n"/>
      <c r="P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O314" s="2" t="n"/>
      <c r="P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O315" s="2" t="n"/>
      <c r="P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O316" s="2" t="n"/>
      <c r="P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O317" s="2" t="n"/>
      <c r="P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O318" s="2" t="n"/>
      <c r="P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O319" s="2" t="n"/>
      <c r="P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O320" s="2" t="n"/>
      <c r="P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O321" s="2" t="n"/>
      <c r="P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O322" s="2" t="n"/>
      <c r="P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O323" s="2" t="n"/>
      <c r="P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O324" s="2" t="n"/>
      <c r="P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O325" s="2" t="n"/>
      <c r="P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O326" s="2" t="n"/>
      <c r="P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O327" s="2" t="n"/>
      <c r="P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O328" s="2" t="n"/>
      <c r="P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O329" s="2" t="n"/>
      <c r="P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O330" s="2" t="n"/>
      <c r="P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O331" s="2" t="n"/>
      <c r="P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O332" s="2" t="n"/>
      <c r="P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O333" s="2" t="n"/>
      <c r="P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O334" s="2" t="n"/>
      <c r="P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O335" s="2" t="n"/>
      <c r="P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O336" s="2" t="n"/>
      <c r="P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O337" s="2" t="n"/>
      <c r="P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O338" s="2" t="n"/>
      <c r="P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O339" s="2" t="n"/>
      <c r="P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O340" s="2" t="n"/>
      <c r="P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O341" s="2" t="n"/>
      <c r="P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O342" s="2" t="n"/>
      <c r="P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O343" s="2" t="n"/>
      <c r="P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O344" s="2" t="n"/>
      <c r="P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O345" s="2" t="n"/>
      <c r="P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O346" s="2" t="n"/>
      <c r="P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O347" s="2" t="n"/>
      <c r="P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O348" s="2" t="n"/>
      <c r="P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O349" s="2" t="n"/>
      <c r="P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O350" s="2" t="n"/>
      <c r="P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O351" s="2" t="n"/>
      <c r="P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O352" s="2" t="n"/>
      <c r="P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O353" s="2" t="n"/>
      <c r="P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O354" s="2" t="n"/>
      <c r="P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O355" s="2" t="n"/>
      <c r="P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O356" s="2" t="n"/>
      <c r="P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O357" s="2" t="n"/>
      <c r="P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O358" s="2" t="n"/>
      <c r="P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O359" s="2" t="n"/>
      <c r="P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O360" s="2" t="n"/>
      <c r="P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O361" s="2" t="n"/>
      <c r="P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O362" s="2" t="n"/>
      <c r="P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O363" s="2" t="n"/>
      <c r="P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O364" s="2" t="n"/>
      <c r="P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O365" s="2" t="n"/>
      <c r="P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O366" s="2" t="n"/>
      <c r="P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O367" s="2" t="n"/>
      <c r="P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O368" s="2" t="n"/>
      <c r="P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O369" s="2" t="n"/>
      <c r="P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O370" s="2" t="n"/>
      <c r="P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O371" s="2" t="n"/>
      <c r="P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O372" s="2" t="n"/>
      <c r="P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O373" s="2" t="n"/>
      <c r="P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O374" s="2" t="n"/>
      <c r="P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O375" s="2" t="n"/>
      <c r="P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O376" s="2" t="n"/>
      <c r="P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O377" s="2" t="n"/>
      <c r="P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O378" s="2" t="n"/>
      <c r="P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O379" s="2" t="n"/>
      <c r="P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O380" s="2" t="n"/>
      <c r="P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O381" s="2" t="n"/>
      <c r="P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O382" s="2" t="n"/>
      <c r="P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O383" s="2" t="n"/>
      <c r="P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O384" s="2" t="n"/>
      <c r="P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O385" s="2" t="n"/>
      <c r="P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O386" s="2" t="n"/>
      <c r="P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O387" s="2" t="n"/>
      <c r="P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O388" s="2" t="n"/>
      <c r="P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O389" s="2" t="n"/>
      <c r="P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O390" s="2" t="n"/>
      <c r="P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O391" s="2" t="n"/>
      <c r="P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O392" s="2" t="n"/>
      <c r="P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O393" s="2" t="n"/>
      <c r="P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O394" s="2" t="n"/>
      <c r="P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O395" s="2" t="n"/>
      <c r="P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O396" s="2" t="n"/>
      <c r="P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O397" s="2" t="n"/>
      <c r="P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O398" s="2" t="n"/>
      <c r="P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O399" s="2" t="n"/>
      <c r="P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O400" s="2" t="n"/>
      <c r="P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O401" s="2" t="n"/>
      <c r="P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O402" s="2" t="n"/>
      <c r="P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O403" s="2" t="n"/>
      <c r="P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O404" s="2" t="n"/>
      <c r="P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O405" s="2" t="n"/>
      <c r="P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O406" s="2" t="n"/>
      <c r="P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O407" s="2" t="n"/>
      <c r="P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O408" s="2" t="n"/>
      <c r="P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O409" s="2" t="n"/>
      <c r="P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O410" s="2" t="n"/>
      <c r="P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O411" s="2" t="n"/>
      <c r="P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O412" s="2" t="n"/>
      <c r="P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O413" s="2" t="n"/>
      <c r="P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O414" s="2" t="n"/>
      <c r="P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O415" s="2" t="n"/>
      <c r="P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O416" s="2" t="n"/>
      <c r="P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O417" s="2" t="n"/>
      <c r="P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O418" s="2" t="n"/>
      <c r="P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O419" s="2" t="n"/>
      <c r="P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O420" s="2" t="n"/>
      <c r="P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O421" s="2" t="n"/>
      <c r="P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O422" s="2" t="n"/>
      <c r="P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O423" s="2" t="n"/>
      <c r="P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O424" s="2" t="n"/>
      <c r="P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O425" s="2" t="n"/>
      <c r="P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O426" s="2" t="n"/>
      <c r="P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O427" s="2" t="n"/>
      <c r="P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O428" s="2" t="n"/>
      <c r="P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O429" s="2" t="n"/>
      <c r="P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O430" s="2" t="n"/>
      <c r="P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O431" s="2" t="n"/>
      <c r="P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O432" s="2" t="n"/>
      <c r="P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O433" s="2" t="n"/>
      <c r="P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O434" s="2" t="n"/>
      <c r="P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O435" s="2" t="n"/>
      <c r="P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O436" s="2" t="n"/>
      <c r="P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O437" s="2" t="n"/>
      <c r="P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O438" s="2" t="n"/>
      <c r="P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O439" s="2" t="n"/>
      <c r="P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O440" s="2" t="n"/>
      <c r="P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O441" s="2" t="n"/>
      <c r="P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O442" s="2" t="n"/>
      <c r="P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O443" s="2" t="n"/>
      <c r="P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O444" s="2" t="n"/>
      <c r="P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O445" s="2" t="n"/>
      <c r="P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O446" s="2" t="n"/>
      <c r="P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O447" s="2" t="n"/>
      <c r="P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O448" s="2" t="n"/>
      <c r="P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O449" s="2" t="n"/>
      <c r="P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O450" s="2" t="n"/>
      <c r="P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O451" s="2" t="n"/>
      <c r="P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O452" s="2" t="n"/>
      <c r="P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O453" s="2" t="n"/>
      <c r="P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O454" s="2" t="n"/>
      <c r="P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O455" s="2" t="n"/>
      <c r="P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O456" s="2" t="n"/>
      <c r="P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O457" s="2" t="n"/>
      <c r="P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O458" s="2" t="n"/>
      <c r="P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O459" s="2" t="n"/>
      <c r="P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O460" s="2" t="n"/>
      <c r="P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O461" s="2" t="n"/>
      <c r="P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O462" s="2" t="n"/>
      <c r="P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O463" s="2" t="n"/>
      <c r="P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O464" s="2" t="n"/>
      <c r="P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O465" s="2" t="n"/>
      <c r="P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O466" s="2" t="n"/>
      <c r="P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O467" s="2" t="n"/>
      <c r="P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O468" s="2" t="n"/>
      <c r="P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O469" s="2" t="n"/>
      <c r="P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O470" s="2" t="n"/>
      <c r="P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O471" s="2" t="n"/>
      <c r="P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O472" s="2" t="n"/>
      <c r="P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O473" s="2" t="n"/>
      <c r="P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O474" s="2" t="n"/>
      <c r="P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O475" s="2" t="n"/>
      <c r="P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O476" s="2" t="n"/>
      <c r="P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O477" s="2" t="n"/>
      <c r="P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O478" s="2" t="n"/>
      <c r="P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O479" s="2" t="n"/>
      <c r="P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O480" s="2" t="n"/>
      <c r="P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O481" s="2" t="n"/>
      <c r="P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O482" s="2" t="n"/>
      <c r="P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O483" s="2" t="n"/>
      <c r="P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O484" s="2" t="n"/>
      <c r="P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O485" s="2" t="n"/>
      <c r="P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O486" s="2" t="n"/>
      <c r="P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O487" s="2" t="n"/>
      <c r="P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O488" s="2" t="n"/>
      <c r="P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O489" s="2" t="n"/>
      <c r="P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O490" s="2" t="n"/>
      <c r="P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O491" s="2" t="n"/>
      <c r="P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O492" s="2" t="n"/>
      <c r="P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O493" s="2" t="n"/>
      <c r="P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O494" s="2" t="n"/>
      <c r="P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O495" s="2" t="n"/>
      <c r="P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O496" s="2" t="n"/>
      <c r="P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O497" s="2" t="n"/>
      <c r="P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O498" s="2" t="n"/>
      <c r="P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O499" s="2" t="n"/>
      <c r="P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O500" s="2" t="n"/>
      <c r="P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O501" s="2" t="n"/>
      <c r="P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O502" s="2" t="n"/>
      <c r="P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O503" s="2" t="n"/>
      <c r="P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O504" s="2" t="n"/>
      <c r="P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O505" s="2" t="n"/>
      <c r="P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O506" s="2" t="n"/>
      <c r="P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O507" s="2" t="n"/>
      <c r="P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O508" s="2" t="n"/>
      <c r="P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O509" s="2" t="n"/>
      <c r="P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O510" s="2" t="n"/>
      <c r="P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O511" s="2" t="n"/>
      <c r="P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O512" s="2" t="n"/>
      <c r="P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O513" s="2" t="n"/>
      <c r="P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O514" s="2" t="n"/>
      <c r="P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O515" s="2" t="n"/>
      <c r="P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O516" s="2" t="n"/>
      <c r="P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O517" s="2" t="n"/>
      <c r="P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O518" s="2" t="n"/>
      <c r="P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O519" s="2" t="n"/>
      <c r="P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O520" s="2" t="n"/>
      <c r="P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O521" s="2" t="n"/>
      <c r="P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O522" s="2" t="n"/>
      <c r="P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O523" s="2" t="n"/>
      <c r="P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O524" s="2" t="n"/>
      <c r="P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O525" s="2" t="n"/>
      <c r="P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O526" s="2" t="n"/>
      <c r="P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O527" s="2" t="n"/>
      <c r="P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O528" s="2" t="n"/>
      <c r="P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O529" s="2" t="n"/>
      <c r="P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O530" s="2" t="n"/>
      <c r="P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O531" s="2" t="n"/>
      <c r="P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O532" s="2" t="n"/>
      <c r="P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O533" s="2" t="n"/>
      <c r="P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O534" s="2" t="n"/>
      <c r="P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O535" s="2" t="n"/>
      <c r="P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O536" s="2" t="n"/>
      <c r="P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O537" s="2" t="n"/>
      <c r="P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O538" s="2" t="n"/>
      <c r="P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O539" s="2" t="n"/>
      <c r="P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O540" s="2" t="n"/>
      <c r="P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O541" s="2" t="n"/>
      <c r="P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O542" s="2" t="n"/>
      <c r="P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O543" s="2" t="n"/>
      <c r="P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O544" s="2" t="n"/>
      <c r="P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O545" s="2" t="n"/>
      <c r="P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O546" s="2" t="n"/>
      <c r="P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O547" s="2" t="n"/>
      <c r="P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O548" s="2" t="n"/>
      <c r="P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O549" s="2" t="n"/>
      <c r="P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O550" s="2" t="n"/>
      <c r="P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O551" s="2" t="n"/>
      <c r="P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O552" s="2" t="n"/>
      <c r="P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O553" s="2" t="n"/>
      <c r="P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O554" s="2" t="n"/>
      <c r="P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O555" s="2" t="n"/>
      <c r="P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O556" s="2" t="n"/>
      <c r="P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O557" s="2" t="n"/>
      <c r="P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O558" s="2" t="n"/>
      <c r="P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O559" s="2" t="n"/>
      <c r="P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O560" s="2" t="n"/>
      <c r="P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O561" s="2" t="n"/>
      <c r="P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O562" s="2" t="n"/>
      <c r="P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O563" s="2" t="n"/>
      <c r="P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O564" s="2" t="n"/>
      <c r="P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O565" s="2" t="n"/>
      <c r="P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O566" s="2" t="n"/>
      <c r="P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O567" s="2" t="n"/>
      <c r="P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O568" s="2" t="n"/>
      <c r="P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O569" s="2" t="n"/>
      <c r="P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O570" s="2" t="n"/>
      <c r="P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O571" s="2" t="n"/>
      <c r="P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O572" s="2" t="n"/>
      <c r="P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O573" s="2" t="n"/>
      <c r="P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O574" s="2" t="n"/>
      <c r="P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O575" s="2" t="n"/>
      <c r="P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O576" s="2" t="n"/>
      <c r="P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O577" s="2" t="n"/>
      <c r="P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O578" s="2" t="n"/>
      <c r="P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O579" s="2" t="n"/>
      <c r="P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O580" s="2" t="n"/>
      <c r="P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O581" s="2" t="n"/>
      <c r="P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O582" s="2" t="n"/>
      <c r="P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O583" s="2" t="n"/>
      <c r="P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O584" s="2" t="n"/>
      <c r="P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O585" s="2" t="n"/>
      <c r="P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O586" s="2" t="n"/>
      <c r="P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O587" s="2" t="n"/>
      <c r="P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O588" s="2" t="n"/>
      <c r="P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O589" s="2" t="n"/>
      <c r="P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O590" s="2" t="n"/>
      <c r="P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O591" s="2" t="n"/>
      <c r="P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O592" s="2" t="n"/>
      <c r="P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O593" s="2" t="n"/>
      <c r="P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O594" s="2" t="n"/>
      <c r="P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O595" s="2" t="n"/>
      <c r="P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O596" s="2" t="n"/>
      <c r="P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O597" s="2" t="n"/>
      <c r="P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O598" s="2" t="n"/>
      <c r="P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O599" s="2" t="n"/>
      <c r="P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O600" s="2" t="n"/>
      <c r="P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O601" s="2" t="n"/>
      <c r="P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O602" s="2" t="n"/>
      <c r="P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O603" s="2" t="n"/>
      <c r="P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O604" s="2" t="n"/>
      <c r="P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O605" s="2" t="n"/>
      <c r="P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O606" s="2" t="n"/>
      <c r="P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O607" s="2" t="n"/>
      <c r="P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O608" s="2" t="n"/>
      <c r="P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O609" s="2" t="n"/>
      <c r="P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O610" s="2" t="n"/>
      <c r="P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O611" s="2" t="n"/>
      <c r="P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O612" s="2" t="n"/>
      <c r="P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O613" s="2" t="n"/>
      <c r="P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O614" s="2" t="n"/>
      <c r="P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O615" s="2" t="n"/>
      <c r="P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O616" s="2" t="n"/>
      <c r="P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O617" s="2" t="n"/>
      <c r="P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O618" s="2" t="n"/>
      <c r="P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O619" s="2" t="n"/>
      <c r="P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O620" s="2" t="n"/>
      <c r="P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O621" s="2" t="n"/>
      <c r="P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O622" s="2" t="n"/>
      <c r="P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O623" s="2" t="n"/>
      <c r="P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O624" s="2" t="n"/>
      <c r="P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O625" s="2" t="n"/>
      <c r="P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O626" s="2" t="n"/>
      <c r="P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O627" s="2" t="n"/>
      <c r="P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O628" s="2" t="n"/>
      <c r="P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O629" s="2" t="n"/>
      <c r="P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O630" s="2" t="n"/>
      <c r="P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O631" s="2" t="n"/>
      <c r="P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O632" s="2" t="n"/>
      <c r="P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O633" s="2" t="n"/>
      <c r="P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O634" s="2" t="n"/>
      <c r="P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O635" s="2" t="n"/>
      <c r="P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O636" s="2" t="n"/>
      <c r="P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O637" s="2" t="n"/>
      <c r="P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O638" s="2" t="n"/>
      <c r="P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O639" s="2" t="n"/>
      <c r="P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O640" s="2" t="n"/>
      <c r="P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O641" s="2" t="n"/>
      <c r="P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O642" s="2" t="n"/>
      <c r="P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O643" s="2" t="n"/>
      <c r="P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O644" s="2" t="n"/>
      <c r="P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O645" s="2" t="n"/>
      <c r="P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O646" s="2" t="n"/>
      <c r="P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O647" s="2" t="n"/>
      <c r="P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O648" s="2" t="n"/>
      <c r="P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O649" s="2" t="n"/>
      <c r="P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O650" s="2" t="n"/>
      <c r="P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O651" s="2" t="n"/>
      <c r="P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O652" s="2" t="n"/>
      <c r="P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O653" s="2" t="n"/>
      <c r="P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O654" s="2" t="n"/>
      <c r="P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O655" s="2" t="n"/>
      <c r="P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O656" s="2" t="n"/>
      <c r="P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O657" s="2" t="n"/>
      <c r="P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O658" s="2" t="n"/>
      <c r="P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O659" s="2" t="n"/>
      <c r="P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O660" s="2" t="n"/>
      <c r="P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O661" s="2" t="n"/>
      <c r="P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O662" s="2" t="n"/>
      <c r="P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O663" s="2" t="n"/>
      <c r="P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O664" s="2" t="n"/>
      <c r="P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O665" s="2" t="n"/>
      <c r="P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O666" s="2" t="n"/>
      <c r="P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O667" s="2" t="n"/>
      <c r="P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O668" s="2" t="n"/>
      <c r="P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O669" s="2" t="n"/>
      <c r="P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O670" s="2" t="n"/>
      <c r="P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O671" s="2" t="n"/>
      <c r="P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O672" s="2" t="n"/>
      <c r="P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O673" s="2" t="n"/>
      <c r="P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O674" s="2" t="n"/>
      <c r="P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O675" s="2" t="n"/>
      <c r="P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O676" s="2" t="n"/>
      <c r="P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O677" s="2" t="n"/>
      <c r="P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O678" s="2" t="n"/>
      <c r="P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O679" s="2" t="n"/>
      <c r="P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O680" s="2" t="n"/>
      <c r="P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O681" s="2" t="n"/>
      <c r="P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O682" s="2" t="n"/>
      <c r="P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O683" s="2" t="n"/>
      <c r="P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O684" s="2" t="n"/>
      <c r="P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O685" s="2" t="n"/>
      <c r="P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O686" s="2" t="n"/>
      <c r="P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O687" s="2" t="n"/>
      <c r="P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O688" s="2" t="n"/>
      <c r="P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O689" s="2" t="n"/>
      <c r="P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O690" s="2" t="n"/>
      <c r="P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O691" s="2" t="n"/>
      <c r="P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O692" s="2" t="n"/>
      <c r="P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O693" s="2" t="n"/>
      <c r="P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O694" s="2" t="n"/>
      <c r="P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O695" s="2" t="n"/>
      <c r="P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O696" s="2" t="n"/>
      <c r="P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O697" s="2" t="n"/>
      <c r="P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O698" s="2" t="n"/>
      <c r="P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O699" s="2" t="n"/>
      <c r="P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O700" s="2" t="n"/>
      <c r="P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O701" s="2" t="n"/>
      <c r="P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O702" s="2" t="n"/>
      <c r="P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O703" s="2" t="n"/>
      <c r="P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O704" s="2" t="n"/>
      <c r="P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O705" s="2" t="n"/>
      <c r="P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O706" s="2" t="n"/>
      <c r="P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O707" s="2" t="n"/>
      <c r="P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O708" s="2" t="n"/>
      <c r="P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O709" s="2" t="n"/>
      <c r="P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O710" s="2" t="n"/>
      <c r="P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O711" s="2" t="n"/>
      <c r="P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O712" s="2" t="n"/>
      <c r="P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O713" s="2" t="n"/>
      <c r="P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O714" s="2" t="n"/>
      <c r="P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O715" s="2" t="n"/>
      <c r="P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O716" s="2" t="n"/>
      <c r="P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O717" s="2" t="n"/>
      <c r="P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O718" s="2" t="n"/>
      <c r="P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O719" s="2" t="n"/>
      <c r="P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O720" s="2" t="n"/>
      <c r="P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O721" s="2" t="n"/>
      <c r="P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O722" s="2" t="n"/>
      <c r="P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O723" s="2" t="n"/>
      <c r="P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O724" s="2" t="n"/>
      <c r="P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O725" s="2" t="n"/>
      <c r="P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O726" s="2" t="n"/>
      <c r="P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O727" s="2" t="n"/>
      <c r="P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O728" s="2" t="n"/>
      <c r="P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O729" s="2" t="n"/>
      <c r="P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O730" s="2" t="n"/>
      <c r="P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O731" s="2" t="n"/>
      <c r="P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O732" s="2" t="n"/>
      <c r="P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O733" s="2" t="n"/>
      <c r="P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O734" s="2" t="n"/>
      <c r="P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O735" s="2" t="n"/>
      <c r="P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O736" s="2" t="n"/>
      <c r="P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O737" s="2" t="n"/>
      <c r="P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O738" s="2" t="n"/>
      <c r="P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O739" s="2" t="n"/>
      <c r="P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O740" s="2" t="n"/>
      <c r="P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O741" s="2" t="n"/>
      <c r="P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O742" s="2" t="n"/>
      <c r="P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O743" s="2" t="n"/>
      <c r="P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O744" s="2" t="n"/>
      <c r="P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O745" s="2" t="n"/>
      <c r="P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O746" s="2" t="n"/>
      <c r="P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O747" s="2" t="n"/>
      <c r="P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O748" s="2" t="n"/>
      <c r="P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O749" s="2" t="n"/>
      <c r="P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O750" s="2" t="n"/>
      <c r="P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O751" s="2" t="n"/>
      <c r="P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O752" s="2" t="n"/>
      <c r="P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O753" s="2" t="n"/>
      <c r="P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O754" s="2" t="n"/>
      <c r="P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O755" s="2" t="n"/>
      <c r="P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O756" s="2" t="n"/>
      <c r="P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O757" s="2" t="n"/>
      <c r="P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O758" s="2" t="n"/>
      <c r="P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O759" s="2" t="n"/>
      <c r="P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O760" s="2" t="n"/>
      <c r="P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O761" s="2" t="n"/>
      <c r="P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O762" s="2" t="n"/>
      <c r="P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O763" s="2" t="n"/>
      <c r="P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O764" s="2" t="n"/>
      <c r="P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O765" s="2" t="n"/>
      <c r="P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O766" s="2" t="n"/>
      <c r="P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O767" s="2" t="n"/>
      <c r="P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O768" s="2" t="n"/>
      <c r="P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O769" s="2" t="n"/>
      <c r="P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O770" s="2" t="n"/>
      <c r="P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O771" s="2" t="n"/>
      <c r="P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O772" s="2" t="n"/>
      <c r="P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O773" s="2" t="n"/>
      <c r="P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O774" s="2" t="n"/>
      <c r="P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O775" s="2" t="n"/>
      <c r="P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O776" s="2" t="n"/>
      <c r="P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O777" s="2" t="n"/>
      <c r="P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O778" s="2" t="n"/>
      <c r="P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O779" s="2" t="n"/>
      <c r="P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O780" s="2" t="n"/>
      <c r="P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O781" s="2" t="n"/>
      <c r="P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O782" s="2" t="n"/>
      <c r="P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O783" s="2" t="n"/>
      <c r="P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O784" s="2" t="n"/>
      <c r="P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O785" s="2" t="n"/>
      <c r="P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O786" s="2" t="n"/>
      <c r="P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O787" s="2" t="n"/>
      <c r="P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O788" s="2" t="n"/>
      <c r="P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O789" s="2" t="n"/>
      <c r="P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O790" s="2" t="n"/>
      <c r="P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O791" s="2" t="n"/>
      <c r="P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O792" s="2" t="n"/>
      <c r="P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O793" s="2" t="n"/>
      <c r="P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O794" s="2" t="n"/>
      <c r="P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O795" s="2" t="n"/>
      <c r="P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O796" s="2" t="n"/>
      <c r="P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O797" s="2" t="n"/>
      <c r="P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O798" s="2" t="n"/>
      <c r="P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O799" s="2" t="n"/>
      <c r="P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O800" s="2" t="n"/>
      <c r="P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O801" s="2" t="n"/>
      <c r="P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O802" s="2" t="n"/>
      <c r="P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O803" s="2" t="n"/>
      <c r="P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O804" s="2" t="n"/>
      <c r="P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O805" s="2" t="n"/>
      <c r="P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O806" s="2" t="n"/>
      <c r="P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O807" s="2" t="n"/>
      <c r="P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O808" s="2" t="n"/>
      <c r="P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O809" s="2" t="n"/>
      <c r="P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O810" s="2" t="n"/>
      <c r="P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O811" s="2" t="n"/>
      <c r="P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O812" s="2" t="n"/>
      <c r="P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O813" s="2" t="n"/>
      <c r="P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O814" s="2" t="n"/>
      <c r="P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O815" s="2" t="n"/>
      <c r="P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O816" s="2" t="n"/>
      <c r="P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O817" s="2" t="n"/>
      <c r="P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O818" s="2" t="n"/>
      <c r="P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O819" s="2" t="n"/>
      <c r="P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O820" s="2" t="n"/>
      <c r="P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O821" s="2" t="n"/>
      <c r="P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O822" s="2" t="n"/>
      <c r="P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O823" s="2" t="n"/>
      <c r="P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O824" s="2" t="n"/>
      <c r="P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O825" s="2" t="n"/>
      <c r="P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O826" s="2" t="n"/>
      <c r="P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O827" s="2" t="n"/>
      <c r="P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O828" s="2" t="n"/>
      <c r="P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O829" s="2" t="n"/>
      <c r="P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O830" s="2" t="n"/>
      <c r="P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O831" s="2" t="n"/>
      <c r="P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O832" s="2" t="n"/>
      <c r="P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O833" s="2" t="n"/>
      <c r="P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O834" s="2" t="n"/>
      <c r="P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O835" s="2" t="n"/>
      <c r="P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O836" s="2" t="n"/>
      <c r="P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O837" s="2" t="n"/>
      <c r="P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O838" s="2" t="n"/>
      <c r="P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O839" s="2" t="n"/>
      <c r="P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O840" s="2" t="n"/>
      <c r="P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O841" s="2" t="n"/>
      <c r="P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O842" s="2" t="n"/>
      <c r="P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O843" s="2" t="n"/>
      <c r="P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O844" s="2" t="n"/>
      <c r="P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O845" s="2" t="n"/>
      <c r="P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O846" s="2" t="n"/>
      <c r="P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O847" s="2" t="n"/>
      <c r="P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O848" s="2" t="n"/>
      <c r="P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O849" s="2" t="n"/>
      <c r="P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O850" s="2" t="n"/>
      <c r="P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O851" s="2" t="n"/>
      <c r="P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O852" s="2" t="n"/>
      <c r="P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O853" s="2" t="n"/>
      <c r="P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O854" s="2" t="n"/>
      <c r="P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O855" s="2" t="n"/>
      <c r="P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O856" s="2" t="n"/>
      <c r="P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O857" s="2" t="n"/>
      <c r="P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O858" s="2" t="n"/>
      <c r="P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O859" s="2" t="n"/>
      <c r="P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O860" s="2" t="n"/>
      <c r="P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O861" s="2" t="n"/>
      <c r="P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O862" s="2" t="n"/>
      <c r="P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O863" s="2" t="n"/>
      <c r="P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O864" s="2" t="n"/>
      <c r="P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O865" s="2" t="n"/>
      <c r="P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O866" s="2" t="n"/>
      <c r="P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O867" s="2" t="n"/>
      <c r="P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O868" s="2" t="n"/>
      <c r="P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O869" s="2" t="n"/>
      <c r="P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O870" s="2" t="n"/>
      <c r="P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O871" s="2" t="n"/>
      <c r="P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O872" s="2" t="n"/>
      <c r="P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O873" s="2" t="n"/>
      <c r="P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O874" s="2" t="n"/>
      <c r="P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O875" s="2" t="n"/>
      <c r="P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O876" s="2" t="n"/>
      <c r="P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O877" s="2" t="n"/>
      <c r="P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O878" s="2" t="n"/>
      <c r="P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O879" s="2" t="n"/>
      <c r="P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O880" s="2" t="n"/>
      <c r="P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O881" s="2" t="n"/>
      <c r="P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O882" s="2" t="n"/>
      <c r="P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O883" s="2" t="n"/>
      <c r="P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O884" s="2" t="n"/>
      <c r="P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O885" s="2" t="n"/>
      <c r="P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O886" s="2" t="n"/>
      <c r="P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O887" s="2" t="n"/>
      <c r="P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O888" s="2" t="n"/>
      <c r="P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O889" s="2" t="n"/>
      <c r="P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O890" s="2" t="n"/>
      <c r="P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O891" s="2" t="n"/>
      <c r="P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O892" s="2" t="n"/>
      <c r="P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O893" s="2" t="n"/>
      <c r="P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O894" s="2" t="n"/>
      <c r="P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O895" s="2" t="n"/>
      <c r="P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O896" s="2" t="n"/>
      <c r="P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O897" s="2" t="n"/>
      <c r="P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O898" s="2" t="n"/>
      <c r="P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O899" s="2" t="n"/>
      <c r="P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O900" s="2" t="n"/>
      <c r="P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O901" s="2" t="n"/>
      <c r="P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O902" s="2" t="n"/>
      <c r="P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O903" s="2" t="n"/>
      <c r="P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O904" s="2" t="n"/>
      <c r="P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O905" s="2" t="n"/>
      <c r="P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O906" s="2" t="n"/>
      <c r="P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O907" s="2" t="n"/>
      <c r="P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O908" s="2" t="n"/>
      <c r="P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O909" s="2" t="n"/>
      <c r="P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O910" s="2" t="n"/>
      <c r="P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O911" s="2" t="n"/>
      <c r="P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O912" s="2" t="n"/>
      <c r="P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O913" s="2" t="n"/>
      <c r="P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O914" s="2" t="n"/>
      <c r="P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O915" s="2" t="n"/>
      <c r="P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O916" s="2" t="n"/>
      <c r="P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O917" s="2" t="n"/>
      <c r="P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O918" s="2" t="n"/>
      <c r="P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O919" s="2" t="n"/>
      <c r="P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O920" s="2" t="n"/>
      <c r="P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O921" s="2" t="n"/>
      <c r="P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O922" s="2" t="n"/>
      <c r="P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O923" s="2" t="n"/>
      <c r="P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O924" s="2" t="n"/>
      <c r="P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O925" s="2" t="n"/>
      <c r="P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O926" s="2" t="n"/>
      <c r="P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O927" s="2" t="n"/>
      <c r="P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O928" s="2" t="n"/>
      <c r="P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O929" s="2" t="n"/>
      <c r="P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O930" s="2" t="n"/>
      <c r="P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O931" s="2" t="n"/>
      <c r="P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O932" s="2" t="n"/>
      <c r="P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O933" s="2" t="n"/>
      <c r="P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O934" s="2" t="n"/>
      <c r="P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O935" s="2" t="n"/>
      <c r="P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O936" s="2" t="n"/>
      <c r="P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O937" s="2" t="n"/>
      <c r="P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O938" s="2" t="n"/>
      <c r="P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O939" s="2" t="n"/>
      <c r="P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O940" s="2" t="n"/>
      <c r="P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O941" s="2" t="n"/>
      <c r="P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O942" s="2" t="n"/>
      <c r="P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O943" s="2" t="n"/>
      <c r="P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O944" s="2" t="n"/>
      <c r="P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O945" s="2" t="n"/>
      <c r="P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O946" s="2" t="n"/>
      <c r="P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O947" s="2" t="n"/>
      <c r="P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O948" s="2" t="n"/>
      <c r="P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O949" s="2" t="n"/>
      <c r="P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O950" s="2" t="n"/>
      <c r="P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O951" s="2" t="n"/>
      <c r="P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O952" s="2" t="n"/>
      <c r="P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O953" s="2" t="n"/>
      <c r="P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O954" s="2" t="n"/>
      <c r="P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O955" s="2" t="n"/>
      <c r="P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O956" s="2" t="n"/>
      <c r="P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O957" s="2" t="n"/>
      <c r="P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O958" s="2" t="n"/>
      <c r="P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O959" s="2" t="n"/>
      <c r="P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O960" s="2" t="n"/>
      <c r="P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O961" s="2" t="n"/>
      <c r="P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O962" s="2" t="n"/>
      <c r="P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O963" s="2" t="n"/>
      <c r="P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O964" s="2" t="n"/>
      <c r="P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O965" s="2" t="n"/>
      <c r="P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O966" s="2" t="n"/>
      <c r="P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O967" s="2" t="n"/>
      <c r="P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O968" s="2" t="n"/>
      <c r="P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O969" s="2" t="n"/>
      <c r="P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O970" s="2" t="n"/>
      <c r="P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O971" s="2" t="n"/>
      <c r="P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O972" s="2" t="n"/>
      <c r="P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O973" s="2" t="n"/>
      <c r="P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O974" s="2" t="n"/>
      <c r="P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O975" s="2" t="n"/>
      <c r="P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O976" s="2" t="n"/>
      <c r="P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O977" s="2" t="n"/>
      <c r="P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O978" s="2" t="n"/>
      <c r="P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O979" s="2" t="n"/>
      <c r="P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O980" s="2" t="n"/>
      <c r="P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O981" s="2" t="n"/>
      <c r="P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O982" s="2" t="n"/>
      <c r="P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O983" s="2" t="n"/>
      <c r="P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O984" s="2" t="n"/>
      <c r="P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O985" s="2" t="n"/>
      <c r="P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O986" s="2" t="n"/>
      <c r="P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O987" s="2" t="n"/>
      <c r="P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O988" s="2" t="n"/>
      <c r="P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O989" s="2" t="n"/>
      <c r="P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O990" s="2" t="n"/>
      <c r="P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O991" s="2" t="n"/>
      <c r="P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O992" s="2" t="n"/>
      <c r="P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O993" s="2" t="n"/>
      <c r="P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O994" s="2" t="n"/>
      <c r="P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O995" s="2" t="n"/>
      <c r="P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O996" s="2" t="n"/>
      <c r="P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O997" s="2" t="n"/>
      <c r="P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O998" s="2" t="n"/>
      <c r="P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O999" s="2" t="n"/>
      <c r="P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O1000" s="2" t="n"/>
      <c r="P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  <col width="16" customWidth="1" style="57" min="17" max="19"/>
  </cols>
  <sheetData>
    <row r="1" ht="27.75" customHeight="1" s="57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9" t="inlineStr">
        <is>
          <t>Trade Type</t>
        </is>
      </c>
      <c r="Q1" s="9" t="inlineStr">
        <is>
          <t>Current Price</t>
        </is>
      </c>
      <c r="R1" s="9" t="inlineStr">
        <is>
          <t>Unrealized PnL</t>
        </is>
      </c>
      <c r="S1" s="9" t="inlineStr">
        <is>
          <t>Profit/Loss %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 t="n">
        <v>-12.199951171875</v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75" t="n"/>
      <c r="R2" s="75" t="n"/>
      <c r="S2" s="16">
        <f>IF(N2="OPEN", IFERROR(R2/(D2*E2), 0), IF(OR(N2="WIN", N2="LOSS"), IFERROR(M2/(D2*E2), 0), 0))</f>
        <v/>
      </c>
      <c r="T2" s="2" t="n"/>
      <c r="U2" s="2" t="n"/>
      <c r="V2" s="2" t="n"/>
      <c r="W2" s="2" t="n"/>
      <c r="X2" s="2" t="n"/>
      <c r="Y2" s="2" t="n"/>
      <c r="Z2" s="2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 t="n">
        <v>-1.699975585937864</v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75" t="n"/>
      <c r="R3" s="75" t="n"/>
      <c r="S3" s="16">
        <f>IF(N3="OPEN", IFERROR(R3/(D3*E3), 0), IF(OR(N3="WIN", N3="LOSS"), IFERROR(M3/(D3*E3), 0), 0))</f>
        <v/>
      </c>
      <c r="T3" s="2" t="n"/>
      <c r="U3" s="2" t="n"/>
      <c r="V3" s="2" t="n"/>
      <c r="W3" s="2" t="n"/>
      <c r="X3" s="2" t="n"/>
      <c r="Y3" s="2" t="n"/>
      <c r="Z3" s="2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 t="n">
        <v>6.400048828124909</v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78" t="n"/>
      <c r="R4" s="78" t="n"/>
      <c r="S4" s="16">
        <f>IF(N4="OPEN", IFERROR(R4/(D4*E4), 0), IF(OR(N4="WIN", N4="LOSS"), IFERROR(M4/(D4*E4), 0), 0))</f>
        <v/>
      </c>
      <c r="T4" s="2" t="n"/>
      <c r="U4" s="2" t="n"/>
      <c r="V4" s="2" t="n"/>
      <c r="W4" s="2" t="n"/>
      <c r="X4" s="2" t="n"/>
      <c r="Y4" s="2" t="n"/>
      <c r="Z4" s="2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 t="n">
        <v>4.249987792968795</v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75" t="n"/>
      <c r="R5" s="75" t="n"/>
      <c r="S5" s="16">
        <f>IF(N5="OPEN", IFERROR(R5/(D5*E5), 0), IF(OR(N5="WIN", N5="LOSS"), IFERROR(M5/(D5*E5), 0), 0))</f>
        <v/>
      </c>
      <c r="T5" s="2" t="n"/>
      <c r="U5" s="2" t="n"/>
      <c r="V5" s="2" t="n"/>
      <c r="W5" s="2" t="n"/>
      <c r="X5" s="2" t="n"/>
      <c r="Y5" s="2" t="n"/>
      <c r="Z5" s="2" t="n"/>
    </row>
    <row r="6">
      <c r="A6" s="79" t="inlineStr">
        <is>
          <t>JSWSTEEL</t>
        </is>
      </c>
      <c r="B6" s="79" t="inlineStr">
        <is>
          <t>JSW Steel Limited</t>
        </is>
      </c>
      <c r="C6" s="80" t="inlineStr">
        <is>
          <t>2026-07-22</t>
        </is>
      </c>
      <c r="D6" s="81" t="n">
        <v>1</v>
      </c>
      <c r="E6" s="82" t="n">
        <v>1265.1</v>
      </c>
      <c r="F6" s="82" t="n">
        <v>1265.1</v>
      </c>
      <c r="G6" s="82" t="n">
        <v>0</v>
      </c>
      <c r="H6" s="82" t="n">
        <v>1368.16</v>
      </c>
      <c r="I6" s="82" t="n">
        <v>1217.31</v>
      </c>
      <c r="J6" s="80" t="inlineStr">
        <is>
          <t>1:2.1</t>
        </is>
      </c>
      <c r="K6" s="81" t="inlineStr">
        <is>
          <t>2026-08-13</t>
        </is>
      </c>
      <c r="L6" s="82" t="n">
        <v>1269.1</v>
      </c>
      <c r="M6" s="82">
        <f>IF(OR(N6="WIN", N6="LOSS"), (L6-E6)*D6, 0)</f>
        <v/>
      </c>
      <c r="N6" s="80" t="inlineStr">
        <is>
          <t>WIN</t>
        </is>
      </c>
      <c r="O6" s="79" t="inlineStr">
        <is>
          <t>Auto-synced from Zerodha account | [2026-07-28] State 4 (Cash Only): Hold position, maintain pre-set stop-loss, do not average down. | Auto-synced sell from Zerodha account</t>
        </is>
      </c>
      <c r="P6" s="75" t="inlineStr">
        <is>
          <t>SWING</t>
        </is>
      </c>
      <c r="Q6" s="75" t="n"/>
      <c r="R6" s="75" t="n"/>
      <c r="S6" s="16">
        <f>IF(N6="OPEN", IFERROR(R6/(D6*E6), 0), IF(OR(N6="WIN", N6="LOSS"), IFERROR(M6/(D6*E6), 0), 0))</f>
        <v/>
      </c>
      <c r="T6" s="2" t="n"/>
      <c r="U6" s="2" t="n"/>
      <c r="V6" s="2" t="n"/>
      <c r="W6" s="2" t="n"/>
      <c r="X6" s="2" t="n"/>
      <c r="Y6" s="2" t="n"/>
      <c r="Z6" s="2" t="n"/>
    </row>
    <row r="7">
      <c r="A7" s="75" t="inlineStr">
        <is>
          <t>TECHM</t>
        </is>
      </c>
      <c r="B7" s="75" t="inlineStr">
        <is>
          <t>TECHM</t>
        </is>
      </c>
      <c r="C7" s="75" t="inlineStr">
        <is>
          <t>2026-07-27</t>
        </is>
      </c>
      <c r="D7" s="75" t="n">
        <v>1</v>
      </c>
      <c r="E7" s="74" t="n">
        <v>1579</v>
      </c>
      <c r="F7" s="74" t="n">
        <v>1593.900024414062</v>
      </c>
      <c r="G7" s="74" t="n">
        <v>-14.90002441406205</v>
      </c>
      <c r="H7" s="74" t="n">
        <v>1773.642944335938</v>
      </c>
      <c r="I7" s="74" t="n">
        <v>1504.028564453125</v>
      </c>
      <c r="J7" s="75" t="inlineStr">
        <is>
          <t>1:2.6</t>
        </is>
      </c>
      <c r="K7" s="75" t="inlineStr">
        <is>
          <t>2026-08-13</t>
        </is>
      </c>
      <c r="L7" s="74" t="n">
        <v>1634.7</v>
      </c>
      <c r="M7" s="74">
        <f>IF(OR(N7="WIN", N7="LOSS"), (L7-E7)*D7, 0)</f>
        <v/>
      </c>
      <c r="N7" s="75" t="inlineStr">
        <is>
          <t>WIN</t>
        </is>
      </c>
      <c r="O7" s="75" t="inlineStr">
        <is>
          <t>Auto-synced from Zerodha account | [2026-07-28] State 4 (Cash Only): Hold position, maintain pre-set stop-loss, do not average down. | Auto-synced sell from Zerodha account</t>
        </is>
      </c>
      <c r="P7" s="75" t="inlineStr">
        <is>
          <t>SWING</t>
        </is>
      </c>
      <c r="Q7" s="75" t="n"/>
      <c r="R7" s="75" t="n"/>
      <c r="S7" s="16">
        <f>IF(N7="OPEN", IFERROR(R7/(D7*E7), 0), IF(OR(N7="WIN", N7="LOSS"), IFERROR(M7/(D7*E7), 0), 0))</f>
        <v/>
      </c>
      <c r="T7" s="2" t="n"/>
      <c r="U7" s="2" t="n"/>
      <c r="V7" s="2" t="n"/>
      <c r="W7" s="2" t="n"/>
      <c r="X7" s="2" t="n"/>
      <c r="Y7" s="2" t="n"/>
      <c r="Z7" s="2" t="n"/>
    </row>
    <row r="8">
      <c r="A8" s="75" t="inlineStr">
        <is>
          <t>BERGEPAINT</t>
        </is>
      </c>
      <c r="B8" s="75" t="inlineStr">
        <is>
          <t>Berger Paints India Limited</t>
        </is>
      </c>
      <c r="C8" s="75" t="inlineStr">
        <is>
          <t>2026-07-31</t>
        </is>
      </c>
      <c r="D8" s="75" t="n">
        <v>2</v>
      </c>
      <c r="E8" s="74" t="n">
        <v>519.13</v>
      </c>
      <c r="F8" s="74" t="n">
        <v>521.35</v>
      </c>
      <c r="G8" s="74" t="n">
        <v>-2.220000000000027</v>
      </c>
      <c r="H8" s="74" t="n">
        <v>574.85</v>
      </c>
      <c r="I8" s="74" t="n">
        <v>494.6</v>
      </c>
      <c r="J8" s="75" t="inlineStr">
        <is>
          <t>1:2.0</t>
        </is>
      </c>
      <c r="K8" s="75" t="inlineStr">
        <is>
          <t>2026-08-12</t>
        </is>
      </c>
      <c r="L8" s="74" t="n">
        <v>561.2</v>
      </c>
      <c r="M8" s="74">
        <f>IF(OR(N8="WIN", N8="LOSS"), (L8-E8)*D8, 0)</f>
        <v/>
      </c>
      <c r="N8" s="75" t="inlineStr">
        <is>
          <t>WIN</t>
        </is>
      </c>
      <c r="O8" s="75" t="inlineStr">
        <is>
          <t>Auto-synced from Zerodha holdings | Auto-synced sell from Zerodha account</t>
        </is>
      </c>
      <c r="P8" s="75" t="inlineStr">
        <is>
          <t>SWING</t>
        </is>
      </c>
      <c r="Q8" s="75" t="n"/>
      <c r="R8" s="75" t="n"/>
      <c r="S8" s="16">
        <f>IF(N8="OPEN", IFERROR(R8/(D8*E8), 0), IF(OR(N8="WIN", N8="LOSS"), IFERROR(M8/(D8*E8), 0), 0))</f>
        <v/>
      </c>
      <c r="T8" s="2" t="n"/>
      <c r="U8" s="2" t="n"/>
      <c r="V8" s="2" t="n"/>
      <c r="W8" s="2" t="n"/>
      <c r="X8" s="2" t="n"/>
      <c r="Y8" s="2" t="n"/>
      <c r="Z8" s="2" t="n"/>
    </row>
    <row r="9">
      <c r="A9" s="78" t="inlineStr">
        <is>
          <t>ADVANCE</t>
        </is>
      </c>
      <c r="B9" s="78" t="inlineStr">
        <is>
          <t>Advanced Enzyme Technologies Limited</t>
        </is>
      </c>
      <c r="C9" s="78" t="inlineStr">
        <is>
          <t>2026-08-03</t>
        </is>
      </c>
      <c r="D9" s="78" t="n">
        <v>4</v>
      </c>
      <c r="E9" s="77" t="n">
        <v>127.8</v>
      </c>
      <c r="F9" s="77" t="n">
        <v>125.01</v>
      </c>
      <c r="G9" s="77" t="n">
        <v>2.789999999999992</v>
      </c>
      <c r="H9" s="77" t="n">
        <v>145.56</v>
      </c>
      <c r="I9" s="77" t="n">
        <v>114.74</v>
      </c>
      <c r="J9" s="78" t="inlineStr">
        <is>
          <t>1:2.0</t>
        </is>
      </c>
      <c r="K9" s="78" t="inlineStr">
        <is>
          <t>2026-08-12</t>
        </is>
      </c>
      <c r="L9" s="77" t="n">
        <v>118.2425</v>
      </c>
      <c r="M9" s="77">
        <f>IF(OR(N9="WIN", N9="LOSS"), (L9-E9)*D9, 0)</f>
        <v/>
      </c>
      <c r="N9" s="78" t="inlineStr">
        <is>
          <t>LOSS</t>
        </is>
      </c>
      <c r="O9" s="78" t="inlineStr">
        <is>
          <t>Buy actual fill price matching Zerodha (corrected from 125.01) | Auto-synced sell from Zerodha account</t>
        </is>
      </c>
      <c r="P9" s="78" t="inlineStr">
        <is>
          <t>SWING</t>
        </is>
      </c>
      <c r="Q9" s="78" t="n"/>
      <c r="R9" s="78" t="n"/>
      <c r="S9" s="16">
        <f>IF(N9="OPEN", IFERROR(R9/(D9*E9), 0), IF(OR(N9="WIN", N9="LOSS"), IFERROR(M9/(D9*E9), 0), 0))</f>
        <v/>
      </c>
      <c r="T9" s="2" t="n"/>
      <c r="U9" s="2" t="n"/>
      <c r="V9" s="2" t="n"/>
      <c r="W9" s="2" t="n"/>
      <c r="X9" s="2" t="n"/>
      <c r="Y9" s="2" t="n"/>
      <c r="Z9" s="2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78" t="n"/>
      <c r="R10" s="78" t="n"/>
      <c r="S10" s="16">
        <f>IF(N10="OPEN", IFERROR(R10/(D10*E10), 0), IF(OR(N10="WIN", N10="LOSS"), IFERROR(M10/(D10*E10), 0), 0))</f>
        <v/>
      </c>
      <c r="T10" s="2" t="n"/>
      <c r="U10" s="2" t="n"/>
      <c r="V10" s="2" t="n"/>
      <c r="W10" s="2" t="n"/>
      <c r="X10" s="2" t="n"/>
      <c r="Y10" s="2" t="n"/>
      <c r="Z10" s="2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78" t="n"/>
      <c r="R11" s="78" t="n"/>
      <c r="S11" s="16">
        <f>IF(N11="OPEN", IFERROR(R11/(D11*E11), 0), IF(OR(N11="WIN", N11="LOSS"), IFERROR(M11/(D11*E11), 0), 0))</f>
        <v/>
      </c>
      <c r="T11" s="2" t="n"/>
      <c r="U11" s="2" t="n"/>
      <c r="V11" s="2" t="n"/>
      <c r="W11" s="2" t="n"/>
      <c r="X11" s="2" t="n"/>
      <c r="Y11" s="2" t="n"/>
      <c r="Z11" s="2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75" t="n"/>
      <c r="R12" s="75" t="n"/>
      <c r="S12" s="16">
        <f>IF(N12="OPEN", IFERROR(R12/(D12*E12), 0), IF(OR(N12="WIN", N12="LOSS"), IFERROR(M12/(D12*E12), 0), 0))</f>
        <v/>
      </c>
      <c r="T12" s="2" t="n"/>
      <c r="U12" s="2" t="n"/>
      <c r="V12" s="2" t="n"/>
      <c r="W12" s="2" t="n"/>
      <c r="X12" s="2" t="n"/>
      <c r="Y12" s="2" t="n"/>
      <c r="Z12" s="2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78" t="n"/>
      <c r="R13" s="78" t="n"/>
      <c r="S13" s="16">
        <f>IF(N13="OPEN", IFERROR(R13/(D13*E13), 0), IF(OR(N13="WIN", N13="LOSS"), IFERROR(M13/(D13*E13), 0), 0))</f>
        <v/>
      </c>
      <c r="T13" s="2" t="n"/>
      <c r="U13" s="2" t="n"/>
      <c r="V13" s="2" t="n"/>
      <c r="W13" s="2" t="n"/>
      <c r="X13" s="2" t="n"/>
      <c r="Y13" s="2" t="n"/>
      <c r="Z13" s="2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IF(OR(N14="WIN", N14="LOSS"), (L14-E14)*D14,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78" t="n"/>
      <c r="R14" s="78" t="n"/>
      <c r="S14" s="16">
        <f>IF(N14="OPEN", IFERROR(R14/(D14*E14), 0), IF(OR(N14="WIN", N14="LOSS"), IFERROR(M14/(D14*E14), 0), 0))</f>
        <v/>
      </c>
      <c r="T14" s="2" t="n"/>
      <c r="U14" s="2" t="n"/>
      <c r="V14" s="2" t="n"/>
      <c r="W14" s="2" t="n"/>
      <c r="X14" s="2" t="n"/>
      <c r="Y14" s="2" t="n"/>
      <c r="Z14" s="2" t="n"/>
    </row>
    <row r="15">
      <c r="A15" s="78" t="inlineStr">
        <is>
          <t>IFGLEXPOR</t>
        </is>
      </c>
      <c r="B15" s="78" t="inlineStr">
        <is>
          <t>IFGLEXPOR</t>
        </is>
      </c>
      <c r="C15" s="78" t="inlineStr">
        <is>
          <t>2026-08-06</t>
        </is>
      </c>
      <c r="D15" s="78" t="n">
        <v>4</v>
      </c>
      <c r="E15" s="77" t="n">
        <v>219.6</v>
      </c>
      <c r="F15" s="77" t="n">
        <v>219.6</v>
      </c>
      <c r="G15" s="77" t="n">
        <v>0</v>
      </c>
      <c r="H15" s="77" t="n">
        <v>266.25</v>
      </c>
      <c r="I15" s="77" t="n">
        <v>219.6</v>
      </c>
      <c r="J15" s="78" t="inlineStr">
        <is>
          <t>1:2.0</t>
        </is>
      </c>
      <c r="K15" s="78" t="inlineStr">
        <is>
          <t>2026-08-18</t>
        </is>
      </c>
      <c r="L15" s="78" t="n">
        <v>218.97</v>
      </c>
      <c r="M15" s="77">
        <f>IF(OR(N15="WIN", N15="LOSS"), (L15-E15)*D15, 0)</f>
        <v/>
      </c>
      <c r="N15" s="78" t="inlineStr">
        <is>
          <t>LOSS</t>
        </is>
      </c>
      <c r="O15" s="78" t="inlineStr">
        <is>
          <t>Swing AMO placement. GTT Trigger: 330580516</t>
        </is>
      </c>
      <c r="P15" s="78" t="inlineStr">
        <is>
          <t>SWING</t>
        </is>
      </c>
      <c r="Q15" s="78" t="n"/>
      <c r="R15" s="78" t="n"/>
      <c r="S15" s="16">
        <f>IF(N15="OPEN", IFERROR(R15/(D15*E15), 0), IF(OR(N15="WIN", N15="LOSS"), IFERROR(M15/(D15*E15), 0), 0))</f>
        <v/>
      </c>
      <c r="T15" s="2" t="n"/>
      <c r="U15" s="2" t="n"/>
      <c r="V15" s="2" t="n"/>
      <c r="W15" s="2" t="n"/>
      <c r="X15" s="2" t="n"/>
      <c r="Y15" s="2" t="n"/>
      <c r="Z15" s="2" t="n"/>
    </row>
    <row r="16">
      <c r="A16" s="75" t="inlineStr">
        <is>
          <t>SAPPHIRE</t>
        </is>
      </c>
      <c r="B16" s="75" t="inlineStr">
        <is>
          <t>SAPPHIRE</t>
        </is>
      </c>
      <c r="C16" s="75" t="inlineStr">
        <is>
          <t>2026-08-06</t>
        </is>
      </c>
      <c r="D16" s="75" t="n">
        <v>4</v>
      </c>
      <c r="E16" s="74" t="n">
        <v>202.5</v>
      </c>
      <c r="F16" s="74" t="n">
        <v>202.5</v>
      </c>
      <c r="G16" s="74" t="n">
        <v>0</v>
      </c>
      <c r="H16" s="74" t="n">
        <v>238.85</v>
      </c>
      <c r="I16" s="74" t="n">
        <v>184.35</v>
      </c>
      <c r="J16" s="75" t="inlineStr">
        <is>
          <t>1:2.0</t>
        </is>
      </c>
      <c r="K16" s="75" t="inlineStr">
        <is>
          <t>2026-08-12</t>
        </is>
      </c>
      <c r="L16" s="74" t="n">
        <v>236.75</v>
      </c>
      <c r="M16" s="74">
        <f>IF(OR(N16="WIN", N16="LOSS"), (L16-E16)*D16, 0)</f>
        <v/>
      </c>
      <c r="N16" s="75" t="inlineStr">
        <is>
          <t>WIN</t>
        </is>
      </c>
      <c r="O16" s="75" t="inlineStr">
        <is>
          <t>Swing AMO placement. GTT Trigger: 330580530 | Auto-synced sell from Zerodha account</t>
        </is>
      </c>
      <c r="P16" s="75" t="inlineStr">
        <is>
          <t>SWING</t>
        </is>
      </c>
      <c r="Q16" s="75" t="n"/>
      <c r="R16" s="75" t="n"/>
      <c r="S16" s="16">
        <f>IF(N16="OPEN", IFERROR(R16/(D16*E16), 0), IF(OR(N16="WIN", N16="LOSS"), IFERROR(M16/(D16*E16), 0), 0))</f>
        <v/>
      </c>
      <c r="T16" s="2" t="n"/>
      <c r="U16" s="2" t="n"/>
      <c r="V16" s="2" t="n"/>
      <c r="W16" s="2" t="n"/>
      <c r="X16" s="2" t="n"/>
      <c r="Y16" s="2" t="n"/>
      <c r="Z16" s="2" t="n"/>
    </row>
    <row r="17">
      <c r="A17" s="78" t="inlineStr">
        <is>
          <t>AEROENTER</t>
        </is>
      </c>
      <c r="B17" s="78" t="inlineStr">
        <is>
          <t>AEROENTER</t>
        </is>
      </c>
      <c r="C17" s="78" t="inlineStr">
        <is>
          <t>2026-08-06</t>
        </is>
      </c>
      <c r="D17" s="78" t="n">
        <v>8</v>
      </c>
      <c r="E17" s="77" t="n">
        <v>132.01</v>
      </c>
      <c r="F17" s="77" t="n">
        <v>132.01</v>
      </c>
      <c r="G17" s="77" t="n">
        <v>0</v>
      </c>
      <c r="H17" s="77" t="n">
        <v>159.05</v>
      </c>
      <c r="I17" s="77" t="n">
        <v>118.7</v>
      </c>
      <c r="J17" s="78" t="inlineStr">
        <is>
          <t>1:2.0</t>
        </is>
      </c>
      <c r="K17" s="78" t="inlineStr">
        <is>
          <t>2026-08-18</t>
        </is>
      </c>
      <c r="L17" s="78" t="n">
        <v>125.73</v>
      </c>
      <c r="M17" s="77">
        <f>IF(OR(N17="WIN", N17="LOSS"), (L17-E17)*D17, 0)</f>
        <v/>
      </c>
      <c r="N17" s="78" t="inlineStr">
        <is>
          <t>LOSS</t>
        </is>
      </c>
      <c r="O17" s="78" t="inlineStr">
        <is>
          <t>Swing AMO placement. GTT Trigger: 330580552</t>
        </is>
      </c>
      <c r="P17" s="78" t="inlineStr">
        <is>
          <t>SWING</t>
        </is>
      </c>
      <c r="Q17" s="78" t="n"/>
      <c r="R17" s="78" t="n"/>
      <c r="S17" s="16">
        <f>IF(N17="OPEN", IFERROR(R17/(D17*E17), 0), IF(OR(N17="WIN", N17="LOSS"), IFERROR(M17/(D17*E17), 0), 0))</f>
        <v/>
      </c>
      <c r="T17" s="2" t="n"/>
      <c r="U17" s="2" t="n"/>
      <c r="V17" s="2" t="n"/>
      <c r="W17" s="2" t="n"/>
      <c r="X17" s="2" t="n"/>
      <c r="Y17" s="2" t="n"/>
      <c r="Z17" s="2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IF(OR(N18="WIN", N18="LOSS"), (L18-E18)*D18,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78" t="n"/>
      <c r="R18" s="78" t="n"/>
      <c r="S18" s="16">
        <f>IF(N18="OPEN", IFERROR(R18/(D18*E18), 0), IF(OR(N18="WIN", N18="LOSS"), IFERROR(M18/(D18*E18), 0), 0))</f>
        <v/>
      </c>
      <c r="T18" s="2" t="n"/>
      <c r="U18" s="2" t="n"/>
      <c r="V18" s="2" t="n"/>
      <c r="W18" s="2" t="n"/>
      <c r="X18" s="2" t="n"/>
      <c r="Y18" s="2" t="n"/>
      <c r="Z18" s="2" t="n"/>
    </row>
    <row r="19">
      <c r="A19" s="78" t="inlineStr">
        <is>
          <t>HARSHA</t>
        </is>
      </c>
      <c r="B19" s="78" t="inlineStr">
        <is>
          <t>Harsha Engineers International Limited</t>
        </is>
      </c>
      <c r="C19" s="78" t="inlineStr">
        <is>
          <t>2026-08-11</t>
        </is>
      </c>
      <c r="D19" s="78" t="n">
        <v>3</v>
      </c>
      <c r="E19" s="77" t="n">
        <v>432.6</v>
      </c>
      <c r="F19" s="77" t="n">
        <v>432.6</v>
      </c>
      <c r="G19" s="77" t="n">
        <v>0</v>
      </c>
      <c r="H19" s="77" t="n">
        <v>480.15</v>
      </c>
      <c r="I19" s="77" t="n">
        <v>408.85</v>
      </c>
      <c r="J19" s="78" t="inlineStr">
        <is>
          <t>1:2.0</t>
        </is>
      </c>
      <c r="K19" s="78" t="inlineStr">
        <is>
          <t>2026-08-12</t>
        </is>
      </c>
      <c r="L19" s="78" t="n">
        <v>410.45</v>
      </c>
      <c r="M19" s="77">
        <f>IF(OR(N19="WIN", N19="LOSS"), (L19-E19)*D19, 0)</f>
        <v/>
      </c>
      <c r="N19" s="78" t="inlineStr">
        <is>
          <t>LOSS</t>
        </is>
      </c>
      <c r="O19" s="78" t="inlineStr">
        <is>
          <t>AMO Swing Trade. GTT Trigger: 331229921</t>
        </is>
      </c>
      <c r="P19" s="78" t="inlineStr">
        <is>
          <t>SWING</t>
        </is>
      </c>
      <c r="Q19" s="78" t="n"/>
      <c r="R19" s="78" t="n"/>
      <c r="S19" s="16">
        <f>IF(N19="OPEN", IFERROR(R19/(D19*E19), 0), IF(OR(N19="WIN", N19="LOSS"), IFERROR(M19/(D19*E19), 0), 0))</f>
        <v/>
      </c>
      <c r="T19" s="2" t="n"/>
      <c r="U19" s="2" t="n"/>
      <c r="V19" s="2" t="n"/>
      <c r="W19" s="2" t="n"/>
      <c r="X19" s="2" t="n"/>
      <c r="Y19" s="2" t="n"/>
      <c r="Z19" s="2" t="n"/>
    </row>
    <row r="20">
      <c r="A20" s="78" t="inlineStr">
        <is>
          <t>CONFIPET</t>
        </is>
      </c>
      <c r="B20" s="78" t="inlineStr">
        <is>
          <t>Confidence Petroleum India Limited</t>
        </is>
      </c>
      <c r="C20" s="78" t="inlineStr">
        <is>
          <t>2026-08-11</t>
        </is>
      </c>
      <c r="D20" s="78" t="n">
        <v>10</v>
      </c>
      <c r="E20" s="77" t="n">
        <v>82.73999999999999</v>
      </c>
      <c r="F20" s="77" t="n">
        <v>82.73999999999999</v>
      </c>
      <c r="G20" s="77" t="n">
        <v>0</v>
      </c>
      <c r="H20" s="77" t="n">
        <v>99.31</v>
      </c>
      <c r="I20" s="77" t="n">
        <v>74.45</v>
      </c>
      <c r="J20" s="78" t="inlineStr">
        <is>
          <t>1:2.0</t>
        </is>
      </c>
      <c r="K20" s="78" t="inlineStr">
        <is>
          <t>2026-08-12</t>
        </is>
      </c>
      <c r="L20" s="77" t="n">
        <v>74.45</v>
      </c>
      <c r="M20" s="77">
        <f>IF(OR(N20="WIN", N20="LOSS"), (L20-E20)*D20, 0)</f>
        <v/>
      </c>
      <c r="N20" s="78" t="inlineStr">
        <is>
          <t>LOSS</t>
        </is>
      </c>
      <c r="O20" s="78" t="inlineStr">
        <is>
          <t>AMO Swing Trade. GTT Trigger: 10002 | Auto-synced sell from Zerodha account</t>
        </is>
      </c>
      <c r="P20" s="78" t="inlineStr">
        <is>
          <t>SWING</t>
        </is>
      </c>
      <c r="Q20" s="78" t="n"/>
      <c r="R20" s="78" t="n"/>
      <c r="S20" s="16">
        <f>IF(N20="OPEN", IFERROR(R20/(D20*E20), 0), IF(OR(N20="WIN", N20="LOSS"), IFERROR(M20/(D20*E20), 0), 0))</f>
        <v/>
      </c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8" t="inlineStr">
        <is>
          <t>BEL</t>
        </is>
      </c>
      <c r="B21" s="78" t="inlineStr">
        <is>
          <t>BEL</t>
        </is>
      </c>
      <c r="C21" s="78" t="inlineStr">
        <is>
          <t>2026-08-12</t>
        </is>
      </c>
      <c r="D21" s="78" t="n">
        <v>5</v>
      </c>
      <c r="E21" s="77" t="n">
        <v>405.85</v>
      </c>
      <c r="F21" s="77" t="n">
        <v>401.3500061035156</v>
      </c>
      <c r="G21" s="77" t="n">
        <v>4.499993896484398</v>
      </c>
      <c r="H21" s="77" t="n">
        <v>429.2642865862165</v>
      </c>
      <c r="I21" s="77" t="n">
        <v>387.3928658621652</v>
      </c>
      <c r="J21" s="78" t="inlineStr">
        <is>
          <t>1:1.3</t>
        </is>
      </c>
      <c r="K21" s="78" t="inlineStr">
        <is>
          <t>2026-08-12</t>
        </is>
      </c>
      <c r="L21" s="77" t="n">
        <v>399.4</v>
      </c>
      <c r="M21" s="77">
        <f>IF(OR(N21="WIN", N21="LOSS"), (L21-E21)*D21, 0)</f>
        <v/>
      </c>
      <c r="N21" s="78" t="inlineStr">
        <is>
          <t>LOSS</t>
        </is>
      </c>
      <c r="O21" s="78" t="inlineStr">
        <is>
          <t>Auto-synced from Zerodha account | Auto-synced sell from Zerodha account</t>
        </is>
      </c>
      <c r="P21" s="78" t="inlineStr">
        <is>
          <t>SWING</t>
        </is>
      </c>
      <c r="Q21" s="78" t="n"/>
      <c r="R21" s="78" t="n"/>
      <c r="S21" s="16">
        <f>IF(N21="OPEN", IFERROR(R21/(D21*E21), 0), IF(OR(N21="WIN", N21="LOSS"), IFERROR(M21/(D21*E21), 0), 0))</f>
        <v/>
      </c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2" t="inlineStr">
        <is>
          <t>1:1.8</t>
        </is>
      </c>
      <c r="K22" s="2" t="n"/>
      <c r="L22" s="2" t="n"/>
      <c r="M22" s="7">
        <f>IF(OR(N22="WIN", N22="LOSS"), (L22-E22)*D22,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7" t="n">
        <v>825.5</v>
      </c>
      <c r="R22" s="7" t="n">
        <v>77</v>
      </c>
      <c r="S22" s="16">
        <f>IF(N22="OPEN", IFERROR(R22/(D22*E22), 0), IF(OR(N22="WIN", N22="LOSS"), IFERROR(M22/(D22*E22), 0), 0))</f>
        <v/>
      </c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8" t="inlineStr">
        <is>
          <t>MRPL</t>
        </is>
      </c>
      <c r="B23" s="78" t="inlineStr">
        <is>
          <t>MRPL</t>
        </is>
      </c>
      <c r="C23" s="78" t="inlineStr">
        <is>
          <t>2026-08-13</t>
        </is>
      </c>
      <c r="D23" s="78" t="n">
        <v>10</v>
      </c>
      <c r="E23" s="77" t="n">
        <v>174.7</v>
      </c>
      <c r="F23" s="77" t="n">
        <v>181.14</v>
      </c>
      <c r="G23" s="77" t="n">
        <v>-6.439999999999998</v>
      </c>
      <c r="H23" s="77" t="n">
        <v>213.09</v>
      </c>
      <c r="I23" s="77" t="n">
        <v>165.17</v>
      </c>
      <c r="J23" s="78" t="inlineStr">
        <is>
          <t>1:2.0</t>
        </is>
      </c>
      <c r="K23" s="78" t="inlineStr">
        <is>
          <t>2026-08-20</t>
        </is>
      </c>
      <c r="L23" s="78" t="n">
        <v>165.15</v>
      </c>
      <c r="M23" s="77">
        <f>IF(OR(N23="WIN", N23="LOSS"), (L23-E23)*D23, 0)</f>
        <v/>
      </c>
      <c r="N23" s="78" t="inlineStr">
        <is>
          <t>LOSS</t>
        </is>
      </c>
      <c r="O23" s="78" t="inlineStr">
        <is>
          <t>Auto-added SWING via AI recommendation. SL: 165.17, TP: 213.09 (Orders pending 5:30 AM due to Zerodha AMO maintenance).</t>
        </is>
      </c>
      <c r="P23" s="78" t="inlineStr">
        <is>
          <t>SWING</t>
        </is>
      </c>
      <c r="Q23" s="78" t="n"/>
      <c r="R23" s="78" t="n"/>
      <c r="S23" s="16">
        <f>IF(N23="OPEN", IFERROR(R23/(D23*E23), 0), IF(OR(N23="WIN", N23="LOSS"), IFERROR(M23/(D23*E23), 0), 0))</f>
        <v/>
      </c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5" t="inlineStr">
        <is>
          <t>LENSKART</t>
        </is>
      </c>
      <c r="B24" s="75" t="inlineStr">
        <is>
          <t>LENSKART</t>
        </is>
      </c>
      <c r="C24" s="75" t="inlineStr">
        <is>
          <t>2026-08-13</t>
        </is>
      </c>
      <c r="D24" s="75" t="n">
        <v>4</v>
      </c>
      <c r="E24" s="74" t="n">
        <v>605</v>
      </c>
      <c r="F24" s="74" t="n">
        <v>589.2</v>
      </c>
      <c r="G24" s="74" t="n">
        <v>15.79999999999995</v>
      </c>
      <c r="H24" s="74" t="n">
        <v>646.8099999999999</v>
      </c>
      <c r="I24" s="74" t="n">
        <v>560.39</v>
      </c>
      <c r="J24" s="75" t="inlineStr">
        <is>
          <t>1:2.0</t>
        </is>
      </c>
      <c r="K24" s="75" t="inlineStr">
        <is>
          <t>2026-08-20</t>
        </is>
      </c>
      <c r="L24" s="75" t="n">
        <v>646.8</v>
      </c>
      <c r="M24" s="74">
        <f>IF(OR(N24="WIN", N24="LOSS"), (L24-E24)*D24, 0)</f>
        <v/>
      </c>
      <c r="N24" s="75" t="inlineStr">
        <is>
          <t>WIN</t>
        </is>
      </c>
      <c r="O24" s="75" t="inlineStr">
        <is>
          <t>Auto-added SWING via AI recommendation. SL: 560.39, TP: 646.81 (Orders pending 5:30 AM due to Zerodha AMO maintenance).</t>
        </is>
      </c>
      <c r="P24" s="75" t="inlineStr">
        <is>
          <t>SWING</t>
        </is>
      </c>
      <c r="Q24" s="75" t="n"/>
      <c r="R24" s="75" t="n"/>
      <c r="S24" s="16">
        <f>IF(N24="OPEN", IFERROR(R24/(D24*E24), 0), IF(OR(N24="WIN", N24="LOSS"), IFERROR(M24/(D24*E24), 0), 0))</f>
        <v/>
      </c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OIL</t>
        </is>
      </c>
      <c r="B25" s="2" t="inlineStr">
        <is>
          <t>OIL</t>
        </is>
      </c>
      <c r="C25" s="2" t="inlineStr">
        <is>
          <t>2026-08-13</t>
        </is>
      </c>
      <c r="D25" s="2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2" t="inlineStr">
        <is>
          <t>1:2.0</t>
        </is>
      </c>
      <c r="K25" s="2" t="n"/>
      <c r="L25" s="2" t="n"/>
      <c r="M25" s="7">
        <f>IF(OR(N25="WIN", N25="LOSS"), (L25-E25)*D25, 0)</f>
        <v/>
      </c>
      <c r="N25" s="2" t="inlineStr">
        <is>
          <t>OPEN</t>
        </is>
      </c>
      <c r="O25" s="2" t="inlineStr">
        <is>
          <t>Auto-added SWING via AI recommendation. SL: 442.9, TP: 525.25 (Orders pending 5:30 AM due to Zerodha AMO maintenance).</t>
        </is>
      </c>
      <c r="P25" s="2" t="inlineStr">
        <is>
          <t>SWING</t>
        </is>
      </c>
      <c r="Q25" s="7" t="n">
        <v>475</v>
      </c>
      <c r="R25" s="7" t="n">
        <v>8</v>
      </c>
      <c r="S25" s="16">
        <f>IF(N25="OPEN", IFERROR(R25/(D25*E25), 0), IF(OR(N25="WIN", N25="LOSS"), IFERROR(M25/(D25*E25), 0), 0))</f>
        <v/>
      </c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5" t="inlineStr">
        <is>
          <t>AARTIIND</t>
        </is>
      </c>
      <c r="B26" s="75" t="inlineStr">
        <is>
          <t>AARTIIND</t>
        </is>
      </c>
      <c r="C26" s="75" t="inlineStr">
        <is>
          <t>2026-08-13</t>
        </is>
      </c>
      <c r="D26" s="75" t="n">
        <v>4</v>
      </c>
      <c r="E26" s="74" t="n">
        <v>536</v>
      </c>
      <c r="F26" s="74" t="n">
        <v>532.3</v>
      </c>
      <c r="G26" s="74" t="n">
        <v>3.700000000000045</v>
      </c>
      <c r="H26" s="74" t="n">
        <v>562.65</v>
      </c>
      <c r="I26" s="74" t="n">
        <v>517.1</v>
      </c>
      <c r="J26" s="75" t="inlineStr">
        <is>
          <t>1:2.0</t>
        </is>
      </c>
      <c r="K26" s="75" t="inlineStr">
        <is>
          <t>2026-08-14</t>
        </is>
      </c>
      <c r="L26" s="74" t="n">
        <v>539.25</v>
      </c>
      <c r="M26" s="74">
        <f>IF(OR(N26="WIN", N26="LOSS"), (L26-E26)*D26, 0)</f>
        <v/>
      </c>
      <c r="N26" s="75" t="inlineStr">
        <is>
          <t>WIN</t>
        </is>
      </c>
      <c r="O26" s="75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5" t="inlineStr">
        <is>
          <t>INTRADAY</t>
        </is>
      </c>
      <c r="Q26" s="75" t="n"/>
      <c r="R26" s="75" t="n"/>
      <c r="S26" s="16">
        <f>IF(N26="OPEN", IFERROR(R26/(D26*E26), 0), IF(OR(N26="WIN", N26="LOSS"), IFERROR(M26/(D26*E26), 0), 0))</f>
        <v/>
      </c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8" t="inlineStr">
        <is>
          <t>SCHNEIDER</t>
        </is>
      </c>
      <c r="B27" s="78" t="inlineStr">
        <is>
          <t>SCHNEIDER</t>
        </is>
      </c>
      <c r="C27" s="78" t="inlineStr">
        <is>
          <t>2026-08-13</t>
        </is>
      </c>
      <c r="D27" s="78" t="n">
        <v>2</v>
      </c>
      <c r="E27" s="77" t="n">
        <v>1425</v>
      </c>
      <c r="F27" s="77" t="n">
        <v>1435</v>
      </c>
      <c r="G27" s="77" t="n">
        <v>-10</v>
      </c>
      <c r="H27" s="77" t="n">
        <v>1502.9</v>
      </c>
      <c r="I27" s="77" t="n">
        <v>1401.05</v>
      </c>
      <c r="J27" s="78" t="inlineStr">
        <is>
          <t>1:2.0</t>
        </is>
      </c>
      <c r="K27" s="78" t="inlineStr">
        <is>
          <t>2026-08-14</t>
        </is>
      </c>
      <c r="L27" s="77" t="n">
        <v>1401</v>
      </c>
      <c r="M27" s="77">
        <f>IF(OR(N27="WIN", N27="LOSS"), (L27-E27)*D27, 0)</f>
        <v/>
      </c>
      <c r="N27" s="78" t="inlineStr">
        <is>
          <t>LOSS</t>
        </is>
      </c>
      <c r="O27" s="78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8" t="inlineStr">
        <is>
          <t>INTRADAY</t>
        </is>
      </c>
      <c r="Q27" s="78" t="n"/>
      <c r="R27" s="78" t="n"/>
      <c r="S27" s="16">
        <f>IF(N27="OPEN", IFERROR(R27/(D27*E27), 0), IF(OR(N27="WIN", N27="LOSS"), IFERROR(M27/(D27*E27), 0), 0))</f>
        <v/>
      </c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JAIBALAJI</t>
        </is>
      </c>
      <c r="B28" s="2" t="inlineStr">
        <is>
          <t>Jai Balaji Industries Limited</t>
        </is>
      </c>
      <c r="C28" s="2" t="inlineStr">
        <is>
          <t>2026-08-14</t>
        </is>
      </c>
      <c r="D28" s="2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2" t="inlineStr">
        <is>
          <t>1:2.0</t>
        </is>
      </c>
      <c r="K28" s="2" t="n"/>
      <c r="L28" s="2" t="n"/>
      <c r="M28" s="7">
        <f>IF(OR(N28="WIN", N28="LOSS"), (L28-E28)*D28, 0)</f>
        <v/>
      </c>
      <c r="N28" s="2" t="inlineStr">
        <is>
          <t>OPEN</t>
        </is>
      </c>
      <c r="O28" s="2" t="inlineStr">
        <is>
          <t>Swing trade setup.</t>
        </is>
      </c>
      <c r="P28" s="2" t="inlineStr">
        <is>
          <t>SWING</t>
        </is>
      </c>
      <c r="Q28" s="7" t="n">
        <v>63.56999969482422</v>
      </c>
      <c r="R28" s="7" t="n">
        <v>-42.40000244140629</v>
      </c>
      <c r="S28" s="16">
        <f>IF(N28="OPEN", IFERROR(R28/(D28*E28), 0), IF(OR(N28="WIN", N28="LOSS"), IFERROR(M28/(D28*E28), 0), 0))</f>
        <v/>
      </c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IOLCP</t>
        </is>
      </c>
      <c r="B29" s="2" t="inlineStr">
        <is>
          <t>IOL Chemicals and Pharmaceuticals Limited</t>
        </is>
      </c>
      <c r="C29" s="2" t="inlineStr">
        <is>
          <t>2026-08-14</t>
        </is>
      </c>
      <c r="D29" s="2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2" t="inlineStr">
        <is>
          <t>1:2.0</t>
        </is>
      </c>
      <c r="K29" s="2" t="n"/>
      <c r="L29" s="2" t="n"/>
      <c r="M29" s="7">
        <f>IF(OR(N29="WIN", N29="LOSS"), (L29-E29)*D29, 0)</f>
        <v/>
      </c>
      <c r="N29" s="2" t="inlineStr">
        <is>
          <t>OPEN</t>
        </is>
      </c>
      <c r="O29" s="2" t="inlineStr">
        <is>
          <t>Swing trade setup.</t>
        </is>
      </c>
      <c r="P29" s="2" t="inlineStr">
        <is>
          <t>SWING</t>
        </is>
      </c>
      <c r="Q29" s="7" t="n">
        <v>169.5200042724609</v>
      </c>
      <c r="R29" s="7" t="n">
        <v>35.00004272460927</v>
      </c>
      <c r="S29" s="16">
        <f>IF(N29="OPEN", IFERROR(R29/(D29*E29), 0), IF(OR(N29="WIN", N29="LOSS"), IFERROR(M29/(D29*E29), 0), 0))</f>
        <v/>
      </c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8" t="inlineStr">
        <is>
          <t>BHARATSE</t>
        </is>
      </c>
      <c r="B30" s="78" t="inlineStr">
        <is>
          <t>Bharat Seats Limited</t>
        </is>
      </c>
      <c r="C30" s="78" t="inlineStr">
        <is>
          <t>2026-08-14</t>
        </is>
      </c>
      <c r="D30" s="78" t="n">
        <v>6</v>
      </c>
      <c r="E30" s="77" t="n">
        <v>245.25</v>
      </c>
      <c r="F30" s="77" t="n">
        <v>245.25</v>
      </c>
      <c r="G30" s="77" t="n">
        <v>0</v>
      </c>
      <c r="H30" s="77" t="n">
        <v>297.64</v>
      </c>
      <c r="I30" s="77" t="n">
        <v>219.06</v>
      </c>
      <c r="J30" s="78" t="inlineStr">
        <is>
          <t>1:2.0</t>
        </is>
      </c>
      <c r="K30" s="78" t="inlineStr">
        <is>
          <t>2026-08-21</t>
        </is>
      </c>
      <c r="L30" s="77" t="n">
        <v>230.26</v>
      </c>
      <c r="M30" s="77">
        <f>IF(OR(N30="WIN", N30="LOSS"), (L30-E30)*D30, 0)</f>
        <v/>
      </c>
      <c r="N30" s="78" t="inlineStr">
        <is>
          <t>LOSS</t>
        </is>
      </c>
      <c r="O30" s="78" t="inlineStr">
        <is>
          <t>Swing trade setup. | Sold manually on 2026-08-20</t>
        </is>
      </c>
      <c r="P30" s="78" t="inlineStr">
        <is>
          <t>SWING</t>
        </is>
      </c>
      <c r="Q30" s="78" t="n"/>
      <c r="R30" s="78" t="n"/>
      <c r="S30" s="16">
        <f>IF(N30="OPEN", IFERROR(R30/(D30*E30), 0), IF(OR(N30="WIN", N30="LOSS"), IFERROR(M30/(D30*E30), 0), 0))</f>
        <v/>
      </c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6" t="inlineStr">
        <is>
          <t>HAPPSTMNDS</t>
        </is>
      </c>
      <c r="B31" s="6" t="inlineStr">
        <is>
          <t>Happiest Minds</t>
        </is>
      </c>
      <c r="C31" s="6" t="inlineStr">
        <is>
          <t>2026-08-18</t>
        </is>
      </c>
      <c r="D31" s="6" t="n">
        <v>3</v>
      </c>
      <c r="E31" s="6" t="n">
        <v>426.8</v>
      </c>
      <c r="F31" s="6" t="n">
        <v>426.8</v>
      </c>
      <c r="G31" s="6" t="n">
        <v>0</v>
      </c>
      <c r="H31" s="6" t="n">
        <v>500</v>
      </c>
      <c r="I31" s="6" t="n">
        <v>400</v>
      </c>
      <c r="J31" s="2" t="n"/>
      <c r="K31" s="2" t="n"/>
      <c r="L31" s="2" t="n"/>
      <c r="M31" s="2">
        <f>IF(OR(N31="WIN", N31="LOSS"), (L31-E31)*D31, 0)</f>
        <v/>
      </c>
      <c r="N31" s="6" t="inlineStr">
        <is>
          <t>OPEN</t>
        </is>
      </c>
      <c r="O31" s="2" t="n"/>
      <c r="P31" s="6" t="inlineStr">
        <is>
          <t>SWING</t>
        </is>
      </c>
      <c r="Q31" s="7" t="n">
        <v>444.5499877929688</v>
      </c>
      <c r="R31" s="7" t="n">
        <v>53.24996337890622</v>
      </c>
      <c r="S31" s="16">
        <f>IF(N31="OPEN", IFERROR(R31/(D31*E31), 0), IF(OR(N31="WIN", N31="LOSS"), IFERROR(M31/(D31*E31), 0), 0))</f>
        <v/>
      </c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6" t="inlineStr">
        <is>
          <t>ZEEMEDIA</t>
        </is>
      </c>
      <c r="B32" s="6" t="inlineStr">
        <is>
          <t>Zee Media</t>
        </is>
      </c>
      <c r="C32" s="6" t="inlineStr">
        <is>
          <t>2026-08-18</t>
        </is>
      </c>
      <c r="D32" s="6" t="n">
        <v>150</v>
      </c>
      <c r="E32" s="6" t="n">
        <v>9.699999999999999</v>
      </c>
      <c r="F32" s="6" t="n">
        <v>9.699999999999999</v>
      </c>
      <c r="G32" s="6" t="n">
        <v>0</v>
      </c>
      <c r="H32" s="6" t="n">
        <v>15</v>
      </c>
      <c r="I32" s="6" t="n">
        <v>8</v>
      </c>
      <c r="J32" s="2" t="n"/>
      <c r="K32" s="2" t="n"/>
      <c r="L32" s="2" t="n"/>
      <c r="M32" s="2">
        <f>IF(OR(N32="WIN", N32="LOSS"), (L32-E32)*D32, 0)</f>
        <v/>
      </c>
      <c r="N32" s="6" t="inlineStr">
        <is>
          <t>OPEN</t>
        </is>
      </c>
      <c r="O32" s="2" t="n"/>
      <c r="P32" s="6" t="inlineStr">
        <is>
          <t>SWING</t>
        </is>
      </c>
      <c r="Q32" s="7" t="n">
        <v>9.380000114440918</v>
      </c>
      <c r="R32" s="7" t="n">
        <v>-47.9999828338622</v>
      </c>
      <c r="S32" s="16">
        <f>IF(N32="OPEN", IFERROR(R32/(D32*E32), 0), IF(OR(N32="WIN", N32="LOSS"), IFERROR(M32/(D32*E32), 0), 0))</f>
        <v/>
      </c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83" t="inlineStr">
        <is>
          <t>APEX</t>
        </is>
      </c>
      <c r="B33" s="83" t="inlineStr">
        <is>
          <t>Apex Frozen</t>
        </is>
      </c>
      <c r="C33" s="83" t="inlineStr">
        <is>
          <t>2026-08-18</t>
        </is>
      </c>
      <c r="D33" s="83" t="n">
        <v>3</v>
      </c>
      <c r="E33" s="83" t="n">
        <v>422.55</v>
      </c>
      <c r="F33" s="83" t="n">
        <v>422.55</v>
      </c>
      <c r="G33" s="83" t="n">
        <v>0</v>
      </c>
      <c r="H33" s="83" t="n">
        <v>500</v>
      </c>
      <c r="I33" s="83" t="n">
        <v>400</v>
      </c>
      <c r="J33" s="78" t="n"/>
      <c r="K33" s="78" t="inlineStr">
        <is>
          <t>2026-08-20</t>
        </is>
      </c>
      <c r="L33" s="78" t="n">
        <v>400</v>
      </c>
      <c r="M33" s="78">
        <f>IF(OR(N33="WIN", N33="LOSS"), (L33-E33)*D33, 0)</f>
        <v/>
      </c>
      <c r="N33" s="83" t="inlineStr">
        <is>
          <t>LOSS</t>
        </is>
      </c>
      <c r="O33" s="78" t="n"/>
      <c r="P33" s="83" t="inlineStr">
        <is>
          <t>SWING</t>
        </is>
      </c>
      <c r="Q33" s="78" t="n"/>
      <c r="R33" s="78" t="n"/>
      <c r="S33" s="16">
        <f>IF(N33="OPEN", IFERROR(R33/(D33*E33), 0), IF(OR(N33="WIN", N33="LOSS"), IFERROR(M33/(D33*E33), 0), 0))</f>
        <v/>
      </c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6" t="inlineStr">
        <is>
          <t>GAYAPROJ-BE</t>
        </is>
      </c>
      <c r="B34" s="6" t="inlineStr">
        <is>
          <t>Gayatri Projects</t>
        </is>
      </c>
      <c r="C34" s="6" t="inlineStr">
        <is>
          <t>2026-08-18</t>
        </is>
      </c>
      <c r="D34" s="6" t="n">
        <v>100</v>
      </c>
      <c r="E34" s="6" t="n">
        <v>21.8</v>
      </c>
      <c r="F34" s="6" t="n">
        <v>22.2</v>
      </c>
      <c r="G34" s="6" t="n">
        <v>-0.3999999999999986</v>
      </c>
      <c r="H34" s="6" t="n">
        <v>26.55</v>
      </c>
      <c r="I34" s="6" t="n">
        <v>20</v>
      </c>
      <c r="J34" s="2" t="n"/>
      <c r="K34" s="2" t="n"/>
      <c r="L34" s="2" t="n"/>
      <c r="M34" s="2">
        <f>IF(OR(N34="WIN", N34="LOSS"), (L34-E34)*D34, 0)</f>
        <v/>
      </c>
      <c r="N34" s="6" t="inlineStr">
        <is>
          <t>OPEN</t>
        </is>
      </c>
      <c r="O34" s="2" t="n"/>
      <c r="P34" s="6" t="inlineStr">
        <is>
          <t>SWING</t>
        </is>
      </c>
      <c r="Q34" s="2" t="n"/>
      <c r="R34" s="2" t="n"/>
      <c r="S34" s="16">
        <f>IF(N34="OPEN", IFERROR(R34/(D34*E34), 0), IF(OR(N34="WIN", N34="LOSS"), IFERROR(M34/(D34*E34), 0), 0))</f>
        <v/>
      </c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THELEELA</t>
        </is>
      </c>
      <c r="B35" s="2" t="inlineStr">
        <is>
          <t>THELEELA</t>
        </is>
      </c>
      <c r="C35" s="2" t="inlineStr">
        <is>
          <t>2026-08-20</t>
        </is>
      </c>
      <c r="D35" s="2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2" t="inlineStr">
        <is>
          <t>1:2.5</t>
        </is>
      </c>
      <c r="K35" s="2" t="n"/>
      <c r="L35" s="2" t="n"/>
      <c r="M35" s="7">
        <f>IF(OR(N35="WIN", N35="LOSS"), (L35-E35)*D35, 0)</f>
        <v/>
      </c>
      <c r="N35" s="2" t="inlineStr">
        <is>
          <t>OPEN</t>
        </is>
      </c>
      <c r="O35" s="2" t="inlineStr">
        <is>
          <t>Manual Override (Cash Only Regime). GTT Trigger: UNKNOWN</t>
        </is>
      </c>
      <c r="P35" s="2" t="inlineStr">
        <is>
          <t>SWING</t>
        </is>
      </c>
      <c r="Q35" s="7" t="n">
        <v>561.7000122070312</v>
      </c>
      <c r="R35" s="7" t="n">
        <v>89.60004882812518</v>
      </c>
      <c r="S35" s="16">
        <f>IF(N35="OPEN", IFERROR(R35/(D35*E35), 0), IF(OR(N35="WIN", N35="LOSS"), IFERROR(M35/(D35*E35), 0), 0))</f>
        <v/>
      </c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KFINTECH</t>
        </is>
      </c>
      <c r="B36" s="2" t="inlineStr">
        <is>
          <t>KFin Technologies Limited</t>
        </is>
      </c>
      <c r="C36" s="2" t="inlineStr">
        <is>
          <t>2026-08-21</t>
        </is>
      </c>
      <c r="D36" s="2" t="n">
        <v>2</v>
      </c>
      <c r="E36" s="7" t="n">
        <v>963</v>
      </c>
      <c r="F36" s="7" t="n">
        <v>961</v>
      </c>
      <c r="G36" s="7" t="n">
        <v>0</v>
      </c>
      <c r="H36" s="7" t="n">
        <v>1086.64</v>
      </c>
      <c r="I36" s="7" t="n">
        <v>910.74</v>
      </c>
      <c r="J36" s="2" t="inlineStr">
        <is>
          <t>1:2.5</t>
        </is>
      </c>
      <c r="K36" s="2" t="n"/>
      <c r="L36" s="2" t="n"/>
      <c r="M36" s="7">
        <f>IF(OR(N36="WIN", N36="LOSS"), (L36-E36)*D36, 0)</f>
        <v/>
      </c>
      <c r="N36" s="2" t="inlineStr">
        <is>
          <t>OPEN</t>
        </is>
      </c>
      <c r="O36" s="2" t="inlineStr">
        <is>
          <t>Swing Trade. GTT Trigger: UNKNOWN</t>
        </is>
      </c>
      <c r="P36" s="2" t="inlineStr">
        <is>
          <t>SWING</t>
        </is>
      </c>
      <c r="Q36" s="7" t="n">
        <v>980</v>
      </c>
      <c r="R36" s="7" t="n">
        <v>34</v>
      </c>
      <c r="S36" s="16">
        <f>IF(N36="OPEN", IFERROR(R36/(D36*E36), 0), IF(OR(N36="WIN", N36="LOSS"), IFERROR(M36/(D36*E36), 0), 0))</f>
        <v/>
      </c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BOROLTD</t>
        </is>
      </c>
      <c r="B37" s="2" t="inlineStr">
        <is>
          <t>Borosil Limited</t>
        </is>
      </c>
      <c r="C37" s="2" t="inlineStr">
        <is>
          <t>2026-08-21</t>
        </is>
      </c>
      <c r="D37" s="2" t="n">
        <v>10</v>
      </c>
      <c r="E37" s="7" t="n">
        <v>258</v>
      </c>
      <c r="F37" s="7" t="n">
        <v>248.11</v>
      </c>
      <c r="G37" s="7" t="n">
        <v>0</v>
      </c>
      <c r="H37" s="7" t="n">
        <v>295.15</v>
      </c>
      <c r="I37" s="7" t="n">
        <v>229.3</v>
      </c>
      <c r="J37" s="2" t="inlineStr">
        <is>
          <t>1:2.5</t>
        </is>
      </c>
      <c r="K37" s="2" t="n"/>
      <c r="L37" s="2" t="n"/>
      <c r="M37" s="7">
        <f>IF(OR(N37="WIN", N37="LOSS"), (L37-E37)*D37, 0)</f>
        <v/>
      </c>
      <c r="N37" s="2" t="inlineStr">
        <is>
          <t>OPEN</t>
        </is>
      </c>
      <c r="O37" s="2" t="inlineStr">
        <is>
          <t>AMO Swing Trade</t>
        </is>
      </c>
      <c r="P37" s="2" t="inlineStr">
        <is>
          <t>SWING</t>
        </is>
      </c>
      <c r="Q37" s="7" t="n">
        <v>254.1799926757812</v>
      </c>
      <c r="R37" s="7" t="n">
        <v>-38.2000732421875</v>
      </c>
      <c r="S37" s="16">
        <f>IF(N37="OPEN", IFERROR(R37/(D37*E37), 0), IF(OR(N37="WIN", N37="LOSS"), IFERROR(M37/(D37*E37), 0), 0))</f>
        <v/>
      </c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IF(OR(N53="WIN", N53="LOSS"), (L53-E53)*D53,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IF(OR(N54="WIN", N54="LOSS"), (L54-E54)*D54,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IF(OR(N55="WIN", N55="LOSS"), (L55-E55)*D55,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IF(OR(N56="WIN", N56="LOSS"), (L56-E56)*D56,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IF(OR(N57="WIN", N57="LOSS"), (L57-E57)*D57,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IF(OR(N58="WIN", N58="LOSS"), (L58-E58)*D58,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IF(OR(N59="WIN", N59="LOSS"), (L59-E59)*D59,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IF(OR(N60="WIN", N60="LOSS"), (L60-E60)*D60,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IF(OR(N61="WIN", N61="LOSS"), (L61-E61)*D61,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IF(OR(N62="WIN", N62="LOSS"), (L62-E62)*D62,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IF(OR(N63="WIN", N63="LOSS"), (L63-E63)*D63,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IF(OR(N64="WIN", N64="LOSS"), (L64-E64)*D64,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IF(OR(N65="WIN", N65="LOSS"), (L65-E65)*D65,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IF(OR(N66="WIN", N66="LOSS"), (L66-E66)*D66,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IF(OR(N67="WIN", N67="LOSS"), (L67-E67)*D67,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IF(OR(N68="WIN", N68="LOSS"), (L68-E68)*D68,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IF(OR(N69="WIN", N69="LOSS"), (L69-E69)*D69,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IF(OR(N70="WIN", N70="LOSS"), (L70-E70)*D70,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IF(OR(N71="WIN", N71="LOSS"), (L71-E71)*D71,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IF(OR(N72="WIN", N72="LOSS"), (L72-E72)*D72,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IF(OR(N73="WIN", N73="LOSS"), (L73-E73)*D73,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IF(OR(N74="WIN", N74="LOSS"), (L74-E74)*D74,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IF(OR(N75="WIN", N75="LOSS"), (L75-E75)*D75,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IF(OR(N76="WIN", N76="LOSS"), (L76-E76)*D76,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IF(OR(N77="WIN", N77="LOSS"), (L77-E77)*D77,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IF(OR(N78="WIN", N78="LOSS"), (L78-E78)*D78,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IF(OR(N79="WIN", N79="LOSS"), (L79-E79)*D79,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IF(OR(N80="WIN", N80="LOSS"), (L80-E80)*D80,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IF(OR(N81="WIN", N81="LOSS"), (L81-E81)*D81,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IF(OR(N82="WIN", N82="LOSS"), (L82-E82)*D82,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IF(OR(N83="WIN", N83="LOSS"), (L83-E83)*D83,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IF(OR(N84="WIN", N84="LOSS"), (L84-E84)*D84,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IF(OR(N85="WIN", N85="LOSS"), (L85-E85)*D85,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IF(OR(N86="WIN", N86="LOSS"), (L86-E86)*D86,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IF(OR(N87="WIN", N87="LOSS"), (L87-E87)*D87,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IF(OR(N88="WIN", N88="LOSS"), (L88-E88)*D88,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IF(OR(N89="WIN", N89="LOSS"), (L89-E89)*D89,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IF(OR(N90="WIN", N90="LOSS"), (L90-E90)*D90,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IF(OR(N91="WIN", N91="LOSS"), (L91-E91)*D91,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IF(OR(N92="WIN", N92="LOSS"), (L92-E92)*D92,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IF(OR(N93="WIN", N93="LOSS"), (L93-E93)*D93,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IF(OR(N94="WIN", N94="LOSS"), (L94-E94)*D94,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IF(OR(N95="WIN", N95="LOSS"), (L95-E95)*D95,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IF(OR(N96="WIN", N96="LOSS"), (L96-E96)*D96,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IF(OR(N97="WIN", N97="LOSS"), (L97-E97)*D97,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IF(OR(N98="WIN", N98="LOSS"), (L98-E98)*D98,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IF(OR(N99="WIN", N99="LOSS"), (L99-E99)*D99,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IF(OR(N100="WIN", N100="LOSS"), (L100-E100)*D100,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IF(OR(N101="WIN", N101="LOSS"), (L101-E101)*D101,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IF(OR(N102="WIN", N102="LOSS"), (L102-E102)*D102,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IF(OR(N103="WIN", N103="LOSS"), (L103-E103)*D103,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IF(OR(N104="WIN", N104="LOSS"), (L104-E104)*D104,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IF(OR(N105="WIN", N105="LOSS"), (L105-E105)*D105,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IF(OR(N106="WIN", N106="LOSS"), (L106-E106)*D106,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IF(OR(N107="WIN", N107="LOSS"), (L107-E107)*D107,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IF(OR(N108="WIN", N108="LOSS"), (L108-E108)*D108,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IF(OR(N109="WIN", N109="LOSS"), (L109-E109)*D109,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IF(OR(N110="WIN", N110="LOSS"), (L110-E110)*D110,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IF(OR(N111="WIN", N111="LOSS"), (L111-E111)*D111,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IF(OR(N112="WIN", N112="LOSS"), (L112-E112)*D112,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IF(OR(N113="WIN", N113="LOSS"), (L113-E113)*D113,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IF(OR(N114="WIN", N114="LOSS"), (L114-E114)*D114,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IF(OR(N115="WIN", N115="LOSS"), (L115-E115)*D115,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IF(OR(N116="WIN", N116="LOSS"), (L116-E116)*D116,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IF(OR(N117="WIN", N117="LOSS"), (L117-E117)*D117,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IF(OR(N118="WIN", N118="LOSS"), (L118-E118)*D118,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IF(OR(N119="WIN", N119="LOSS"), (L119-E119)*D119,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IF(OR(N120="WIN", N120="LOSS"), (L120-E120)*D120,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IF(OR(N121="WIN", N121="LOSS"), (L121-E121)*D121,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IF(OR(N122="WIN", N122="LOSS"), (L122-E122)*D122,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IF(OR(N123="WIN", N123="LOSS"), (L123-E123)*D123,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IF(OR(N124="WIN", N124="LOSS"), (L124-E124)*D124,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IF(OR(N125="WIN", N125="LOSS"), (L125-E125)*D125,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IF(OR(N126="WIN", N126="LOSS"), (L126-E126)*D126,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IF(OR(N127="WIN", N127="LOSS"), (L127-E127)*D127,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IF(OR(N128="WIN", N128="LOSS"), (L128-E128)*D128,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IF(OR(N129="WIN", N129="LOSS"), (L129-E129)*D129,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IF(OR(N130="WIN", N130="LOSS"), (L130-E130)*D130,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IF(OR(N131="WIN", N131="LOSS"), (L131-E131)*D131,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IF(OR(N132="WIN", N132="LOSS"), (L132-E132)*D132,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IF(OR(N133="WIN", N133="LOSS"), (L133-E133)*D133,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IF(OR(N134="WIN", N134="LOSS"), (L134-E134)*D134,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IF(OR(N135="WIN", N135="LOSS"), (L135-E135)*D135,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IF(OR(N136="WIN", N136="LOSS"), (L136-E136)*D136,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IF(OR(N137="WIN", N137="LOSS"), (L137-E137)*D137,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IF(OR(N138="WIN", N138="LOSS"), (L138-E138)*D138,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IF(OR(N139="WIN", N139="LOSS"), (L139-E139)*D139,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IF(OR(N140="WIN", N140="LOSS"), (L140-E140)*D140,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IF(OR(N141="WIN", N141="LOSS"), (L141-E141)*D141,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IF(OR(N142="WIN", N142="LOSS"), (L142-E142)*D142,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IF(OR(N143="WIN", N143="LOSS"), (L143-E143)*D143,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IF(OR(N144="WIN", N144="LOSS"), (L144-E144)*D144,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IF(OR(N145="WIN", N145="LOSS"), (L145-E145)*D145,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IF(OR(N146="WIN", N146="LOSS"), (L146-E146)*D146,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IF(OR(N147="WIN", N147="LOSS"), (L147-E147)*D147,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IF(OR(N148="WIN", N148="LOSS"), (L148-E148)*D148,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IF(OR(N149="WIN", N149="LOSS"), (L149-E149)*D149,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IF(OR(N150="WIN", N150="LOSS"), (L150-E150)*D150,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IF(OR(N151="WIN", N151="LOSS"), (L151-E151)*D151,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IF(OR(N152="WIN", N152="LOSS"), (L152-E152)*D152,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IF(OR(N153="WIN", N153="LOSS"), (L153-E153)*D153,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IF(OR(N154="WIN", N154="LOSS"), (L154-E154)*D154,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IF(OR(N155="WIN", N155="LOSS"), (L155-E155)*D155,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IF(OR(N156="WIN", N156="LOSS"), (L156-E156)*D156,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IF(OR(N157="WIN", N157="LOSS"), (L157-E157)*D157,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IF(OR(N158="WIN", N158="LOSS"), (L158-E158)*D158,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IF(OR(N159="WIN", N159="LOSS"), (L159-E159)*D159,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IF(OR(N160="WIN", N160="LOSS"), (L160-E160)*D160,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IF(OR(N161="WIN", N161="LOSS"), (L161-E161)*D161,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IF(OR(N162="WIN", N162="LOSS"), (L162-E162)*D162,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IF(OR(N163="WIN", N163="LOSS"), (L163-E163)*D163,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IF(OR(N164="WIN", N164="LOSS"), (L164-E164)*D164,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IF(OR(N165="WIN", N165="LOSS"), (L165-E165)*D165,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IF(OR(N166="WIN", N166="LOSS"), (L166-E166)*D166,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IF(OR(N167="WIN", N167="LOSS"), (L167-E167)*D167,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IF(OR(N168="WIN", N168="LOSS"), (L168-E168)*D168,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IF(OR(N169="WIN", N169="LOSS"), (L169-E169)*D169,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IF(OR(N170="WIN", N170="LOSS"), (L170-E170)*D170,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IF(OR(N171="WIN", N171="LOSS"), (L171-E171)*D171,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IF(OR(N172="WIN", N172="LOSS"), (L172-E172)*D172,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IF(OR(N173="WIN", N173="LOSS"), (L173-E173)*D173,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IF(OR(N174="WIN", N174="LOSS"), (L174-E174)*D174,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IF(OR(N175="WIN", N175="LOSS"), (L175-E175)*D175,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IF(OR(N176="WIN", N176="LOSS"), (L176-E176)*D176,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IF(OR(N177="WIN", N177="LOSS"), (L177-E177)*D177,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IF(OR(N178="WIN", N178="LOSS"), (L178-E178)*D178,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IF(OR(N179="WIN", N179="LOSS"), (L179-E179)*D179,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IF(OR(N180="WIN", N180="LOSS"), (L180-E180)*D180,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IF(OR(N181="WIN", N181="LOSS"), (L181-E181)*D181,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IF(OR(N182="WIN", N182="LOSS"), (L182-E182)*D182,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IF(OR(N183="WIN", N183="LOSS"), (L183-E183)*D183,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IF(OR(N184="WIN", N184="LOSS"), (L184-E184)*D184,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IF(OR(N185="WIN", N185="LOSS"), (L185-E185)*D185,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IF(OR(N186="WIN", N186="LOSS"), (L186-E186)*D186,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IF(OR(N187="WIN", N187="LOSS"), (L187-E187)*D187,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IF(OR(N188="WIN", N188="LOSS"), (L188-E188)*D188,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IF(OR(N189="WIN", N189="LOSS"), (L189-E189)*D189,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IF(OR(N190="WIN", N190="LOSS"), (L190-E190)*D190,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IF(OR(N191="WIN", N191="LOSS"), (L191-E191)*D191,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IF(OR(N192="WIN", N192="LOSS"), (L192-E192)*D192,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IF(OR(N193="WIN", N193="LOSS"), (L193-E193)*D193,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IF(OR(N194="WIN", N194="LOSS"), (L194-E194)*D194,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IF(OR(N195="WIN", N195="LOSS"), (L195-E195)*D195,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IF(OR(N196="WIN", N196="LOSS"), (L196-E196)*D196,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IF(OR(N197="WIN", N197="LOSS"), (L197-E197)*D197,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IF(OR(N198="WIN", N198="LOSS"), (L198-E198)*D198,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IF(OR(N199="WIN", N199="LOSS"), (L199-E199)*D199,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IF(OR(N200="WIN", N200="LOSS"), (L200-E200)*D200,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IF(OR(N201="WIN", N201="LOSS"), (L201-E201)*D201,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IF(OR(N202="WIN", N202="LOSS"), (L202-E202)*D202,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IF(OR(N203="WIN", N203="LOSS"), (L203-E203)*D203,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IF(OR(N204="WIN", N204="LOSS"), (L204-E204)*D204,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IF(OR(N205="WIN", N205="LOSS"), (L205-E205)*D205,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IF(OR(N206="WIN", N206="LOSS"), (L206-E206)*D206,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IF(OR(N207="WIN", N207="LOSS"), (L207-E207)*D207,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IF(OR(N208="WIN", N208="LOSS"), (L208-E208)*D208,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IF(OR(N209="WIN", N209="LOSS"), (L209-E209)*D209,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IF(OR(N210="WIN", N210="LOSS"), (L210-E210)*D210,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IF(OR(N211="WIN", N211="LOSS"), (L211-E211)*D211,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IF(OR(N212="WIN", N212="LOSS"), (L212-E212)*D212,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IF(OR(N213="WIN", N213="LOSS"), (L213-E213)*D213,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IF(OR(N214="WIN", N214="LOSS"), (L214-E214)*D214,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IF(OR(N215="WIN", N215="LOSS"), (L215-E215)*D215,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IF(OR(N216="WIN", N216="LOSS"), (L216-E216)*D216,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IF(OR(N217="WIN", N217="LOSS"), (L217-E217)*D217,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IF(OR(N218="WIN", N218="LOSS"), (L218-E218)*D218,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IF(OR(N219="WIN", N219="LOSS"), (L219-E219)*D219,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IF(OR(N220="WIN", N220="LOSS"), (L220-E220)*D220,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IF(OR(N221="WIN", N221="LOSS"), (L221-E221)*D221,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IF(OR(N222="WIN", N222="LOSS"), (L222-E222)*D222,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IF(OR(N223="WIN", N223="LOSS"), (L223-E223)*D223,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IF(OR(N224="WIN", N224="LOSS"), (L224-E224)*D224,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IF(OR(N225="WIN", N225="LOSS"), (L225-E225)*D225,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IF(OR(N226="WIN", N226="LOSS"), (L226-E226)*D226,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IF(OR(N227="WIN", N227="LOSS"), (L227-E227)*D227,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IF(OR(N228="WIN", N228="LOSS"), (L228-E228)*D228,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IF(OR(N229="WIN", N229="LOSS"), (L229-E229)*D229,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IF(OR(N230="WIN", N230="LOSS"), (L230-E230)*D230,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IF(OR(N231="WIN", N231="LOSS"), (L231-E231)*D231,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IF(OR(N232="WIN", N232="LOSS"), (L232-E232)*D232,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IF(OR(N233="WIN", N233="LOSS"), (L233-E233)*D233,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IF(OR(N234="WIN", N234="LOSS"), (L234-E234)*D234,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IF(OR(N235="WIN", N235="LOSS"), (L235-E235)*D235,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IF(OR(N236="WIN", N236="LOSS"), (L236-E236)*D236,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IF(OR(N237="WIN", N237="LOSS"), (L237-E237)*D237,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IF(OR(N238="WIN", N238="LOSS"), (L238-E238)*D238,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IF(OR(N239="WIN", N239="LOSS"), (L239-E239)*D239,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IF(OR(N240="WIN", N240="LOSS"), (L240-E240)*D240,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IF(OR(N241="WIN", N241="LOSS"), (L241-E241)*D241,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IF(OR(N242="WIN", N242="LOSS"), (L242-E242)*D242,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IF(OR(N243="WIN", N243="LOSS"), (L243-E243)*D243,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IF(OR(N244="WIN", N244="LOSS"), (L244-E244)*D244,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IF(OR(N245="WIN", N245="LOSS"), (L245-E245)*D245,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IF(OR(N246="WIN", N246="LOSS"), (L246-E246)*D246,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IF(OR(N247="WIN", N247="LOSS"), (L247-E247)*D247,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IF(OR(N248="WIN", N248="LOSS"), (L248-E248)*D248,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IF(OR(N249="WIN", N249="LOSS"), (L249-E249)*D249,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IF(OR(N250="WIN", N250="LOSS"), (L250-E250)*D250,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IF(OR(N251="WIN", N251="LOSS"), (L251-E251)*D251,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IF(OR(N252="WIN", N252="LOSS"), (L252-E252)*D252,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IF(OR(N253="WIN", N253="LOSS"), (L253-E253)*D253,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IF(OR(N254="WIN", N254="LOSS"), (L254-E254)*D254,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IF(OR(N255="WIN", N255="LOSS"), (L255-E255)*D255,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IF(OR(N256="WIN", N256="LOSS"), (L256-E256)*D256,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IF(OR(N257="WIN", N257="LOSS"), (L257-E257)*D257,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IF(OR(N258="WIN", N258="LOSS"), (L258-E258)*D258,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IF(OR(N259="WIN", N259="LOSS"), (L259-E259)*D259,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IF(OR(N260="WIN", N260="LOSS"), (L260-E260)*D260,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IF(OR(N261="WIN", N261="LOSS"), (L261-E261)*D261,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IF(OR(N262="WIN", N262="LOSS"), (L262-E262)*D262,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IF(OR(N263="WIN", N263="LOSS"), (L263-E263)*D263,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IF(OR(N264="WIN", N264="LOSS"), (L264-E264)*D264,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IF(OR(N265="WIN", N265="LOSS"), (L265-E265)*D265,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IF(OR(N266="WIN", N266="LOSS"), (L266-E266)*D266,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IF(OR(N267="WIN", N267="LOSS"), (L267-E267)*D267,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IF(OR(N268="WIN", N268="LOSS"), (L268-E268)*D268,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IF(OR(N269="WIN", N269="LOSS"), (L269-E269)*D269,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IF(OR(N270="WIN", N270="LOSS"), (L270-E270)*D270,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IF(OR(N271="WIN", N271="LOSS"), (L271-E271)*D271,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IF(OR(N272="WIN", N272="LOSS"), (L272-E272)*D272,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IF(OR(N273="WIN", N273="LOSS"), (L273-E273)*D273,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IF(OR(N274="WIN", N274="LOSS"), (L274-E274)*D274,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IF(OR(N275="WIN", N275="LOSS"), (L275-E275)*D275,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IF(OR(N276="WIN", N276="LOSS"), (L276-E276)*D276,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IF(OR(N277="WIN", N277="LOSS"), (L277-E277)*D277,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IF(OR(N278="WIN", N278="LOSS"), (L278-E278)*D278,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IF(OR(N279="WIN", N279="LOSS"), (L279-E279)*D279,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IF(OR(N280="WIN", N280="LOSS"), (L280-E280)*D280,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IF(OR(N281="WIN", N281="LOSS"), (L281-E281)*D281,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IF(OR(N282="WIN", N282="LOSS"), (L282-E282)*D282,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IF(OR(N283="WIN", N283="LOSS"), (L283-E283)*D283,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IF(OR(N284="WIN", N284="LOSS"), (L284-E284)*D284,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IF(OR(N285="WIN", N285="LOSS"), (L285-E285)*D285,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IF(OR(N286="WIN", N286="LOSS"), (L286-E286)*D286,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IF(OR(N287="WIN", N287="LOSS"), (L287-E287)*D287,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IF(OR(N288="WIN", N288="LOSS"), (L288-E288)*D288,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IF(OR(N289="WIN", N289="LOSS"), (L289-E289)*D289,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IF(OR(N290="WIN", N290="LOSS"), (L290-E290)*D290,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IF(OR(N291="WIN", N291="LOSS"), (L291-E291)*D291,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IF(OR(N292="WIN", N292="LOSS"), (L292-E292)*D292,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IF(OR(N293="WIN", N293="LOSS"), (L293-E293)*D293,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IF(OR(N294="WIN", N294="LOSS"), (L294-E294)*D294,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IF(OR(N295="WIN", N295="LOSS"), (L295-E295)*D295,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IF(OR(N296="WIN", N296="LOSS"), (L296-E296)*D296,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IF(OR(N297="WIN", N297="LOSS"), (L297-E297)*D297,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IF(OR(N298="WIN", N298="LOSS"), (L298-E298)*D298,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IF(OR(N299="WIN", N299="LOSS"), (L299-E299)*D299,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IF(OR(N300="WIN", N300="LOSS"), (L300-E300)*D300,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IF(OR(N301="WIN", N301="LOSS"), (L301-E301)*D301,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IF(OR(N302="WIN", N302="LOSS"), (L302-E302)*D302,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IF(OR(N303="WIN", N303="LOSS"), (L303-E303)*D303,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IF(OR(N304="WIN", N304="LOSS"), (L304-E304)*D304,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IF(OR(N305="WIN", N305="LOSS"), (L305-E305)*D305,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IF(OR(N306="WIN", N306="LOSS"), (L306-E306)*D306,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IF(OR(N307="WIN", N307="LOSS"), (L307-E307)*D307,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IF(OR(N308="WIN", N308="LOSS"), (L308-E308)*D308,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IF(OR(N309="WIN", N309="LOSS"), (L309-E309)*D309,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IF(OR(N310="WIN", N310="LOSS"), (L310-E310)*D310,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IF(OR(N311="WIN", N311="LOSS"), (L311-E311)*D311,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IF(OR(N312="WIN", N312="LOSS"), (L312-E312)*D312,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IF(OR(N313="WIN", N313="LOSS"), (L313-E313)*D313,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IF(OR(N314="WIN", N314="LOSS"), (L314-E314)*D314,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IF(OR(N315="WIN", N315="LOSS"), (L315-E315)*D315,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IF(OR(N316="WIN", N316="LOSS"), (L316-E316)*D316,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IF(OR(N317="WIN", N317="LOSS"), (L317-E317)*D317,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IF(OR(N318="WIN", N318="LOSS"), (L318-E318)*D318,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IF(OR(N319="WIN", N319="LOSS"), (L319-E319)*D319,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IF(OR(N320="WIN", N320="LOSS"), (L320-E320)*D320,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IF(OR(N321="WIN", N321="LOSS"), (L321-E321)*D321,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IF(OR(N322="WIN", N322="LOSS"), (L322-E322)*D322,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IF(OR(N323="WIN", N323="LOSS"), (L323-E323)*D323,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IF(OR(N324="WIN", N324="LOSS"), (L324-E324)*D324,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IF(OR(N325="WIN", N325="LOSS"), (L325-E325)*D325,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IF(OR(N326="WIN", N326="LOSS"), (L326-E326)*D326,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IF(OR(N327="WIN", N327="LOSS"), (L327-E327)*D327,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IF(OR(N328="WIN", N328="LOSS"), (L328-E328)*D328,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IF(OR(N329="WIN", N329="LOSS"), (L329-E329)*D329,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IF(OR(N330="WIN", N330="LOSS"), (L330-E330)*D330,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IF(OR(N331="WIN", N331="LOSS"), (L331-E331)*D331,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IF(OR(N332="WIN", N332="LOSS"), (L332-E332)*D332,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IF(OR(N333="WIN", N333="LOSS"), (L333-E333)*D333,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IF(OR(N334="WIN", N334="LOSS"), (L334-E334)*D334,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IF(OR(N335="WIN", N335="LOSS"), (L335-E335)*D335,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IF(OR(N336="WIN", N336="LOSS"), (L336-E336)*D336,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IF(OR(N337="WIN", N337="LOSS"), (L337-E337)*D337,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IF(OR(N338="WIN", N338="LOSS"), (L338-E338)*D338,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IF(OR(N339="WIN", N339="LOSS"), (L339-E339)*D339,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IF(OR(N340="WIN", N340="LOSS"), (L340-E340)*D340,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IF(OR(N341="WIN", N341="LOSS"), (L341-E341)*D341,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IF(OR(N342="WIN", N342="LOSS"), (L342-E342)*D342,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IF(OR(N343="WIN", N343="LOSS"), (L343-E343)*D343,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IF(OR(N344="WIN", N344="LOSS"), (L344-E344)*D344,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IF(OR(N345="WIN", N345="LOSS"), (L345-E345)*D345,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IF(OR(N346="WIN", N346="LOSS"), (L346-E346)*D346,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IF(OR(N347="WIN", N347="LOSS"), (L347-E347)*D347,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IF(OR(N348="WIN", N348="LOSS"), (L348-E348)*D348,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IF(OR(N349="WIN", N349="LOSS"), (L349-E349)*D349,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IF(OR(N350="WIN", N350="LOSS"), (L350-E350)*D350,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IF(OR(N351="WIN", N351="LOSS"), (L351-E351)*D351,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IF(OR(N352="WIN", N352="LOSS"), (L352-E352)*D352,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IF(OR(N353="WIN", N353="LOSS"), (L353-E353)*D353,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IF(OR(N354="WIN", N354="LOSS"), (L354-E354)*D354,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IF(OR(N355="WIN", N355="LOSS"), (L355-E355)*D355,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IF(OR(N356="WIN", N356="LOSS"), (L356-E356)*D356,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IF(OR(N357="WIN", N357="LOSS"), (L357-E357)*D357,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IF(OR(N358="WIN", N358="LOSS"), (L358-E358)*D358,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IF(OR(N359="WIN", N359="LOSS"), (L359-E359)*D359,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IF(OR(N360="WIN", N360="LOSS"), (L360-E360)*D360,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IF(OR(N361="WIN", N361="LOSS"), (L361-E361)*D361,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IF(OR(N362="WIN", N362="LOSS"), (L362-E362)*D362,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IF(OR(N363="WIN", N363="LOSS"), (L363-E363)*D363,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IF(OR(N364="WIN", N364="LOSS"), (L364-E364)*D364,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IF(OR(N365="WIN", N365="LOSS"), (L365-E365)*D365,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IF(OR(N366="WIN", N366="LOSS"), (L366-E366)*D366,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IF(OR(N367="WIN", N367="LOSS"), (L367-E367)*D367,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IF(OR(N368="WIN", N368="LOSS"), (L368-E368)*D368,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IF(OR(N369="WIN", N369="LOSS"), (L369-E369)*D369,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IF(OR(N370="WIN", N370="LOSS"), (L370-E370)*D370,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IF(OR(N371="WIN", N371="LOSS"), (L371-E371)*D371,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IF(OR(N372="WIN", N372="LOSS"), (L372-E372)*D372,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IF(OR(N373="WIN", N373="LOSS"), (L373-E373)*D373,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IF(OR(N374="WIN", N374="LOSS"), (L374-E374)*D374,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IF(OR(N375="WIN", N375="LOSS"), (L375-E375)*D375,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IF(OR(N376="WIN", N376="LOSS"), (L376-E376)*D376,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IF(OR(N377="WIN", N377="LOSS"), (L377-E377)*D377,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IF(OR(N378="WIN", N378="LOSS"), (L378-E378)*D378,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IF(OR(N379="WIN", N379="LOSS"), (L379-E379)*D379,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IF(OR(N380="WIN", N380="LOSS"), (L380-E380)*D380,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IF(OR(N381="WIN", N381="LOSS"), (L381-E381)*D381,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IF(OR(N382="WIN", N382="LOSS"), (L382-E382)*D382,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IF(OR(N383="WIN", N383="LOSS"), (L383-E383)*D383,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IF(OR(N384="WIN", N384="LOSS"), (L384-E384)*D384,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IF(OR(N385="WIN", N385="LOSS"), (L385-E385)*D385,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IF(OR(N386="WIN", N386="LOSS"), (L386-E386)*D386,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IF(OR(N387="WIN", N387="LOSS"), (L387-E387)*D387,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IF(OR(N388="WIN", N388="LOSS"), (L388-E388)*D388,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IF(OR(N389="WIN", N389="LOSS"), (L389-E389)*D389,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IF(OR(N390="WIN", N390="LOSS"), (L390-E390)*D390,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IF(OR(N391="WIN", N391="LOSS"), (L391-E391)*D391,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IF(OR(N392="WIN", N392="LOSS"), (L392-E392)*D392,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IF(OR(N393="WIN", N393="LOSS"), (L393-E393)*D393,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IF(OR(N394="WIN", N394="LOSS"), (L394-E394)*D394,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IF(OR(N395="WIN", N395="LOSS"), (L395-E395)*D395,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IF(OR(N396="WIN", N396="LOSS"), (L396-E396)*D396,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IF(OR(N397="WIN", N397="LOSS"), (L397-E397)*D397,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IF(OR(N398="WIN", N398="LOSS"), (L398-E398)*D398,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IF(OR(N399="WIN", N399="LOSS"), (L399-E399)*D399,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IF(OR(N400="WIN", N400="LOSS"), (L400-E400)*D400,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IF(OR(N401="WIN", N401="LOSS"), (L401-E401)*D401,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IF(OR(N402="WIN", N402="LOSS"), (L402-E402)*D402,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IF(OR(N403="WIN", N403="LOSS"), (L403-E403)*D403,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IF(OR(N404="WIN", N404="LOSS"), (L404-E404)*D404,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IF(OR(N405="WIN", N405="LOSS"), (L405-E405)*D405,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IF(OR(N406="WIN", N406="LOSS"), (L406-E406)*D406,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IF(OR(N407="WIN", N407="LOSS"), (L407-E407)*D407,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IF(OR(N408="WIN", N408="LOSS"), (L408-E408)*D408,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IF(OR(N409="WIN", N409="LOSS"), (L409-E409)*D409,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IF(OR(N410="WIN", N410="LOSS"), (L410-E410)*D410,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IF(OR(N411="WIN", N411="LOSS"), (L411-E411)*D411,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IF(OR(N412="WIN", N412="LOSS"), (L412-E412)*D412,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IF(OR(N413="WIN", N413="LOSS"), (L413-E413)*D413,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IF(OR(N414="WIN", N414="LOSS"), (L414-E414)*D414,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IF(OR(N415="WIN", N415="LOSS"), (L415-E415)*D415,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IF(OR(N416="WIN", N416="LOSS"), (L416-E416)*D416,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IF(OR(N417="WIN", N417="LOSS"), (L417-E417)*D417,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IF(OR(N418="WIN", N418="LOSS"), (L418-E418)*D418,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IF(OR(N419="WIN", N419="LOSS"), (L419-E419)*D419,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IF(OR(N420="WIN", N420="LOSS"), (L420-E420)*D420,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IF(OR(N421="WIN", N421="LOSS"), (L421-E421)*D421,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IF(OR(N422="WIN", N422="LOSS"), (L422-E422)*D422,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IF(OR(N423="WIN", N423="LOSS"), (L423-E423)*D423,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IF(OR(N424="WIN", N424="LOSS"), (L424-E424)*D424,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IF(OR(N425="WIN", N425="LOSS"), (L425-E425)*D425,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IF(OR(N426="WIN", N426="LOSS"), (L426-E426)*D426,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IF(OR(N427="WIN", N427="LOSS"), (L427-E427)*D427,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IF(OR(N428="WIN", N428="LOSS"), (L428-E428)*D428,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IF(OR(N429="WIN", N429="LOSS"), (L429-E429)*D429,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IF(OR(N430="WIN", N430="LOSS"), (L430-E430)*D430,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IF(OR(N431="WIN", N431="LOSS"), (L431-E431)*D431,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IF(OR(N432="WIN", N432="LOSS"), (L432-E432)*D432,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IF(OR(N433="WIN", N433="LOSS"), (L433-E433)*D433,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IF(OR(N434="WIN", N434="LOSS"), (L434-E434)*D434,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IF(OR(N435="WIN", N435="LOSS"), (L435-E435)*D435,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IF(OR(N436="WIN", N436="LOSS"), (L436-E436)*D436,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IF(OR(N437="WIN", N437="LOSS"), (L437-E437)*D437,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IF(OR(N438="WIN", N438="LOSS"), (L438-E438)*D438,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IF(OR(N439="WIN", N439="LOSS"), (L439-E439)*D439,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IF(OR(N440="WIN", N440="LOSS"), (L440-E440)*D440,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IF(OR(N441="WIN", N441="LOSS"), (L441-E441)*D441,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IF(OR(N442="WIN", N442="LOSS"), (L442-E442)*D442,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IF(OR(N443="WIN", N443="LOSS"), (L443-E443)*D443,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IF(OR(N444="WIN", N444="LOSS"), (L444-E444)*D444,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IF(OR(N445="WIN", N445="LOSS"), (L445-E445)*D445,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IF(OR(N446="WIN", N446="LOSS"), (L446-E446)*D446,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IF(OR(N447="WIN", N447="LOSS"), (L447-E447)*D447,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IF(OR(N448="WIN", N448="LOSS"), (L448-E448)*D448,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IF(OR(N449="WIN", N449="LOSS"), (L449-E449)*D449,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IF(OR(N450="WIN", N450="LOSS"), (L450-E450)*D450,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IF(OR(N451="WIN", N451="LOSS"), (L451-E451)*D451,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IF(OR(N452="WIN", N452="LOSS"), (L452-E452)*D452,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IF(OR(N453="WIN", N453="LOSS"), (L453-E453)*D453,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IF(OR(N454="WIN", N454="LOSS"), (L454-E454)*D454,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IF(OR(N455="WIN", N455="LOSS"), (L455-E455)*D455,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IF(OR(N456="WIN", N456="LOSS"), (L456-E456)*D456,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IF(OR(N457="WIN", N457="LOSS"), (L457-E457)*D457,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IF(OR(N458="WIN", N458="LOSS"), (L458-E458)*D458,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IF(OR(N459="WIN", N459="LOSS"), (L459-E459)*D459,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IF(OR(N460="WIN", N460="LOSS"), (L460-E460)*D460,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IF(OR(N461="WIN", N461="LOSS"), (L461-E461)*D461,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IF(OR(N462="WIN", N462="LOSS"), (L462-E462)*D462,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IF(OR(N463="WIN", N463="LOSS"), (L463-E463)*D463,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IF(OR(N464="WIN", N464="LOSS"), (L464-E464)*D464,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IF(OR(N465="WIN", N465="LOSS"), (L465-E465)*D465,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IF(OR(N466="WIN", N466="LOSS"), (L466-E466)*D466,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IF(OR(N467="WIN", N467="LOSS"), (L467-E467)*D467,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IF(OR(N468="WIN", N468="LOSS"), (L468-E468)*D468,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IF(OR(N469="WIN", N469="LOSS"), (L469-E469)*D469,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IF(OR(N470="WIN", N470="LOSS"), (L470-E470)*D470,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IF(OR(N471="WIN", N471="LOSS"), (L471-E471)*D471,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IF(OR(N472="WIN", N472="LOSS"), (L472-E472)*D472,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IF(OR(N473="WIN", N473="LOSS"), (L473-E473)*D473,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IF(OR(N474="WIN", N474="LOSS"), (L474-E474)*D474,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IF(OR(N475="WIN", N475="LOSS"), (L475-E475)*D475,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IF(OR(N476="WIN", N476="LOSS"), (L476-E476)*D476,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IF(OR(N477="WIN", N477="LOSS"), (L477-E477)*D477,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IF(OR(N478="WIN", N478="LOSS"), (L478-E478)*D478,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IF(OR(N479="WIN", N479="LOSS"), (L479-E479)*D479,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IF(OR(N480="WIN", N480="LOSS"), (L480-E480)*D480,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IF(OR(N481="WIN", N481="LOSS"), (L481-E481)*D481,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IF(OR(N482="WIN", N482="LOSS"), (L482-E482)*D482,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IF(OR(N483="WIN", N483="LOSS"), (L483-E483)*D483,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IF(OR(N484="WIN", N484="LOSS"), (L484-E484)*D484,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IF(OR(N485="WIN", N485="LOSS"), (L485-E485)*D485,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IF(OR(N486="WIN", N486="LOSS"), (L486-E486)*D486,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IF(OR(N487="WIN", N487="LOSS"), (L487-E487)*D487,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IF(OR(N488="WIN", N488="LOSS"), (L488-E488)*D488,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IF(OR(N489="WIN", N489="LOSS"), (L489-E489)*D489,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IF(OR(N490="WIN", N490="LOSS"), (L490-E490)*D490,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IF(OR(N491="WIN", N491="LOSS"), (L491-E491)*D491,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IF(OR(N492="WIN", N492="LOSS"), (L492-E492)*D492,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IF(OR(N493="WIN", N493="LOSS"), (L493-E493)*D493,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IF(OR(N494="WIN", N494="LOSS"), (L494-E494)*D494,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IF(OR(N495="WIN", N495="LOSS"), (L495-E495)*D495,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IF(OR(N496="WIN", N496="LOSS"), (L496-E496)*D496,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IF(OR(N497="WIN", N497="LOSS"), (L497-E497)*D497,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IF(OR(N498="WIN", N498="LOSS"), (L498-E498)*D498,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IF(OR(N499="WIN", N499="LOSS"), (L499-E499)*D499,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IF(OR(N500="WIN", N500="LOSS"), (L500-E500)*D500,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</t>
        </is>
      </c>
      <c r="B2" s="6" t="inlineStr">
        <is>
          <t>JSWSTEEL</t>
        </is>
      </c>
      <c r="C2" s="6" t="inlineStr">
        <is>
          <t>JSW Steel Limited</t>
        </is>
      </c>
      <c r="D2" s="6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6" t="inlineStr">
        <is>
          <t>1:2.0</t>
        </is>
      </c>
      <c r="I2" s="6" t="n">
        <v>1</v>
      </c>
      <c r="J2" s="7" t="n">
        <v>1267.400024414062</v>
      </c>
      <c r="K2" s="6" t="inlineStr">
        <is>
          <t>SKIPPED_BEARISH_REGIME</t>
        </is>
      </c>
      <c r="L2" s="6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</t>
        </is>
      </c>
      <c r="B3" s="6" t="inlineStr">
        <is>
          <t>LUPIN</t>
        </is>
      </c>
      <c r="C3" s="6" t="inlineStr">
        <is>
          <t>Lupin Limited</t>
        </is>
      </c>
      <c r="D3" s="6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6" t="inlineStr">
        <is>
          <t>1:2.0</t>
        </is>
      </c>
      <c r="I3" s="6" t="n">
        <v>0</v>
      </c>
      <c r="J3" s="7" t="n">
        <v>0</v>
      </c>
      <c r="K3" s="6" t="inlineStr">
        <is>
          <t>SKIPPED_BEARISH_REGIME</t>
        </is>
      </c>
      <c r="L3" s="6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</t>
        </is>
      </c>
      <c r="B4" s="6" t="inlineStr">
        <is>
          <t>ULTRACEMCO</t>
        </is>
      </c>
      <c r="C4" s="6" t="inlineStr">
        <is>
          <t>UltraTech Cement Limited</t>
        </is>
      </c>
      <c r="D4" s="6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6" t="inlineStr">
        <is>
          <t>1:2.0</t>
        </is>
      </c>
      <c r="I4" s="6" t="n">
        <v>0</v>
      </c>
      <c r="J4" s="7" t="n">
        <v>0</v>
      </c>
      <c r="K4" s="6" t="inlineStr">
        <is>
          <t>SKIPPED_BEARISH_REGIME</t>
        </is>
      </c>
      <c r="L4" s="6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</t>
        </is>
      </c>
      <c r="B5" s="6" t="inlineStr">
        <is>
          <t>NAVINFLUOR</t>
        </is>
      </c>
      <c r="C5" s="6" t="inlineStr">
        <is>
          <t>Navin Fluorine International Limited</t>
        </is>
      </c>
      <c r="D5" s="6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6" t="inlineStr">
        <is>
          <t>1:2.0</t>
        </is>
      </c>
      <c r="I5" s="6" t="n">
        <v>0</v>
      </c>
      <c r="J5" s="7" t="n">
        <v>0</v>
      </c>
      <c r="K5" s="6" t="inlineStr">
        <is>
          <t>SKIPPED_BEARISH_REGIME</t>
        </is>
      </c>
      <c r="L5" s="6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</t>
        </is>
      </c>
      <c r="B6" s="6" t="inlineStr">
        <is>
          <t>ERIS</t>
        </is>
      </c>
      <c r="C6" s="6" t="inlineStr">
        <is>
          <t>Eris Lifesciences Limited</t>
        </is>
      </c>
      <c r="D6" s="6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6" t="inlineStr">
        <is>
          <t>1:2.0</t>
        </is>
      </c>
      <c r="I6" s="6" t="n">
        <v>1</v>
      </c>
      <c r="J6" s="7" t="n">
        <v>1470</v>
      </c>
      <c r="K6" s="6" t="inlineStr">
        <is>
          <t>SKIPPED_BEARISH_REGIME</t>
        </is>
      </c>
      <c r="L6" s="6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2026-07-22</t>
        </is>
      </c>
      <c r="B7" s="6" t="inlineStr">
        <is>
          <t>JSWSTEEL</t>
        </is>
      </c>
      <c r="C7" s="6" t="inlineStr">
        <is>
          <t>JSW Steel Limited</t>
        </is>
      </c>
      <c r="D7" s="6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6" t="inlineStr">
        <is>
          <t>1:2.0</t>
        </is>
      </c>
      <c r="I7" s="6" t="n">
        <v>1</v>
      </c>
      <c r="J7" s="7" t="n">
        <v>1267.4</v>
      </c>
      <c r="K7" s="6" t="inlineStr">
        <is>
          <t>SKIPPED_BEARISH_REGIME</t>
        </is>
      </c>
      <c r="L7" s="6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</t>
        </is>
      </c>
      <c r="B8" s="6" t="inlineStr">
        <is>
          <t>SONACOMS</t>
        </is>
      </c>
      <c r="C8" s="6" t="inlineStr">
        <is>
          <t>Sona BLW Precision Forgings Limited</t>
        </is>
      </c>
      <c r="D8" s="6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6" t="inlineStr">
        <is>
          <t>1:2.0</t>
        </is>
      </c>
      <c r="I8" s="6" t="n">
        <v>2</v>
      </c>
      <c r="J8" s="7" t="n">
        <v>1465.5</v>
      </c>
      <c r="K8" s="6" t="inlineStr">
        <is>
          <t>SKIPPED_BEARISH_REGIME</t>
        </is>
      </c>
      <c r="L8" s="6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</t>
        </is>
      </c>
      <c r="B9" s="6" t="inlineStr">
        <is>
          <t>LUPIN</t>
        </is>
      </c>
      <c r="C9" s="6" t="inlineStr">
        <is>
          <t>Lupin Limited</t>
        </is>
      </c>
      <c r="D9" s="6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6" t="inlineStr">
        <is>
          <t>1:2.0</t>
        </is>
      </c>
      <c r="I9" s="6" t="n">
        <v>0</v>
      </c>
      <c r="J9" s="7" t="n">
        <v>0</v>
      </c>
      <c r="K9" s="6" t="inlineStr">
        <is>
          <t>SKIPPED_BEARISH_REGIME</t>
        </is>
      </c>
      <c r="L9" s="6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</t>
        </is>
      </c>
      <c r="B10" s="6" t="inlineStr">
        <is>
          <t>HAL</t>
        </is>
      </c>
      <c r="C10" s="6" t="inlineStr">
        <is>
          <t>Hindustan Aeronautics Limited</t>
        </is>
      </c>
      <c r="D10" s="6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6" t="inlineStr">
        <is>
          <t>1:2.0</t>
        </is>
      </c>
      <c r="I10" s="6" t="n">
        <v>0</v>
      </c>
      <c r="J10" s="7" t="n">
        <v>0</v>
      </c>
      <c r="K10" s="6" t="inlineStr">
        <is>
          <t>SKIPPED_BEARISH_REGIME</t>
        </is>
      </c>
      <c r="L10" s="6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</t>
        </is>
      </c>
      <c r="B11" s="6" t="inlineStr">
        <is>
          <t>SHREECEM</t>
        </is>
      </c>
      <c r="C11" s="6" t="inlineStr">
        <is>
          <t>Shree Cement Limited</t>
        </is>
      </c>
      <c r="D11" s="6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6" t="inlineStr">
        <is>
          <t>1:2.0</t>
        </is>
      </c>
      <c r="I11" s="6" t="n">
        <v>0</v>
      </c>
      <c r="J11" s="7" t="n">
        <v>0</v>
      </c>
      <c r="K11" s="6" t="inlineStr">
        <is>
          <t>SKIPPED_BEARISH_REGIME</t>
        </is>
      </c>
      <c r="L11" s="6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2" t="inlineStr">
        <is>
          <t>1:2.0</t>
        </is>
      </c>
      <c r="I12" s="2" t="n">
        <v>0</v>
      </c>
      <c r="J12" s="7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2" t="inlineStr">
        <is>
          <t>1:2.0</t>
        </is>
      </c>
      <c r="I13" s="2" t="n">
        <v>1</v>
      </c>
      <c r="J13" s="7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2" t="inlineStr">
        <is>
          <t>1:2.0</t>
        </is>
      </c>
      <c r="I14" s="2" t="n">
        <v>1</v>
      </c>
      <c r="J14" s="7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2" t="inlineStr">
        <is>
          <t>1:2.0</t>
        </is>
      </c>
      <c r="I15" s="2" t="n">
        <v>1</v>
      </c>
      <c r="J15" s="7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2" t="inlineStr">
        <is>
          <t>1:2.0</t>
        </is>
      </c>
      <c r="I16" s="2" t="n">
        <v>0</v>
      </c>
      <c r="J16" s="7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2" t="inlineStr">
        <is>
          <t>1:2.0</t>
        </is>
      </c>
      <c r="I17" s="2" t="n">
        <v>0</v>
      </c>
      <c r="J17" s="7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2" t="inlineStr">
        <is>
          <t>1:2.0</t>
        </is>
      </c>
      <c r="I18" s="2" t="n">
        <v>0</v>
      </c>
      <c r="J18" s="7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2" t="inlineStr">
        <is>
          <t>1:2.0</t>
        </is>
      </c>
      <c r="I19" s="2" t="n">
        <v>0</v>
      </c>
      <c r="J19" s="7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2" t="inlineStr">
        <is>
          <t>1:2.0</t>
        </is>
      </c>
      <c r="I20" s="2" t="n">
        <v>0</v>
      </c>
      <c r="J20" s="7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2" t="inlineStr">
        <is>
          <t>1:2.0</t>
        </is>
      </c>
      <c r="I21" s="2" t="n">
        <v>0</v>
      </c>
      <c r="J21" s="7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2" t="inlineStr">
        <is>
          <t>1:2.0</t>
        </is>
      </c>
      <c r="I22" s="2" t="n">
        <v>0</v>
      </c>
      <c r="J22" s="7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2" t="inlineStr">
        <is>
          <t>1:2.0</t>
        </is>
      </c>
      <c r="I23" s="2" t="n">
        <v>0</v>
      </c>
      <c r="J23" s="7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2" t="inlineStr">
        <is>
          <t>1:2.0</t>
        </is>
      </c>
      <c r="I24" s="2" t="n">
        <v>0</v>
      </c>
      <c r="J24" s="7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2" t="inlineStr">
        <is>
          <t>1:2.0</t>
        </is>
      </c>
      <c r="I25" s="2" t="n">
        <v>0</v>
      </c>
      <c r="J25" s="7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2" t="inlineStr">
        <is>
          <t>1:2.0</t>
        </is>
      </c>
      <c r="I26" s="2" t="n">
        <v>0</v>
      </c>
      <c r="J26" s="7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2" t="inlineStr">
        <is>
          <t>1:2.0</t>
        </is>
      </c>
      <c r="I27" s="2" t="n">
        <v>0</v>
      </c>
      <c r="J27" s="7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2" t="inlineStr">
        <is>
          <t>1:2.0</t>
        </is>
      </c>
      <c r="I28" s="2" t="n">
        <v>0</v>
      </c>
      <c r="J28" s="7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2" t="inlineStr">
        <is>
          <t>1:2.0</t>
        </is>
      </c>
      <c r="I29" s="2" t="n">
        <v>0</v>
      </c>
      <c r="J29" s="7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2" t="inlineStr">
        <is>
          <t>1:2.0</t>
        </is>
      </c>
      <c r="I30" s="2" t="n">
        <v>0</v>
      </c>
      <c r="J30" s="7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2" t="inlineStr">
        <is>
          <t>1:2.0</t>
        </is>
      </c>
      <c r="I31" s="2" t="n">
        <v>0</v>
      </c>
      <c r="J31" s="7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2" t="inlineStr">
        <is>
          <t>1:2.0</t>
        </is>
      </c>
      <c r="I32" s="2" t="n">
        <v>0</v>
      </c>
      <c r="J32" s="7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2" t="inlineStr">
        <is>
          <t>1:2.0</t>
        </is>
      </c>
      <c r="I33" s="2" t="n">
        <v>0</v>
      </c>
      <c r="J33" s="7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2" t="inlineStr">
        <is>
          <t>1:2.0</t>
        </is>
      </c>
      <c r="I34" s="2" t="n">
        <v>0</v>
      </c>
      <c r="J34" s="7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2" t="inlineStr">
        <is>
          <t>1:2.0</t>
        </is>
      </c>
      <c r="I35" s="2" t="n">
        <v>0</v>
      </c>
      <c r="J35" s="7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2026-08-21</t>
        </is>
      </c>
      <c r="B36" s="2" t="inlineStr">
        <is>
          <t>IOLCP</t>
        </is>
      </c>
      <c r="C36" s="2" t="inlineStr">
        <is>
          <t>IOL Chemicals and Pharmaceuticals Limited</t>
        </is>
      </c>
      <c r="D36" s="2" t="inlineStr">
        <is>
          <t>98/100</t>
        </is>
      </c>
      <c r="E36" s="7" t="n">
        <v>169.5200042724609</v>
      </c>
      <c r="F36" s="7" t="n">
        <v>150.7757219587054</v>
      </c>
      <c r="G36" s="7" t="n">
        <v>216.3807100568499</v>
      </c>
      <c r="H36" s="2" t="inlineStr">
        <is>
          <t>1:2.5</t>
        </is>
      </c>
      <c r="I36" s="2" t="n">
        <v>0</v>
      </c>
      <c r="J36" s="7" t="n">
        <v>0</v>
      </c>
      <c r="K36" s="2" t="inlineStr">
        <is>
          <t>PENDING</t>
        </is>
      </c>
      <c r="L36" s="2" t="inlineStr">
        <is>
          <t>Swing Scanner (STATE 3: Capitulation Bottom)</t>
        </is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2026-08-21</t>
        </is>
      </c>
      <c r="B37" s="2" t="inlineStr">
        <is>
          <t>AEROFLEX</t>
        </is>
      </c>
      <c r="C37" s="2" t="inlineStr">
        <is>
          <t>Aeroflex Industries Limited</t>
        </is>
      </c>
      <c r="D37" s="2" t="inlineStr">
        <is>
          <t>98/100</t>
        </is>
      </c>
      <c r="E37" s="7" t="n">
        <v>503</v>
      </c>
      <c r="F37" s="7" t="n">
        <v>457.8714338030134</v>
      </c>
      <c r="G37" s="7" t="n">
        <v>615.8214154924665</v>
      </c>
      <c r="H37" s="2" t="inlineStr">
        <is>
          <t>1:2.5</t>
        </is>
      </c>
      <c r="I37" s="2" t="n">
        <v>0</v>
      </c>
      <c r="J37" s="7" t="n">
        <v>0</v>
      </c>
      <c r="K37" s="2" t="inlineStr">
        <is>
          <t>PENDING</t>
        </is>
      </c>
      <c r="L37" s="2" t="inlineStr">
        <is>
          <t>Swing Scanner (STATE 3: Capitulation Bottom)</t>
        </is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2026-08-21</t>
        </is>
      </c>
      <c r="B38" s="2" t="inlineStr">
        <is>
          <t>ATL</t>
        </is>
      </c>
      <c r="C38" s="2" t="inlineStr">
        <is>
          <t>Allcargo Terminals Limited</t>
        </is>
      </c>
      <c r="D38" s="2" t="inlineStr">
        <is>
          <t>98/100</t>
        </is>
      </c>
      <c r="E38" s="7" t="n">
        <v>24.86000061035156</v>
      </c>
      <c r="F38" s="7" t="n">
        <v>22.46000017438616</v>
      </c>
      <c r="G38" s="7" t="n">
        <v>30.86000170026507</v>
      </c>
      <c r="H38" s="2" t="inlineStr">
        <is>
          <t>1:2.5</t>
        </is>
      </c>
      <c r="I38" s="2" t="n">
        <v>2</v>
      </c>
      <c r="J38" s="7" t="n">
        <v>49.72000122070312</v>
      </c>
      <c r="K38" s="2" t="inlineStr">
        <is>
          <t>PENDING</t>
        </is>
      </c>
      <c r="L38" s="2" t="inlineStr">
        <is>
          <t>Swing Scanner (STATE 3: Capitulation Bottom)</t>
        </is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2026-08-21</t>
        </is>
      </c>
      <c r="B39" s="2" t="inlineStr">
        <is>
          <t>HINDZINC</t>
        </is>
      </c>
      <c r="C39" s="2" t="inlineStr">
        <is>
          <t>Hindustan Zinc Limited</t>
        </is>
      </c>
      <c r="D39" s="2" t="inlineStr">
        <is>
          <t>98/100</t>
        </is>
      </c>
      <c r="E39" s="7" t="n">
        <v>594.9000244140625</v>
      </c>
      <c r="F39" s="7" t="n">
        <v>556.4143153599331</v>
      </c>
      <c r="G39" s="7" t="n">
        <v>691.1142970493862</v>
      </c>
      <c r="H39" s="2" t="inlineStr">
        <is>
          <t>1:2.5</t>
        </is>
      </c>
      <c r="I39" s="2" t="n">
        <v>0</v>
      </c>
      <c r="J39" s="7" t="n">
        <v>0</v>
      </c>
      <c r="K39" s="2" t="inlineStr">
        <is>
          <t>PENDING</t>
        </is>
      </c>
      <c r="L39" s="2" t="inlineStr">
        <is>
          <t>Swing Scanner (STATE 3: Capitulation Bottom)</t>
        </is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2026-08-21</t>
        </is>
      </c>
      <c r="B40" s="2" t="inlineStr">
        <is>
          <t>HINDCOPPER</t>
        </is>
      </c>
      <c r="C40" s="2" t="inlineStr">
        <is>
          <t>Hindustan Copper Limited</t>
        </is>
      </c>
      <c r="D40" s="2" t="inlineStr">
        <is>
          <t>98/100</t>
        </is>
      </c>
      <c r="E40" s="7" t="n">
        <v>572.7000122070312</v>
      </c>
      <c r="F40" s="7" t="n">
        <v>519.642844063895</v>
      </c>
      <c r="G40" s="7" t="n">
        <v>705.3429325648717</v>
      </c>
      <c r="H40" s="2" t="inlineStr">
        <is>
          <t>1:2.5</t>
        </is>
      </c>
      <c r="I40" s="2" t="n">
        <v>0</v>
      </c>
      <c r="J40" s="7" t="n">
        <v>0</v>
      </c>
      <c r="K40" s="2" t="inlineStr">
        <is>
          <t>PENDING</t>
        </is>
      </c>
      <c r="L40" s="2" t="inlineStr">
        <is>
          <t>Swing Scanner (STATE 3: Capitulation Bottom)</t>
        </is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2026-08-21</t>
        </is>
      </c>
      <c r="B41" s="2" t="inlineStr">
        <is>
          <t>ASIANPAINT</t>
        </is>
      </c>
      <c r="C41" s="2" t="inlineStr">
        <is>
          <t>Asian Paints Limited</t>
        </is>
      </c>
      <c r="D41" s="2" t="inlineStr">
        <is>
          <t>100/100</t>
        </is>
      </c>
      <c r="E41" s="7" t="n">
        <v>2640</v>
      </c>
      <c r="F41" s="7" t="n">
        <v>2606.45</v>
      </c>
      <c r="G41" s="7" t="n">
        <v>2723.9</v>
      </c>
      <c r="H41" s="2" t="inlineStr">
        <is>
          <t>1:2.5</t>
        </is>
      </c>
      <c r="I41" s="2" t="n">
        <v>0</v>
      </c>
      <c r="J41" s="7" t="n">
        <v>0</v>
      </c>
      <c r="K41" s="2" t="inlineStr">
        <is>
          <t>PENDING</t>
        </is>
      </c>
      <c r="L41" s="2" t="inlineStr">
        <is>
          <t>Intraday Scanner (STATE 3: Capitulation Bottom)</t>
        </is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2026-08-21</t>
        </is>
      </c>
      <c r="B42" s="2" t="inlineStr">
        <is>
          <t>TATAELXSI</t>
        </is>
      </c>
      <c r="C42" s="2" t="inlineStr">
        <is>
          <t>Tata Elxsi Limited</t>
        </is>
      </c>
      <c r="D42" s="2" t="inlineStr">
        <is>
          <t>100/100</t>
        </is>
      </c>
      <c r="E42" s="7" t="n">
        <v>3708</v>
      </c>
      <c r="F42" s="7" t="n">
        <v>3666.25</v>
      </c>
      <c r="G42" s="7" t="n">
        <v>3812.4</v>
      </c>
      <c r="H42" s="2" t="inlineStr">
        <is>
          <t>1:2.5</t>
        </is>
      </c>
      <c r="I42" s="2" t="n">
        <v>0</v>
      </c>
      <c r="J42" s="7" t="n">
        <v>0</v>
      </c>
      <c r="K42" s="2" t="inlineStr">
        <is>
          <t>PENDING</t>
        </is>
      </c>
      <c r="L42" s="2" t="inlineStr">
        <is>
          <t>Intraday Scanner (STATE 3: Capitulation Bottom)</t>
        </is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2026-08-21</t>
        </is>
      </c>
      <c r="B43" s="2" t="inlineStr">
        <is>
          <t>HAPPSTMNDS</t>
        </is>
      </c>
      <c r="C43" s="2" t="inlineStr">
        <is>
          <t>Happiest Minds Technologies Limited</t>
        </is>
      </c>
      <c r="D43" s="2" t="inlineStr">
        <is>
          <t>100/100</t>
        </is>
      </c>
      <c r="E43" s="7" t="n">
        <v>448</v>
      </c>
      <c r="F43" s="7" t="n">
        <v>435</v>
      </c>
      <c r="G43" s="7" t="n">
        <v>480.55</v>
      </c>
      <c r="H43" s="2" t="inlineStr">
        <is>
          <t>1:2.5</t>
        </is>
      </c>
      <c r="I43" s="2" t="n">
        <v>0</v>
      </c>
      <c r="J43" s="7" t="n">
        <v>0</v>
      </c>
      <c r="K43" s="2" t="inlineStr">
        <is>
          <t>PENDING</t>
        </is>
      </c>
      <c r="L43" s="2" t="inlineStr">
        <is>
          <t>Intraday Scanner (STATE 3: Capitulation Bottom)</t>
        </is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2026-08-21</t>
        </is>
      </c>
      <c r="B44" s="2" t="inlineStr">
        <is>
          <t>ADANIPOWER</t>
        </is>
      </c>
      <c r="C44" s="2" t="inlineStr">
        <is>
          <t>Adani Power Limited</t>
        </is>
      </c>
      <c r="D44" s="2" t="inlineStr">
        <is>
          <t>100/100</t>
        </is>
      </c>
      <c r="E44" s="7" t="n">
        <v>205.5</v>
      </c>
      <c r="F44" s="7" t="n">
        <v>203.5</v>
      </c>
      <c r="G44" s="7" t="n">
        <v>210.55</v>
      </c>
      <c r="H44" s="2" t="inlineStr">
        <is>
          <t>1:2.5</t>
        </is>
      </c>
      <c r="I44" s="2" t="n">
        <v>0</v>
      </c>
      <c r="J44" s="7" t="n">
        <v>0</v>
      </c>
      <c r="K44" s="2" t="inlineStr">
        <is>
          <t>PENDING</t>
        </is>
      </c>
      <c r="L44" s="2" t="inlineStr">
        <is>
          <t>Intraday Scanner (STATE 3: Capitulation Bottom)</t>
        </is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2026-08-21</t>
        </is>
      </c>
      <c r="B45" s="2" t="inlineStr">
        <is>
          <t>ADANIPORTS</t>
        </is>
      </c>
      <c r="C45" s="2" t="inlineStr">
        <is>
          <t>Adani Ports and Special Economic Zone Limited</t>
        </is>
      </c>
      <c r="D45" s="2" t="inlineStr">
        <is>
          <t>97/100</t>
        </is>
      </c>
      <c r="E45" s="7" t="n">
        <v>1700</v>
      </c>
      <c r="F45" s="7" t="n">
        <v>1689.75</v>
      </c>
      <c r="G45" s="7" t="n">
        <v>1725.55</v>
      </c>
      <c r="H45" s="2" t="inlineStr">
        <is>
          <t>1:2.5</t>
        </is>
      </c>
      <c r="I45" s="2" t="n">
        <v>0</v>
      </c>
      <c r="J45" s="7" t="n">
        <v>0</v>
      </c>
      <c r="K45" s="2" t="inlineStr">
        <is>
          <t>PENDING</t>
        </is>
      </c>
      <c r="L45" s="2" t="inlineStr">
        <is>
          <t>Intraday Scanner (STATE 3: Capitulation Bottom)</t>
        </is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2026-08-24</t>
        </is>
      </c>
      <c r="B46" s="2" t="inlineStr">
        <is>
          <t>GAYAPROJ</t>
        </is>
      </c>
      <c r="C46" s="2" t="inlineStr">
        <is>
          <t>Gayatri Projects Limited</t>
        </is>
      </c>
      <c r="D46" s="2" t="inlineStr">
        <is>
          <t>100/100</t>
        </is>
      </c>
      <c r="E46" s="7" t="n">
        <v>22.34000015258789</v>
      </c>
      <c r="F46" s="7" t="n">
        <v>20.1271435873849</v>
      </c>
      <c r="G46" s="7" t="n">
        <v>27.87214156559536</v>
      </c>
      <c r="H46" s="2" t="inlineStr">
        <is>
          <t>1:2.5</t>
        </is>
      </c>
      <c r="I46" s="2" t="n">
        <v>2</v>
      </c>
      <c r="J46" s="7" t="n">
        <v>44.68000030517578</v>
      </c>
      <c r="K46" s="2" t="inlineStr">
        <is>
          <t>PENDING</t>
        </is>
      </c>
      <c r="L46" s="2" t="inlineStr">
        <is>
          <t>Swing Scanner (STATE 3: Capitulation Bottom)</t>
        </is>
      </c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2026-08-24</t>
        </is>
      </c>
      <c r="B47" s="2" t="inlineStr">
        <is>
          <t>GARFIBRES</t>
        </is>
      </c>
      <c r="C47" s="2" t="inlineStr">
        <is>
          <t>Garware Technical Fibres Limited</t>
        </is>
      </c>
      <c r="D47" s="2" t="inlineStr">
        <is>
          <t>100/100</t>
        </is>
      </c>
      <c r="E47" s="7" t="n">
        <v>809.4000244140625</v>
      </c>
      <c r="F47" s="7" t="n">
        <v>732.5714460100446</v>
      </c>
      <c r="G47" s="7" t="n">
        <v>1001.471470424107</v>
      </c>
      <c r="H47" s="2" t="inlineStr">
        <is>
          <t>1:2.5</t>
        </is>
      </c>
      <c r="I47" s="2" t="n">
        <v>0</v>
      </c>
      <c r="J47" s="7" t="n">
        <v>0</v>
      </c>
      <c r="K47" s="2" t="inlineStr">
        <is>
          <t>PENDING</t>
        </is>
      </c>
      <c r="L47" s="2" t="inlineStr">
        <is>
          <t>Swing Scanner (STATE 3: Capitulation Bottom)</t>
        </is>
      </c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2026-08-24</t>
        </is>
      </c>
      <c r="B48" s="2" t="inlineStr">
        <is>
          <t>JSWSTEEL</t>
        </is>
      </c>
      <c r="C48" s="2" t="inlineStr">
        <is>
          <t>JSW Steel Limited</t>
        </is>
      </c>
      <c r="D48" s="2" t="inlineStr">
        <is>
          <t>98/100</t>
        </is>
      </c>
      <c r="E48" s="7" t="n">
        <v>1327</v>
      </c>
      <c r="F48" s="7" t="n">
        <v>1274.785696847098</v>
      </c>
      <c r="G48" s="7" t="n">
        <v>1457.535757882255</v>
      </c>
      <c r="H48" s="2" t="inlineStr">
        <is>
          <t>1:2.5</t>
        </is>
      </c>
      <c r="I48" s="2" t="n">
        <v>0</v>
      </c>
      <c r="J48" s="7" t="n">
        <v>0</v>
      </c>
      <c r="K48" s="2" t="inlineStr">
        <is>
          <t>PENDING</t>
        </is>
      </c>
      <c r="L48" s="2" t="inlineStr">
        <is>
          <t>Swing Scanner (STATE 3: Capitulation Bottom)</t>
        </is>
      </c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2026-08-24</t>
        </is>
      </c>
      <c r="B49" s="2" t="inlineStr">
        <is>
          <t>BLUSPRING</t>
        </is>
      </c>
      <c r="C49" s="2" t="inlineStr">
        <is>
          <t>Bluspring Enterprises Limited</t>
        </is>
      </c>
      <c r="D49" s="2" t="inlineStr">
        <is>
          <t>98/100</t>
        </is>
      </c>
      <c r="E49" s="7" t="n">
        <v>133.0099945068359</v>
      </c>
      <c r="F49" s="7" t="n">
        <v>118.4999945504325</v>
      </c>
      <c r="G49" s="7" t="n">
        <v>169.2849943978446</v>
      </c>
      <c r="H49" s="2" t="inlineStr">
        <is>
          <t>1:2.5</t>
        </is>
      </c>
      <c r="I49" s="2" t="n">
        <v>0</v>
      </c>
      <c r="J49" s="7" t="n">
        <v>0</v>
      </c>
      <c r="K49" s="2" t="inlineStr">
        <is>
          <t>PENDING</t>
        </is>
      </c>
      <c r="L49" s="2" t="inlineStr">
        <is>
          <t>Swing Scanner (STATE 3: Capitulation Bottom)</t>
        </is>
      </c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2026-08-24</t>
        </is>
      </c>
      <c r="B50" s="2" t="inlineStr">
        <is>
          <t>RATNAMANI</t>
        </is>
      </c>
      <c r="C50" s="2" t="inlineStr">
        <is>
          <t>Ratnamani Metals &amp; Tubes Limited</t>
        </is>
      </c>
      <c r="D50" s="2" t="inlineStr">
        <is>
          <t>98/100</t>
        </is>
      </c>
      <c r="E50" s="7" t="n">
        <v>2697</v>
      </c>
      <c r="F50" s="7" t="n">
        <v>2451.262274002893</v>
      </c>
      <c r="G50" s="7" t="n">
        <v>3311.344314992767</v>
      </c>
      <c r="H50" s="2" t="inlineStr">
        <is>
          <t>1:2.5</t>
        </is>
      </c>
      <c r="I50" s="2" t="n">
        <v>0</v>
      </c>
      <c r="J50" s="7" t="n">
        <v>0</v>
      </c>
      <c r="K50" s="2" t="inlineStr">
        <is>
          <t>PENDING</t>
        </is>
      </c>
      <c r="L50" s="2" t="inlineStr">
        <is>
          <t>Swing Scanner (STATE 3: Capitulation Bottom)</t>
        </is>
      </c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2026-08-24</t>
        </is>
      </c>
      <c r="B51" s="2" t="inlineStr">
        <is>
          <t>ASIANPAINT</t>
        </is>
      </c>
      <c r="C51" s="2" t="inlineStr">
        <is>
          <t>Asian Paints Limited</t>
        </is>
      </c>
      <c r="D51" s="2" t="inlineStr">
        <is>
          <t>100/100</t>
        </is>
      </c>
      <c r="E51" s="7" t="n">
        <v>2640.8</v>
      </c>
      <c r="F51" s="7" t="n">
        <v>2621.3</v>
      </c>
      <c r="G51" s="7" t="n">
        <v>2689.55</v>
      </c>
      <c r="H51" s="2" t="inlineStr">
        <is>
          <t>1:2.5</t>
        </is>
      </c>
      <c r="I51" s="2" t="n">
        <v>0</v>
      </c>
      <c r="J51" s="7" t="n">
        <v>0</v>
      </c>
      <c r="K51" s="2" t="inlineStr">
        <is>
          <t>PENDING</t>
        </is>
      </c>
      <c r="L51" s="2" t="inlineStr">
        <is>
          <t>Intraday Scanner (STATE 3: Capitulation Bottom)</t>
        </is>
      </c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2026-08-24</t>
        </is>
      </c>
      <c r="B52" s="2" t="inlineStr">
        <is>
          <t>CIPLA</t>
        </is>
      </c>
      <c r="C52" s="2" t="inlineStr">
        <is>
          <t>Cipla Limited</t>
        </is>
      </c>
      <c r="D52" s="2" t="inlineStr">
        <is>
          <t>100/100</t>
        </is>
      </c>
      <c r="E52" s="7" t="n">
        <v>1437.9</v>
      </c>
      <c r="F52" s="7" t="n">
        <v>1428.2</v>
      </c>
      <c r="G52" s="7" t="n">
        <v>1462.2</v>
      </c>
      <c r="H52" s="2" t="inlineStr">
        <is>
          <t>1:2.5</t>
        </is>
      </c>
      <c r="I52" s="2" t="n">
        <v>0</v>
      </c>
      <c r="J52" s="7" t="n">
        <v>0</v>
      </c>
      <c r="K52" s="2" t="inlineStr">
        <is>
          <t>PENDING</t>
        </is>
      </c>
      <c r="L52" s="2" t="inlineStr">
        <is>
          <t>Intraday Scanner (STATE 3: Capitulation Bottom)</t>
        </is>
      </c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2026-08-24</t>
        </is>
      </c>
      <c r="B53" s="2" t="inlineStr">
        <is>
          <t>CGPOWER</t>
        </is>
      </c>
      <c r="C53" s="2" t="inlineStr">
        <is>
          <t>CG Power and Industrial Solutions Limited</t>
        </is>
      </c>
      <c r="D53" s="2" t="inlineStr">
        <is>
          <t>100/100</t>
        </is>
      </c>
      <c r="E53" s="7" t="n">
        <v>877.5</v>
      </c>
      <c r="F53" s="7" t="n">
        <v>865.75</v>
      </c>
      <c r="G53" s="7" t="n">
        <v>906.9</v>
      </c>
      <c r="H53" s="2" t="inlineStr">
        <is>
          <t>1:2.5</t>
        </is>
      </c>
      <c r="I53" s="2" t="n">
        <v>0</v>
      </c>
      <c r="J53" s="7" t="n">
        <v>0</v>
      </c>
      <c r="K53" s="2" t="inlineStr">
        <is>
          <t>PENDING</t>
        </is>
      </c>
      <c r="L53" s="2" t="inlineStr">
        <is>
          <t>Intraday Scanner (STATE 3: Capitulation Bottom)</t>
        </is>
      </c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2026-08-24</t>
        </is>
      </c>
      <c r="B54" s="2" t="inlineStr">
        <is>
          <t>COCHINSHIP</t>
        </is>
      </c>
      <c r="C54" s="2" t="inlineStr">
        <is>
          <t>Cochin Shipyard Limited</t>
        </is>
      </c>
      <c r="D54" s="2" t="inlineStr">
        <is>
          <t>100/100</t>
        </is>
      </c>
      <c r="E54" s="7" t="n">
        <v>1514</v>
      </c>
      <c r="F54" s="7" t="n">
        <v>1496.35</v>
      </c>
      <c r="G54" s="7" t="n">
        <v>1558.1</v>
      </c>
      <c r="H54" s="2" t="inlineStr">
        <is>
          <t>1:2.5</t>
        </is>
      </c>
      <c r="I54" s="2" t="n">
        <v>0</v>
      </c>
      <c r="J54" s="7" t="n">
        <v>0</v>
      </c>
      <c r="K54" s="2" t="inlineStr">
        <is>
          <t>PENDING</t>
        </is>
      </c>
      <c r="L54" s="2" t="inlineStr">
        <is>
          <t>Intraday Scanner (STATE 3: Capitulation Bottom)</t>
        </is>
      </c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2026-08-24</t>
        </is>
      </c>
      <c r="B55" s="2" t="inlineStr">
        <is>
          <t>DRREDDY</t>
        </is>
      </c>
      <c r="C55" s="2" t="inlineStr">
        <is>
          <t>Dr. Reddy's Laboratories Limited</t>
        </is>
      </c>
      <c r="D55" s="2" t="inlineStr">
        <is>
          <t>100/100</t>
        </is>
      </c>
      <c r="E55" s="7" t="n">
        <v>1190</v>
      </c>
      <c r="F55" s="7" t="n">
        <v>1182.9</v>
      </c>
      <c r="G55" s="7" t="n">
        <v>1207.7</v>
      </c>
      <c r="H55" s="2" t="inlineStr">
        <is>
          <t>1:2.5</t>
        </is>
      </c>
      <c r="I55" s="2" t="n">
        <v>0</v>
      </c>
      <c r="J55" s="7" t="n">
        <v>0</v>
      </c>
      <c r="K55" s="2" t="inlineStr">
        <is>
          <t>PENDING</t>
        </is>
      </c>
      <c r="L55" s="2" t="inlineStr">
        <is>
          <t>Intraday Scanner (STATE 3: Capitulation Bottom)</t>
        </is>
      </c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2026-08-25</t>
        </is>
      </c>
      <c r="B56" s="2" t="inlineStr">
        <is>
          <t>SIEMENS</t>
        </is>
      </c>
      <c r="C56" s="2" t="inlineStr">
        <is>
          <t>Siemens Limited</t>
        </is>
      </c>
      <c r="D56" s="2" t="inlineStr">
        <is>
          <t>98/100</t>
        </is>
      </c>
      <c r="E56" s="7" t="n">
        <v>4090.5</v>
      </c>
      <c r="F56" s="7" t="n">
        <v>3895.814278738839</v>
      </c>
      <c r="G56" s="7" t="n">
        <v>4577.214303152902</v>
      </c>
      <c r="H56" s="2" t="inlineStr">
        <is>
          <t>1:2.5</t>
        </is>
      </c>
      <c r="I56" s="2" t="n">
        <v>0</v>
      </c>
      <c r="J56" s="7" t="n">
        <v>0</v>
      </c>
      <c r="K56" s="2" t="inlineStr">
        <is>
          <t>PENDING</t>
        </is>
      </c>
      <c r="L56" s="2" t="inlineStr">
        <is>
          <t>Swing Scanner (STATE 2: Bear Relief Rally)</t>
        </is>
      </c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2026-08-25</t>
        </is>
      </c>
      <c r="B57" s="2" t="inlineStr">
        <is>
          <t>HEIDELBERG</t>
        </is>
      </c>
      <c r="C57" s="2" t="inlineStr">
        <is>
          <t>HeidelbergCement India Limited</t>
        </is>
      </c>
      <c r="D57" s="2" t="inlineStr">
        <is>
          <t>98/100</t>
        </is>
      </c>
      <c r="E57" s="7" t="n">
        <v>161.7200012207031</v>
      </c>
      <c r="F57" s="7" t="n">
        <v>156.5900006975446</v>
      </c>
      <c r="G57" s="7" t="n">
        <v>174.5450025285993</v>
      </c>
      <c r="H57" s="2" t="inlineStr">
        <is>
          <t>1:2.5</t>
        </is>
      </c>
      <c r="I57" s="2" t="n">
        <v>0</v>
      </c>
      <c r="J57" s="7" t="n">
        <v>0</v>
      </c>
      <c r="K57" s="2" t="inlineStr">
        <is>
          <t>PENDING</t>
        </is>
      </c>
      <c r="L57" s="2" t="inlineStr">
        <is>
          <t>Swing Scanner (STATE 2: Bear Relief Rally)</t>
        </is>
      </c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2026-08-25</t>
        </is>
      </c>
      <c r="B58" s="2" t="inlineStr">
        <is>
          <t>RATNAMANI</t>
        </is>
      </c>
      <c r="C58" s="2" t="inlineStr">
        <is>
          <t>Ratnamani Metals &amp; Tubes Limited</t>
        </is>
      </c>
      <c r="D58" s="2" t="inlineStr">
        <is>
          <t>98/100</t>
        </is>
      </c>
      <c r="E58" s="7" t="n">
        <v>2711.5</v>
      </c>
      <c r="F58" s="7" t="n">
        <v>2460.690845431465</v>
      </c>
      <c r="G58" s="7" t="n">
        <v>3338.522886421338</v>
      </c>
      <c r="H58" s="2" t="inlineStr">
        <is>
          <t>1:2.5</t>
        </is>
      </c>
      <c r="I58" s="2" t="n">
        <v>0</v>
      </c>
      <c r="J58" s="7" t="n">
        <v>0</v>
      </c>
      <c r="K58" s="2" t="inlineStr">
        <is>
          <t>PENDING</t>
        </is>
      </c>
      <c r="L58" s="2" t="inlineStr">
        <is>
          <t>Swing Scanner (STATE 2: Bear Relief Rally)</t>
        </is>
      </c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2026-08-25</t>
        </is>
      </c>
      <c r="B59" s="2" t="inlineStr">
        <is>
          <t>GLENMARK</t>
        </is>
      </c>
      <c r="C59" s="2" t="inlineStr">
        <is>
          <t>Glenmark Pharmaceuticals Limited</t>
        </is>
      </c>
      <c r="D59" s="2" t="inlineStr">
        <is>
          <t>98/100</t>
        </is>
      </c>
      <c r="E59" s="7" t="n">
        <v>2400</v>
      </c>
      <c r="F59" s="7" t="n">
        <v>2296.628557477678</v>
      </c>
      <c r="G59" s="7" t="n">
        <v>2658.428606305803</v>
      </c>
      <c r="H59" s="2" t="inlineStr">
        <is>
          <t>1:2.5</t>
        </is>
      </c>
      <c r="I59" s="2" t="n">
        <v>0</v>
      </c>
      <c r="J59" s="7" t="n">
        <v>0</v>
      </c>
      <c r="K59" s="2" t="inlineStr">
        <is>
          <t>PENDING</t>
        </is>
      </c>
      <c r="L59" s="2" t="inlineStr">
        <is>
          <t>Swing Scanner (STATE 2: Bear Relief Rally)</t>
        </is>
      </c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2026-08-25</t>
        </is>
      </c>
      <c r="B60" s="2" t="inlineStr">
        <is>
          <t>YATHARTH</t>
        </is>
      </c>
      <c r="C60" s="2" t="inlineStr">
        <is>
          <t>Yatharth Hospital &amp; Trauma Care Services Limited</t>
        </is>
      </c>
      <c r="D60" s="2" t="inlineStr">
        <is>
          <t>98/100</t>
        </is>
      </c>
      <c r="E60" s="7" t="n">
        <v>923.0499877929688</v>
      </c>
      <c r="F60" s="7" t="n">
        <v>864.5816995741876</v>
      </c>
      <c r="G60" s="7" t="n">
        <v>1069.220708339922</v>
      </c>
      <c r="H60" s="2" t="inlineStr">
        <is>
          <t>1:2.5</t>
        </is>
      </c>
      <c r="I60" s="2" t="n">
        <v>0</v>
      </c>
      <c r="J60" s="7" t="n">
        <v>0</v>
      </c>
      <c r="K60" s="2" t="inlineStr">
        <is>
          <t>PENDING</t>
        </is>
      </c>
      <c r="L60" s="2" t="inlineStr">
        <is>
          <t>Swing Scanner (STATE 2: Bear Relief Rally)</t>
        </is>
      </c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2026-08-25</t>
        </is>
      </c>
      <c r="B61" s="2" t="inlineStr">
        <is>
          <t>INFY</t>
        </is>
      </c>
      <c r="C61" s="2" t="inlineStr">
        <is>
          <t>Infosys Limited</t>
        </is>
      </c>
      <c r="D61" s="2" t="inlineStr">
        <is>
          <t>100/100</t>
        </is>
      </c>
      <c r="E61" s="7" t="n">
        <v>1144</v>
      </c>
      <c r="F61" s="7" t="n">
        <v>1134.8</v>
      </c>
      <c r="G61" s="7" t="n">
        <v>1167</v>
      </c>
      <c r="H61" s="2" t="inlineStr">
        <is>
          <t>1:2.5</t>
        </is>
      </c>
      <c r="I61" s="2" t="n">
        <v>0</v>
      </c>
      <c r="J61" s="7" t="n">
        <v>0</v>
      </c>
      <c r="K61" s="2" t="inlineStr">
        <is>
          <t>PENDING</t>
        </is>
      </c>
      <c r="L61" s="2" t="inlineStr">
        <is>
          <t>Intraday Scanner (STATE 2: Bear Relief Rally)</t>
        </is>
      </c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2026-08-25</t>
        </is>
      </c>
      <c r="B62" s="2" t="inlineStr">
        <is>
          <t>RELIANCE</t>
        </is>
      </c>
      <c r="C62" s="2" t="inlineStr">
        <is>
          <t>Reliance Industries Limited</t>
        </is>
      </c>
      <c r="D62" s="2" t="inlineStr">
        <is>
          <t>100/100</t>
        </is>
      </c>
      <c r="E62" s="7" t="n">
        <v>1317</v>
      </c>
      <c r="F62" s="7" t="n">
        <v>1311</v>
      </c>
      <c r="G62" s="7" t="n">
        <v>1332</v>
      </c>
      <c r="H62" s="2" t="inlineStr">
        <is>
          <t>1:2.5</t>
        </is>
      </c>
      <c r="I62" s="2" t="n">
        <v>0</v>
      </c>
      <c r="J62" s="7" t="n">
        <v>0</v>
      </c>
      <c r="K62" s="2" t="inlineStr">
        <is>
          <t>PENDING</t>
        </is>
      </c>
      <c r="L62" s="2" t="inlineStr">
        <is>
          <t>Intraday Scanner (STATE 2: Bear Relief Rally)</t>
        </is>
      </c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2026-08-25</t>
        </is>
      </c>
      <c r="B63" s="2" t="inlineStr">
        <is>
          <t>SUNPHARMA</t>
        </is>
      </c>
      <c r="C63" s="2" t="inlineStr">
        <is>
          <t>Sun Pharmaceutical Industries Limited</t>
        </is>
      </c>
      <c r="D63" s="2" t="inlineStr">
        <is>
          <t>100/100</t>
        </is>
      </c>
      <c r="E63" s="7" t="n">
        <v>1922</v>
      </c>
      <c r="F63" s="7" t="n">
        <v>1907.35</v>
      </c>
      <c r="G63" s="7" t="n">
        <v>1958.7</v>
      </c>
      <c r="H63" s="2" t="inlineStr">
        <is>
          <t>1:2.5</t>
        </is>
      </c>
      <c r="I63" s="2" t="n">
        <v>0</v>
      </c>
      <c r="J63" s="7" t="n">
        <v>0</v>
      </c>
      <c r="K63" s="2" t="inlineStr">
        <is>
          <t>PENDING</t>
        </is>
      </c>
      <c r="L63" s="2" t="inlineStr">
        <is>
          <t>Intraday Scanner (STATE 2: Bear Relief Rally)</t>
        </is>
      </c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2026-08-25</t>
        </is>
      </c>
      <c r="B64" s="2" t="inlineStr">
        <is>
          <t>TECHM</t>
        </is>
      </c>
      <c r="C64" s="2" t="inlineStr">
        <is>
          <t>Tech Mahindra Limited</t>
        </is>
      </c>
      <c r="D64" s="2" t="inlineStr">
        <is>
          <t>100/100</t>
        </is>
      </c>
      <c r="E64" s="7" t="n">
        <v>1599.9</v>
      </c>
      <c r="F64" s="7" t="n">
        <v>1585.5</v>
      </c>
      <c r="G64" s="7" t="n">
        <v>1635.9</v>
      </c>
      <c r="H64" s="2" t="inlineStr">
        <is>
          <t>1:2.5</t>
        </is>
      </c>
      <c r="I64" s="2" t="n">
        <v>0</v>
      </c>
      <c r="J64" s="7" t="n">
        <v>0</v>
      </c>
      <c r="K64" s="2" t="inlineStr">
        <is>
          <t>PENDING</t>
        </is>
      </c>
      <c r="L64" s="2" t="inlineStr">
        <is>
          <t>Intraday Scanner (STATE 2: Bear Relief Rally)</t>
        </is>
      </c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2026-08-25</t>
        </is>
      </c>
      <c r="B65" s="2" t="inlineStr">
        <is>
          <t>GRASIM</t>
        </is>
      </c>
      <c r="C65" s="2" t="inlineStr">
        <is>
          <t>Grasim Industries Limited</t>
        </is>
      </c>
      <c r="D65" s="2" t="inlineStr">
        <is>
          <t>100/100</t>
        </is>
      </c>
      <c r="E65" s="7" t="n">
        <v>3289.6</v>
      </c>
      <c r="F65" s="7" t="n">
        <v>3253.65</v>
      </c>
      <c r="G65" s="7" t="n">
        <v>3379.5</v>
      </c>
      <c r="H65" s="2" t="inlineStr">
        <is>
          <t>1:2.5</t>
        </is>
      </c>
      <c r="I65" s="2" t="n">
        <v>0</v>
      </c>
      <c r="J65" s="7" t="n">
        <v>0</v>
      </c>
      <c r="K65" s="2" t="inlineStr">
        <is>
          <t>PENDING</t>
        </is>
      </c>
      <c r="L65" s="2" t="inlineStr">
        <is>
          <t>Intraday Scanner (STATE 2: Bear Relief Rally)</t>
        </is>
      </c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2026-08-26</t>
        </is>
      </c>
      <c r="B66" s="2" t="inlineStr">
        <is>
          <t>KFINTECH</t>
        </is>
      </c>
      <c r="C66" s="2" t="inlineStr">
        <is>
          <t>KFin Technologies Limited</t>
        </is>
      </c>
      <c r="D66" s="2" t="inlineStr">
        <is>
          <t>100/100</t>
        </is>
      </c>
      <c r="E66" s="7" t="n">
        <v>976.5</v>
      </c>
      <c r="F66" s="7" t="n">
        <v>923.3499930245536</v>
      </c>
      <c r="G66" s="7" t="n">
        <v>1109.375017438616</v>
      </c>
      <c r="H66" s="2" t="inlineStr">
        <is>
          <t>1:2.5</t>
        </is>
      </c>
      <c r="I66" s="2" t="n">
        <v>0</v>
      </c>
      <c r="J66" s="7" t="n">
        <v>0</v>
      </c>
      <c r="K66" s="2" t="inlineStr">
        <is>
          <t>PENDING</t>
        </is>
      </c>
      <c r="L66" s="2" t="inlineStr">
        <is>
          <t>Swing Scanner (STATE 3: Capitulation Bottom)</t>
        </is>
      </c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2026-08-26</t>
        </is>
      </c>
      <c r="B67" s="2" t="inlineStr">
        <is>
          <t>IOLCP</t>
        </is>
      </c>
      <c r="C67" s="2" t="inlineStr">
        <is>
          <t>IOL Chemicals and Pharmaceuticals Limited</t>
        </is>
      </c>
      <c r="D67" s="2" t="inlineStr">
        <is>
          <t>98/100</t>
        </is>
      </c>
      <c r="E67" s="7" t="n">
        <v>186.0099945068359</v>
      </c>
      <c r="F67" s="7" t="n">
        <v>166.0214255196708</v>
      </c>
      <c r="G67" s="7" t="n">
        <v>235.9814169747489</v>
      </c>
      <c r="H67" s="2" t="inlineStr">
        <is>
          <t>1:2.5</t>
        </is>
      </c>
      <c r="I67" s="2" t="n">
        <v>0</v>
      </c>
      <c r="J67" s="7" t="n">
        <v>0</v>
      </c>
      <c r="K67" s="2" t="inlineStr">
        <is>
          <t>PENDING</t>
        </is>
      </c>
      <c r="L67" s="2" t="inlineStr">
        <is>
          <t>Swing Scanner (STATE 3: Capitulation Bottom)</t>
        </is>
      </c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2026-08-26</t>
        </is>
      </c>
      <c r="B68" s="2" t="inlineStr">
        <is>
          <t>JSWSTEEL</t>
        </is>
      </c>
      <c r="C68" s="2" t="inlineStr">
        <is>
          <t>JSW Steel Limited</t>
        </is>
      </c>
      <c r="D68" s="2" t="inlineStr">
        <is>
          <t>98/100</t>
        </is>
      </c>
      <c r="E68" s="7" t="n">
        <v>1341</v>
      </c>
      <c r="F68" s="7" t="n">
        <v>1293.114275251116</v>
      </c>
      <c r="G68" s="7" t="n">
        <v>1460.71431187221</v>
      </c>
      <c r="H68" s="2" t="inlineStr">
        <is>
          <t>1:2.5</t>
        </is>
      </c>
      <c r="I68" s="2" t="n">
        <v>0</v>
      </c>
      <c r="J68" s="7" t="n">
        <v>0</v>
      </c>
      <c r="K68" s="2" t="inlineStr">
        <is>
          <t>PENDING</t>
        </is>
      </c>
      <c r="L68" s="2" t="inlineStr">
        <is>
          <t>Swing Scanner (STATE 3: Capitulation Bottom)</t>
        </is>
      </c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2026-08-26</t>
        </is>
      </c>
      <c r="B69" s="2" t="inlineStr">
        <is>
          <t>COCHINSHIP</t>
        </is>
      </c>
      <c r="C69" s="2" t="inlineStr">
        <is>
          <t>Cochin Shipyard Limited</t>
        </is>
      </c>
      <c r="D69" s="2" t="inlineStr">
        <is>
          <t>98/100</t>
        </is>
      </c>
      <c r="E69" s="7" t="n">
        <v>1547</v>
      </c>
      <c r="F69" s="7" t="n">
        <v>1477.699986049107</v>
      </c>
      <c r="G69" s="7" t="n">
        <v>1720.250034877232</v>
      </c>
      <c r="H69" s="2" t="inlineStr">
        <is>
          <t>1:2.5</t>
        </is>
      </c>
      <c r="I69" s="2" t="n">
        <v>0</v>
      </c>
      <c r="J69" s="7" t="n">
        <v>0</v>
      </c>
      <c r="K69" s="2" t="inlineStr">
        <is>
          <t>PENDING</t>
        </is>
      </c>
      <c r="L69" s="2" t="inlineStr">
        <is>
          <t>Swing Scanner (STATE 3: Capitulation Bottom)</t>
        </is>
      </c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2026-08-26</t>
        </is>
      </c>
      <c r="B70" s="2" t="inlineStr">
        <is>
          <t>HINDZINC</t>
        </is>
      </c>
      <c r="C70" s="2" t="inlineStr">
        <is>
          <t>Hindustan Zinc Limited</t>
        </is>
      </c>
      <c r="D70" s="2" t="inlineStr">
        <is>
          <t>98/100</t>
        </is>
      </c>
      <c r="E70" s="7" t="n">
        <v>626.5</v>
      </c>
      <c r="F70" s="7" t="n">
        <v>587.1428484235491</v>
      </c>
      <c r="G70" s="7" t="n">
        <v>724.8928789411273</v>
      </c>
      <c r="H70" s="2" t="inlineStr">
        <is>
          <t>1:2.5</t>
        </is>
      </c>
      <c r="I70" s="2" t="n">
        <v>0</v>
      </c>
      <c r="J70" s="7" t="n">
        <v>0</v>
      </c>
      <c r="K70" s="2" t="inlineStr">
        <is>
          <t>PENDING</t>
        </is>
      </c>
      <c r="L70" s="2" t="inlineStr">
        <is>
          <t>Swing Scanner (STATE 3: Capitulation Bottom)</t>
        </is>
      </c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2026-08-26</t>
        </is>
      </c>
      <c r="B71" s="2" t="inlineStr">
        <is>
          <t>JSWSTEEL</t>
        </is>
      </c>
      <c r="C71" s="2" t="inlineStr">
        <is>
          <t>JSW Steel Limited</t>
        </is>
      </c>
      <c r="D71" s="2" t="inlineStr">
        <is>
          <t>100/100</t>
        </is>
      </c>
      <c r="E71" s="7" t="n">
        <v>1341</v>
      </c>
      <c r="F71" s="7" t="n">
        <v>1322.9</v>
      </c>
      <c r="G71" s="7" t="n">
        <v>1386.3</v>
      </c>
      <c r="H71" s="2" t="inlineStr">
        <is>
          <t>1:2.5</t>
        </is>
      </c>
      <c r="I71" s="2" t="n">
        <v>0</v>
      </c>
      <c r="J71" s="7" t="n">
        <v>0</v>
      </c>
      <c r="K71" s="2" t="inlineStr">
        <is>
          <t>PENDING</t>
        </is>
      </c>
      <c r="L71" s="2" t="inlineStr">
        <is>
          <t>Intraday Scanner (STATE 3: Capitulation Bottom)</t>
        </is>
      </c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2026-08-26</t>
        </is>
      </c>
      <c r="B72" s="2" t="inlineStr">
        <is>
          <t>MOIL</t>
        </is>
      </c>
      <c r="C72" s="2" t="inlineStr">
        <is>
          <t>MOIL Limited</t>
        </is>
      </c>
      <c r="D72" s="2" t="inlineStr">
        <is>
          <t>100/100</t>
        </is>
      </c>
      <c r="E72" s="7" t="n">
        <v>268.45</v>
      </c>
      <c r="F72" s="7" t="n">
        <v>263</v>
      </c>
      <c r="G72" s="7" t="n">
        <v>282.05</v>
      </c>
      <c r="H72" s="2" t="inlineStr">
        <is>
          <t>1:2.5</t>
        </is>
      </c>
      <c r="I72" s="2" t="n">
        <v>0</v>
      </c>
      <c r="J72" s="7" t="n">
        <v>0</v>
      </c>
      <c r="K72" s="2" t="inlineStr">
        <is>
          <t>PENDING</t>
        </is>
      </c>
      <c r="L72" s="2" t="inlineStr">
        <is>
          <t>Intraday Scanner (STATE 3: Capitulation Bottom)</t>
        </is>
      </c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2026-08-26</t>
        </is>
      </c>
      <c r="B73" s="2" t="inlineStr">
        <is>
          <t>JSL</t>
        </is>
      </c>
      <c r="C73" s="2" t="inlineStr">
        <is>
          <t>Jindal Stainless Limited</t>
        </is>
      </c>
      <c r="D73" s="2" t="inlineStr">
        <is>
          <t>100/100</t>
        </is>
      </c>
      <c r="E73" s="7" t="n">
        <v>712.95</v>
      </c>
      <c r="F73" s="7" t="n">
        <v>703.4</v>
      </c>
      <c r="G73" s="7" t="n">
        <v>736.9</v>
      </c>
      <c r="H73" s="2" t="inlineStr">
        <is>
          <t>1:2.5</t>
        </is>
      </c>
      <c r="I73" s="2" t="n">
        <v>0</v>
      </c>
      <c r="J73" s="7" t="n">
        <v>0</v>
      </c>
      <c r="K73" s="2" t="inlineStr">
        <is>
          <t>PENDING</t>
        </is>
      </c>
      <c r="L73" s="2" t="inlineStr">
        <is>
          <t>Intraday Scanner (STATE 3: Capitulation Bottom)</t>
        </is>
      </c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2026-08-26</t>
        </is>
      </c>
      <c r="B74" s="2" t="inlineStr">
        <is>
          <t>DALBHARAT</t>
        </is>
      </c>
      <c r="C74" s="2" t="inlineStr">
        <is>
          <t>Dalmia Bharat Limited</t>
        </is>
      </c>
      <c r="D74" s="2" t="inlineStr">
        <is>
          <t>100/100</t>
        </is>
      </c>
      <c r="E74" s="7" t="n">
        <v>1898</v>
      </c>
      <c r="F74" s="7" t="n">
        <v>1854.55</v>
      </c>
      <c r="G74" s="7" t="n">
        <v>2006.6</v>
      </c>
      <c r="H74" s="2" t="inlineStr">
        <is>
          <t>1:2.5</t>
        </is>
      </c>
      <c r="I74" s="2" t="n">
        <v>0</v>
      </c>
      <c r="J74" s="7" t="n">
        <v>0</v>
      </c>
      <c r="K74" s="2" t="inlineStr">
        <is>
          <t>PENDING</t>
        </is>
      </c>
      <c r="L74" s="2" t="inlineStr">
        <is>
          <t>Intraday Scanner (STATE 3: Capitulation Bottom)</t>
        </is>
      </c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2026-08-26</t>
        </is>
      </c>
      <c r="B75" s="2" t="inlineStr">
        <is>
          <t>ATUL</t>
        </is>
      </c>
      <c r="C75" s="2" t="inlineStr">
        <is>
          <t>Atul Limited</t>
        </is>
      </c>
      <c r="D75" s="2" t="inlineStr">
        <is>
          <t>100/100</t>
        </is>
      </c>
      <c r="E75" s="7" t="n">
        <v>6564.5</v>
      </c>
      <c r="F75" s="7" t="n">
        <v>6481.4</v>
      </c>
      <c r="G75" s="7" t="n">
        <v>6772.25</v>
      </c>
      <c r="H75" s="2" t="inlineStr">
        <is>
          <t>1:2.5</t>
        </is>
      </c>
      <c r="I75" s="2" t="n">
        <v>0</v>
      </c>
      <c r="J75" s="7" t="n">
        <v>0</v>
      </c>
      <c r="K75" s="2" t="inlineStr">
        <is>
          <t>PENDING</t>
        </is>
      </c>
      <c r="L75" s="2" t="inlineStr">
        <is>
          <t>Intraday Scanner (STATE 3: Capitulation Bottom)</t>
        </is>
      </c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2026-08-28</t>
        </is>
      </c>
      <c r="B76" s="2" t="inlineStr">
        <is>
          <t>AHCL</t>
        </is>
      </c>
      <c r="C76" s="2" t="inlineStr">
        <is>
          <t>AHCL</t>
        </is>
      </c>
      <c r="D76" s="2" t="inlineStr">
        <is>
          <t>98/100</t>
        </is>
      </c>
      <c r="E76" s="7" t="n">
        <v>15.60000038146973</v>
      </c>
      <c r="F76" s="7" t="n">
        <v>14.66428620474679</v>
      </c>
      <c r="G76" s="7" t="n">
        <v>17.93928582327706</v>
      </c>
      <c r="H76" s="2" t="inlineStr">
        <is>
          <t>1:2.5</t>
        </is>
      </c>
      <c r="I76" s="2" t="n">
        <v>3</v>
      </c>
      <c r="J76" s="7" t="n">
        <v>46.80000114440918</v>
      </c>
      <c r="K76" s="2" t="inlineStr">
        <is>
          <t>PENDING</t>
        </is>
      </c>
      <c r="L76" s="2" t="inlineStr">
        <is>
          <t>Swing Scanner (STATE 3: Capitulation Bottom)</t>
        </is>
      </c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2026-08-28</t>
        </is>
      </c>
      <c r="B77" s="2" t="inlineStr">
        <is>
          <t>BHEL</t>
        </is>
      </c>
      <c r="C77" s="2" t="inlineStr">
        <is>
          <t>Bharat Heavy Electricals Limited</t>
        </is>
      </c>
      <c r="D77" s="2" t="inlineStr">
        <is>
          <t>98/100</t>
        </is>
      </c>
      <c r="E77" s="7" t="n">
        <v>433.9500122070312</v>
      </c>
      <c r="F77" s="7" t="n">
        <v>411.3428649902344</v>
      </c>
      <c r="G77" s="7" t="n">
        <v>490.4678802490234</v>
      </c>
      <c r="H77" s="2" t="inlineStr">
        <is>
          <t>1:2.5</t>
        </is>
      </c>
      <c r="I77" s="2" t="n">
        <v>0</v>
      </c>
      <c r="J77" s="7" t="n">
        <v>0</v>
      </c>
      <c r="K77" s="2" t="inlineStr">
        <is>
          <t>PENDING</t>
        </is>
      </c>
      <c r="L77" s="2" t="inlineStr">
        <is>
          <t>Swing Scanner (STATE 3: Capitulation Bottom)</t>
        </is>
      </c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2026-08-28</t>
        </is>
      </c>
      <c r="B78" s="2" t="inlineStr">
        <is>
          <t>DALBHARAT</t>
        </is>
      </c>
      <c r="C78" s="2" t="inlineStr">
        <is>
          <t>Dalmia Bharat Limited</t>
        </is>
      </c>
      <c r="D78" s="2" t="inlineStr">
        <is>
          <t>98/100</t>
        </is>
      </c>
      <c r="E78" s="7" t="n">
        <v>1898</v>
      </c>
      <c r="F78" s="7" t="n">
        <v>1804.699968610491</v>
      </c>
      <c r="G78" s="7" t="n">
        <v>2131.250078473772</v>
      </c>
      <c r="H78" s="2" t="inlineStr">
        <is>
          <t>1:2.5</t>
        </is>
      </c>
      <c r="I78" s="2" t="n">
        <v>0</v>
      </c>
      <c r="J78" s="7" t="n">
        <v>0</v>
      </c>
      <c r="K78" s="2" t="inlineStr">
        <is>
          <t>PENDING</t>
        </is>
      </c>
      <c r="L78" s="2" t="inlineStr">
        <is>
          <t>Swing Scanner (STATE 3: Capitulation Bottom)</t>
        </is>
      </c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2026-08-28</t>
        </is>
      </c>
      <c r="B79" s="2" t="inlineStr">
        <is>
          <t>APARINDS</t>
        </is>
      </c>
      <c r="C79" s="2" t="inlineStr">
        <is>
          <t>APAR Industries Limited</t>
        </is>
      </c>
      <c r="D79" s="2" t="inlineStr">
        <is>
          <t>98/100</t>
        </is>
      </c>
      <c r="E79" s="7" t="n">
        <v>17900</v>
      </c>
      <c r="F79" s="7" t="n">
        <v>16339.85714285714</v>
      </c>
      <c r="G79" s="7" t="n">
        <v>21800.35714285714</v>
      </c>
      <c r="H79" s="2" t="inlineStr">
        <is>
          <t>1:2.5</t>
        </is>
      </c>
      <c r="I79" s="2" t="n">
        <v>0</v>
      </c>
      <c r="J79" s="7" t="n">
        <v>0</v>
      </c>
      <c r="K79" s="2" t="inlineStr">
        <is>
          <t>PENDING</t>
        </is>
      </c>
      <c r="L79" s="2" t="inlineStr">
        <is>
          <t>Swing Scanner (STATE 3: Capitulation Bottom)</t>
        </is>
      </c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2026-08-28</t>
        </is>
      </c>
      <c r="B80" s="2" t="inlineStr">
        <is>
          <t>JSWSTEEL</t>
        </is>
      </c>
      <c r="C80" s="2" t="inlineStr">
        <is>
          <t>JSW Steel Limited</t>
        </is>
      </c>
      <c r="D80" s="2" t="inlineStr">
        <is>
          <t>98/100</t>
        </is>
      </c>
      <c r="E80" s="7" t="n">
        <v>1341</v>
      </c>
      <c r="F80" s="7" t="n">
        <v>1293.114275251116</v>
      </c>
      <c r="G80" s="7" t="n">
        <v>1460.71431187221</v>
      </c>
      <c r="H80" s="2" t="inlineStr">
        <is>
          <t>1:2.5</t>
        </is>
      </c>
      <c r="I80" s="2" t="n">
        <v>0</v>
      </c>
      <c r="J80" s="7" t="n">
        <v>0</v>
      </c>
      <c r="K80" s="2" t="inlineStr">
        <is>
          <t>PENDING</t>
        </is>
      </c>
      <c r="L80" s="2" t="inlineStr">
        <is>
          <t>Swing Scanner (STATE 3: Capitulation Bottom)</t>
        </is>
      </c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2026-08-28</t>
        </is>
      </c>
      <c r="B81" s="2" t="inlineStr">
        <is>
          <t>TATACHEM</t>
        </is>
      </c>
      <c r="C81" s="2" t="inlineStr">
        <is>
          <t>Tata Chemicals Limited</t>
        </is>
      </c>
      <c r="D81" s="2" t="inlineStr">
        <is>
          <t>100/100</t>
        </is>
      </c>
      <c r="E81" s="7" t="n">
        <v>644.4</v>
      </c>
      <c r="F81" s="7" t="n">
        <v>637.45</v>
      </c>
      <c r="G81" s="7" t="n">
        <v>661.8</v>
      </c>
      <c r="H81" s="2" t="inlineStr">
        <is>
          <t>1:2.5</t>
        </is>
      </c>
      <c r="I81" s="2" t="n">
        <v>0</v>
      </c>
      <c r="J81" s="7" t="n">
        <v>0</v>
      </c>
      <c r="K81" s="2" t="inlineStr">
        <is>
          <t>PENDING</t>
        </is>
      </c>
      <c r="L81" s="2" t="inlineStr">
        <is>
          <t>Intraday Scanner (STATE 3: Capitulation Bottom)</t>
        </is>
      </c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2026-08-28</t>
        </is>
      </c>
      <c r="B82" s="2" t="inlineStr">
        <is>
          <t>MANKIND</t>
        </is>
      </c>
      <c r="C82" s="2" t="inlineStr">
        <is>
          <t>Mankind Pharma Limited</t>
        </is>
      </c>
      <c r="D82" s="2" t="inlineStr">
        <is>
          <t>100/100</t>
        </is>
      </c>
      <c r="E82" s="7" t="n">
        <v>2417.5</v>
      </c>
      <c r="F82" s="7" t="n">
        <v>2391.65</v>
      </c>
      <c r="G82" s="7" t="n">
        <v>2482.15</v>
      </c>
      <c r="H82" s="2" t="inlineStr">
        <is>
          <t>1:2.5</t>
        </is>
      </c>
      <c r="I82" s="2" t="n">
        <v>0</v>
      </c>
      <c r="J82" s="7" t="n">
        <v>0</v>
      </c>
      <c r="K82" s="2" t="inlineStr">
        <is>
          <t>PENDING</t>
        </is>
      </c>
      <c r="L82" s="2" t="inlineStr">
        <is>
          <t>Intraday Scanner (STATE 3: Capitulation Bottom)</t>
        </is>
      </c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2026-08-28</t>
        </is>
      </c>
      <c r="B83" s="2" t="inlineStr">
        <is>
          <t>LAURUSLABS</t>
        </is>
      </c>
      <c r="C83" s="2" t="inlineStr">
        <is>
          <t>Laurus Labs Limited</t>
        </is>
      </c>
      <c r="D83" s="2" t="inlineStr">
        <is>
          <t>100/100</t>
        </is>
      </c>
      <c r="E83" s="7" t="n">
        <v>1929.4</v>
      </c>
      <c r="F83" s="7" t="n">
        <v>1887.4</v>
      </c>
      <c r="G83" s="7" t="n">
        <v>2034.4</v>
      </c>
      <c r="H83" s="2" t="inlineStr">
        <is>
          <t>1:2.5</t>
        </is>
      </c>
      <c r="I83" s="2" t="n">
        <v>0</v>
      </c>
      <c r="J83" s="7" t="n">
        <v>0</v>
      </c>
      <c r="K83" s="2" t="inlineStr">
        <is>
          <t>PENDING</t>
        </is>
      </c>
      <c r="L83" s="2" t="inlineStr">
        <is>
          <t>Intraday Scanner (STATE 3: Capitulation Bottom)</t>
        </is>
      </c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2026-08-28</t>
        </is>
      </c>
      <c r="B84" s="2" t="inlineStr">
        <is>
          <t>SCHNEIDER</t>
        </is>
      </c>
      <c r="C84" s="2" t="inlineStr">
        <is>
          <t>Schneider Electric Infrastructure Limited</t>
        </is>
      </c>
      <c r="D84" s="2" t="inlineStr">
        <is>
          <t>100/100</t>
        </is>
      </c>
      <c r="E84" s="7" t="n">
        <v>1207</v>
      </c>
      <c r="F84" s="7" t="n">
        <v>1169.25</v>
      </c>
      <c r="G84" s="7" t="n">
        <v>1301.45</v>
      </c>
      <c r="H84" s="2" t="inlineStr">
        <is>
          <t>1:2.5</t>
        </is>
      </c>
      <c r="I84" s="2" t="n">
        <v>0</v>
      </c>
      <c r="J84" s="7" t="n">
        <v>0</v>
      </c>
      <c r="K84" s="2" t="inlineStr">
        <is>
          <t>PENDING</t>
        </is>
      </c>
      <c r="L84" s="2" t="inlineStr">
        <is>
          <t>Intraday Scanner (STATE 3: Capitulation Bottom)</t>
        </is>
      </c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2026-08-28</t>
        </is>
      </c>
      <c r="B85" s="2" t="inlineStr">
        <is>
          <t>FINEORG</t>
        </is>
      </c>
      <c r="C85" s="2" t="inlineStr">
        <is>
          <t>Fine Organic Industries Limited</t>
        </is>
      </c>
      <c r="D85" s="2" t="inlineStr">
        <is>
          <t>100/100</t>
        </is>
      </c>
      <c r="E85" s="7" t="n">
        <v>5258.2</v>
      </c>
      <c r="F85" s="7" t="n">
        <v>5148.65</v>
      </c>
      <c r="G85" s="7" t="n">
        <v>5532.1</v>
      </c>
      <c r="H85" s="2" t="inlineStr">
        <is>
          <t>1:2.5</t>
        </is>
      </c>
      <c r="I85" s="2" t="n">
        <v>0</v>
      </c>
      <c r="J85" s="7" t="n">
        <v>0</v>
      </c>
      <c r="K85" s="2" t="inlineStr">
        <is>
          <t>PENDING</t>
        </is>
      </c>
      <c r="L85" s="2" t="inlineStr">
        <is>
          <t>Intraday Scanner (STATE 3: Capitulation Bottom)</t>
        </is>
      </c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2026-08-29</t>
        </is>
      </c>
      <c r="B86" s="2" t="inlineStr">
        <is>
          <t>JAIBALAJI</t>
        </is>
      </c>
      <c r="C86" s="2" t="inlineStr">
        <is>
          <t>Jai Balaji Industries Limited</t>
        </is>
      </c>
      <c r="D86" s="2" t="inlineStr">
        <is>
          <t>100/100</t>
        </is>
      </c>
      <c r="E86" s="7" t="n">
        <v>70.16000366210938</v>
      </c>
      <c r="F86" s="7" t="n">
        <v>62.67143249511719</v>
      </c>
      <c r="G86" s="7" t="n">
        <v>88.88143157958984</v>
      </c>
      <c r="H86" s="2" t="inlineStr">
        <is>
          <t>1:2.5</t>
        </is>
      </c>
      <c r="I86" s="2" t="n">
        <v>0</v>
      </c>
      <c r="J86" s="7" t="n">
        <v>0</v>
      </c>
      <c r="K86" s="2" t="inlineStr">
        <is>
          <t>PENDING</t>
        </is>
      </c>
      <c r="L86" s="2" t="inlineStr">
        <is>
          <t>Swing Scanner (STATE 3: Capitulation Bottom)</t>
        </is>
      </c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2026-08-29</t>
        </is>
      </c>
      <c r="B87" s="2" t="inlineStr">
        <is>
          <t>APARINDS</t>
        </is>
      </c>
      <c r="C87" s="2" t="inlineStr">
        <is>
          <t>APAR Industries Limited</t>
        </is>
      </c>
      <c r="D87" s="2" t="inlineStr">
        <is>
          <t>98/100</t>
        </is>
      </c>
      <c r="E87" s="7" t="n">
        <v>17900</v>
      </c>
      <c r="F87" s="7" t="n">
        <v>16339.85714285714</v>
      </c>
      <c r="G87" s="7" t="n">
        <v>21800.35714285714</v>
      </c>
      <c r="H87" s="2" t="inlineStr">
        <is>
          <t>1:2.5</t>
        </is>
      </c>
      <c r="I87" s="2" t="n">
        <v>0</v>
      </c>
      <c r="J87" s="7" t="n">
        <v>0</v>
      </c>
      <c r="K87" s="2" t="inlineStr">
        <is>
          <t>PENDING</t>
        </is>
      </c>
      <c r="L87" s="2" t="inlineStr">
        <is>
          <t>Swing Scanner (STATE 3: Capitulation Bottom)</t>
        </is>
      </c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2026-08-29</t>
        </is>
      </c>
      <c r="B88" s="2" t="inlineStr">
        <is>
          <t>SHYAMMETL</t>
        </is>
      </c>
      <c r="C88" s="2" t="inlineStr">
        <is>
          <t>Shyam Metalics and Energy Limited</t>
        </is>
      </c>
      <c r="D88" s="2" t="inlineStr">
        <is>
          <t>98/100</t>
        </is>
      </c>
      <c r="E88" s="7" t="n">
        <v>1042.400024414062</v>
      </c>
      <c r="F88" s="7" t="n">
        <v>994.9857177734375</v>
      </c>
      <c r="G88" s="7" t="n">
        <v>1160.935791015625</v>
      </c>
      <c r="H88" s="2" t="inlineStr">
        <is>
          <t>1:2.5</t>
        </is>
      </c>
      <c r="I88" s="2" t="n">
        <v>0</v>
      </c>
      <c r="J88" s="7" t="n">
        <v>0</v>
      </c>
      <c r="K88" s="2" t="inlineStr">
        <is>
          <t>PENDING</t>
        </is>
      </c>
      <c r="L88" s="2" t="inlineStr">
        <is>
          <t>Swing Scanner (STATE 3: Capitulation Bottom)</t>
        </is>
      </c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2026-08-29</t>
        </is>
      </c>
      <c r="B89" s="2" t="inlineStr">
        <is>
          <t>AHCL</t>
        </is>
      </c>
      <c r="C89" s="2" t="inlineStr">
        <is>
          <t>AHCL</t>
        </is>
      </c>
      <c r="D89" s="2" t="inlineStr">
        <is>
          <t>98/100</t>
        </is>
      </c>
      <c r="E89" s="7" t="n">
        <v>15.60000038146973</v>
      </c>
      <c r="F89" s="7" t="n">
        <v>14.66428620474679</v>
      </c>
      <c r="G89" s="7" t="n">
        <v>17.93928582327706</v>
      </c>
      <c r="H89" s="2" t="inlineStr">
        <is>
          <t>1:2.5</t>
        </is>
      </c>
      <c r="I89" s="2" t="n">
        <v>3</v>
      </c>
      <c r="J89" s="7" t="n">
        <v>46.80000114440918</v>
      </c>
      <c r="K89" s="2" t="inlineStr">
        <is>
          <t>PENDING</t>
        </is>
      </c>
      <c r="L89" s="2" t="inlineStr">
        <is>
          <t>Swing Scanner (STATE 3: Capitulation Bottom)</t>
        </is>
      </c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2026-08-29</t>
        </is>
      </c>
      <c r="B90" s="2" t="inlineStr">
        <is>
          <t>BHEL</t>
        </is>
      </c>
      <c r="C90" s="2" t="inlineStr">
        <is>
          <t>Bharat Heavy Electricals Limited</t>
        </is>
      </c>
      <c r="D90" s="2" t="inlineStr">
        <is>
          <t>98/100</t>
        </is>
      </c>
      <c r="E90" s="7" t="n">
        <v>433.9500122070312</v>
      </c>
      <c r="F90" s="7" t="n">
        <v>411.3428649902344</v>
      </c>
      <c r="G90" s="7" t="n">
        <v>490.4678802490234</v>
      </c>
      <c r="H90" s="2" t="inlineStr">
        <is>
          <t>1:2.5</t>
        </is>
      </c>
      <c r="I90" s="2" t="n">
        <v>0</v>
      </c>
      <c r="J90" s="7" t="n">
        <v>0</v>
      </c>
      <c r="K90" s="2" t="inlineStr">
        <is>
          <t>PENDING</t>
        </is>
      </c>
      <c r="L90" s="2" t="inlineStr">
        <is>
          <t>Swing Scanner (STATE 3: Capitulation Bottom)</t>
        </is>
      </c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2026-08-29</t>
        </is>
      </c>
      <c r="B91" s="2" t="inlineStr">
        <is>
          <t>NESTLEIND</t>
        </is>
      </c>
      <c r="C91" s="2" t="inlineStr">
        <is>
          <t>Nestle India Limited</t>
        </is>
      </c>
      <c r="D91" s="2" t="inlineStr">
        <is>
          <t>100/100</t>
        </is>
      </c>
      <c r="E91" s="7" t="n">
        <v>1454.6</v>
      </c>
      <c r="F91" s="7" t="n">
        <v>1442.5</v>
      </c>
      <c r="G91" s="7" t="n">
        <v>1484.85</v>
      </c>
      <c r="H91" s="2" t="inlineStr">
        <is>
          <t>1:2.5</t>
        </is>
      </c>
      <c r="I91" s="2" t="n">
        <v>0</v>
      </c>
      <c r="J91" s="7" t="n">
        <v>0</v>
      </c>
      <c r="K91" s="2" t="inlineStr">
        <is>
          <t>PENDING</t>
        </is>
      </c>
      <c r="L91" s="2" t="inlineStr">
        <is>
          <t>Intraday Scanner (STATE 3: Capitulation Bottom)</t>
        </is>
      </c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2026-08-29</t>
        </is>
      </c>
      <c r="B92" s="2" t="inlineStr">
        <is>
          <t>CIPLA</t>
        </is>
      </c>
      <c r="C92" s="2" t="inlineStr">
        <is>
          <t>Cipla Limited</t>
        </is>
      </c>
      <c r="D92" s="2" t="inlineStr">
        <is>
          <t>100/100</t>
        </is>
      </c>
      <c r="E92" s="7" t="n">
        <v>1423.5</v>
      </c>
      <c r="F92" s="7" t="n">
        <v>1411.6</v>
      </c>
      <c r="G92" s="7" t="n">
        <v>1453.25</v>
      </c>
      <c r="H92" s="2" t="inlineStr">
        <is>
          <t>1:2.5</t>
        </is>
      </c>
      <c r="I92" s="2" t="n">
        <v>0</v>
      </c>
      <c r="J92" s="7" t="n">
        <v>0</v>
      </c>
      <c r="K92" s="2" t="inlineStr">
        <is>
          <t>PENDING</t>
        </is>
      </c>
      <c r="L92" s="2" t="inlineStr">
        <is>
          <t>Intraday Scanner (STATE 3: Capitulation Bottom)</t>
        </is>
      </c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2026-08-29</t>
        </is>
      </c>
      <c r="B93" s="2" t="inlineStr">
        <is>
          <t>ZYDUSLIFE</t>
        </is>
      </c>
      <c r="C93" s="2" t="inlineStr">
        <is>
          <t>Zydus Lifesciences Limited</t>
        </is>
      </c>
      <c r="D93" s="2" t="inlineStr">
        <is>
          <t>100/100</t>
        </is>
      </c>
      <c r="E93" s="7" t="n">
        <v>1191</v>
      </c>
      <c r="F93" s="7" t="n">
        <v>1159.4</v>
      </c>
      <c r="G93" s="7" t="n">
        <v>1270</v>
      </c>
      <c r="H93" s="2" t="inlineStr">
        <is>
          <t>1:2.5</t>
        </is>
      </c>
      <c r="I93" s="2" t="n">
        <v>0</v>
      </c>
      <c r="J93" s="7" t="n">
        <v>0</v>
      </c>
      <c r="K93" s="2" t="inlineStr">
        <is>
          <t>PENDING</t>
        </is>
      </c>
      <c r="L93" s="2" t="inlineStr">
        <is>
          <t>Intraday Scanner (STATE 3: Capitulation Bottom)</t>
        </is>
      </c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2026-08-29</t>
        </is>
      </c>
      <c r="B94" s="2" t="inlineStr">
        <is>
          <t>KEI</t>
        </is>
      </c>
      <c r="C94" s="2" t="inlineStr">
        <is>
          <t>KEI Industries Limited</t>
        </is>
      </c>
      <c r="D94" s="2" t="inlineStr">
        <is>
          <t>100/100</t>
        </is>
      </c>
      <c r="E94" s="7" t="n">
        <v>5570</v>
      </c>
      <c r="F94" s="7" t="n">
        <v>5526.55</v>
      </c>
      <c r="G94" s="7" t="n">
        <v>5678.6</v>
      </c>
      <c r="H94" s="2" t="inlineStr">
        <is>
          <t>1:2.5</t>
        </is>
      </c>
      <c r="I94" s="2" t="n">
        <v>0</v>
      </c>
      <c r="J94" s="7" t="n">
        <v>0</v>
      </c>
      <c r="K94" s="2" t="inlineStr">
        <is>
          <t>PENDING</t>
        </is>
      </c>
      <c r="L94" s="2" t="inlineStr">
        <is>
          <t>Intraday Scanner (STATE 3: Capitulation Bottom)</t>
        </is>
      </c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2026-08-29</t>
        </is>
      </c>
      <c r="B95" s="2" t="inlineStr">
        <is>
          <t>GLENMARK</t>
        </is>
      </c>
      <c r="C95" s="2" t="inlineStr">
        <is>
          <t>Glenmark Pharmaceuticals Limited</t>
        </is>
      </c>
      <c r="D95" s="2" t="inlineStr">
        <is>
          <t>100/100</t>
        </is>
      </c>
      <c r="E95" s="7" t="n">
        <v>2515</v>
      </c>
      <c r="F95" s="7" t="n">
        <v>2442.65</v>
      </c>
      <c r="G95" s="7" t="n">
        <v>2695.9</v>
      </c>
      <c r="H95" s="2" t="inlineStr">
        <is>
          <t>1:2.5</t>
        </is>
      </c>
      <c r="I95" s="2" t="n">
        <v>0</v>
      </c>
      <c r="J95" s="7" t="n">
        <v>0</v>
      </c>
      <c r="K95" s="2" t="inlineStr">
        <is>
          <t>PENDING</t>
        </is>
      </c>
      <c r="L95" s="2" t="inlineStr">
        <is>
          <t>Intraday Scanner (STATE 3: Capitulation Bottom)</t>
        </is>
      </c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2026-08-31</t>
        </is>
      </c>
      <c r="B96" s="2" t="inlineStr">
        <is>
          <t>LAURUSLABS</t>
        </is>
      </c>
      <c r="C96" s="2" t="inlineStr">
        <is>
          <t>Laurus Labs Limited</t>
        </is>
      </c>
      <c r="D96" s="2" t="inlineStr">
        <is>
          <t>100/100</t>
        </is>
      </c>
      <c r="E96" s="7" t="n">
        <v>1938.5</v>
      </c>
      <c r="F96" s="7" t="n">
        <v>1859.085710797991</v>
      </c>
      <c r="G96" s="7" t="n">
        <v>2137.035723005022</v>
      </c>
      <c r="H96" s="2" t="inlineStr">
        <is>
          <t>1:2.5</t>
        </is>
      </c>
      <c r="I96" s="2" t="n">
        <v>0</v>
      </c>
      <c r="J96" s="7" t="n">
        <v>0</v>
      </c>
      <c r="K96" s="2" t="inlineStr">
        <is>
          <t>PENDING</t>
        </is>
      </c>
      <c r="L96" s="2" t="inlineStr">
        <is>
          <t>Swing Scanner (STATE 3: Capitulation Bottom)</t>
        </is>
      </c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2026-08-31</t>
        </is>
      </c>
      <c r="B97" s="2" t="inlineStr">
        <is>
          <t>GHCLTEXTIL</t>
        </is>
      </c>
      <c r="C97" s="2" t="inlineStr">
        <is>
          <t>GHCL Textiles Limited</t>
        </is>
      </c>
      <c r="D97" s="2" t="inlineStr">
        <is>
          <t>98/100</t>
        </is>
      </c>
      <c r="E97" s="7" t="n">
        <v>130.7899932861328</v>
      </c>
      <c r="F97" s="7" t="n">
        <v>119.39856501988</v>
      </c>
      <c r="G97" s="7" t="n">
        <v>159.2685639517648</v>
      </c>
      <c r="H97" s="2" t="inlineStr">
        <is>
          <t>1:2.5</t>
        </is>
      </c>
      <c r="I97" s="2" t="n">
        <v>0</v>
      </c>
      <c r="J97" s="7" t="n">
        <v>0</v>
      </c>
      <c r="K97" s="2" t="inlineStr">
        <is>
          <t>PENDING</t>
        </is>
      </c>
      <c r="L97" s="2" t="inlineStr">
        <is>
          <t>Swing Scanner (STATE 3: Capitulation Bottom)</t>
        </is>
      </c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2026-08-31</t>
        </is>
      </c>
      <c r="B98" s="2" t="inlineStr">
        <is>
          <t>INOXINDIA</t>
        </is>
      </c>
      <c r="C98" s="2" t="inlineStr">
        <is>
          <t>INOX India Limited</t>
        </is>
      </c>
      <c r="D98" s="2" t="inlineStr">
        <is>
          <t>98/100</t>
        </is>
      </c>
      <c r="E98" s="7" t="n">
        <v>2126.199951171875</v>
      </c>
      <c r="F98" s="7" t="n">
        <v>1963.67138671875</v>
      </c>
      <c r="G98" s="7" t="n">
        <v>2532.521362304688</v>
      </c>
      <c r="H98" s="2" t="inlineStr">
        <is>
          <t>1:2.5</t>
        </is>
      </c>
      <c r="I98" s="2" t="n">
        <v>0</v>
      </c>
      <c r="J98" s="7" t="n">
        <v>0</v>
      </c>
      <c r="K98" s="2" t="inlineStr">
        <is>
          <t>PENDING</t>
        </is>
      </c>
      <c r="L98" s="2" t="inlineStr">
        <is>
          <t>Swing Scanner (STATE 3: Capitulation Bottom)</t>
        </is>
      </c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2026-08-31</t>
        </is>
      </c>
      <c r="B99" s="2" t="inlineStr">
        <is>
          <t>PTCIL</t>
        </is>
      </c>
      <c r="C99" s="2" t="inlineStr">
        <is>
          <t>PTC Industries Limited</t>
        </is>
      </c>
      <c r="D99" s="2" t="inlineStr">
        <is>
          <t>98/100</t>
        </is>
      </c>
      <c r="E99" s="7" t="n">
        <v>22110</v>
      </c>
      <c r="F99" s="7" t="n">
        <v>20406.28571428571</v>
      </c>
      <c r="G99" s="7" t="n">
        <v>26369.28571428571</v>
      </c>
      <c r="H99" s="2" t="inlineStr">
        <is>
          <t>1:2.5</t>
        </is>
      </c>
      <c r="I99" s="2" t="n">
        <v>0</v>
      </c>
      <c r="J99" s="7" t="n">
        <v>0</v>
      </c>
      <c r="K99" s="2" t="inlineStr">
        <is>
          <t>PENDING</t>
        </is>
      </c>
      <c r="L99" s="2" t="inlineStr">
        <is>
          <t>Swing Scanner (STATE 3: Capitulation Bottom)</t>
        </is>
      </c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2026-08-31</t>
        </is>
      </c>
      <c r="B100" s="2" t="inlineStr">
        <is>
          <t>SAGILITY</t>
        </is>
      </c>
      <c r="C100" s="2" t="inlineStr">
        <is>
          <t>Sagility Limited</t>
        </is>
      </c>
      <c r="D100" s="2" t="inlineStr">
        <is>
          <t>98/100</t>
        </is>
      </c>
      <c r="E100" s="7" t="n">
        <v>46.34000015258789</v>
      </c>
      <c r="F100" s="7" t="n">
        <v>43.83428628104074</v>
      </c>
      <c r="G100" s="7" t="n">
        <v>52.60428483145578</v>
      </c>
      <c r="H100" s="2" t="inlineStr">
        <is>
          <t>1:2.5</t>
        </is>
      </c>
      <c r="I100" s="2" t="n">
        <v>1</v>
      </c>
      <c r="J100" s="7" t="n">
        <v>46.34000015258789</v>
      </c>
      <c r="K100" s="2" t="inlineStr">
        <is>
          <t>PENDING</t>
        </is>
      </c>
      <c r="L100" s="2" t="inlineStr">
        <is>
          <t>Swing Scanner (STATE 3: Capitulation Bottom)</t>
        </is>
      </c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2026-08-31</t>
        </is>
      </c>
      <c r="B101" s="2" t="inlineStr">
        <is>
          <t>TCS</t>
        </is>
      </c>
      <c r="C101" s="2" t="inlineStr">
        <is>
          <t>Tata Consultancy Services</t>
        </is>
      </c>
      <c r="D101" s="2" t="inlineStr">
        <is>
          <t>100/100</t>
        </is>
      </c>
      <c r="E101" s="7" t="n">
        <v>2399.3</v>
      </c>
      <c r="F101" s="7" t="n">
        <v>2352.75</v>
      </c>
      <c r="G101" s="7" t="n">
        <v>2515.7</v>
      </c>
      <c r="H101" s="2" t="inlineStr">
        <is>
          <t>1:2.5</t>
        </is>
      </c>
      <c r="I101" s="2" t="n">
        <v>0</v>
      </c>
      <c r="J101" s="7" t="n">
        <v>0</v>
      </c>
      <c r="K101" s="2" t="inlineStr">
        <is>
          <t>PENDING</t>
        </is>
      </c>
      <c r="L101" s="2" t="inlineStr">
        <is>
          <t>Intraday Scanner (STATE 3: Capitulation Bottom)</t>
        </is>
      </c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2026-08-31</t>
        </is>
      </c>
      <c r="B102" s="2" t="inlineStr">
        <is>
          <t>SUNPHARMA</t>
        </is>
      </c>
      <c r="C102" s="2" t="inlineStr">
        <is>
          <t>Sun Pharmaceutical Industries Limited</t>
        </is>
      </c>
      <c r="D102" s="2" t="inlineStr">
        <is>
          <t>100/100</t>
        </is>
      </c>
      <c r="E102" s="7" t="n">
        <v>1984.8</v>
      </c>
      <c r="F102" s="7" t="n">
        <v>1958.65</v>
      </c>
      <c r="G102" s="7" t="n">
        <v>2050.2</v>
      </c>
      <c r="H102" s="2" t="inlineStr">
        <is>
          <t>1:2.5</t>
        </is>
      </c>
      <c r="I102" s="2" t="n">
        <v>0</v>
      </c>
      <c r="J102" s="7" t="n">
        <v>0</v>
      </c>
      <c r="K102" s="2" t="inlineStr">
        <is>
          <t>PENDING</t>
        </is>
      </c>
      <c r="L102" s="2" t="inlineStr">
        <is>
          <t>Intraday Scanner (STATE 3: Capitulation Bottom)</t>
        </is>
      </c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2026-08-31</t>
        </is>
      </c>
      <c r="B103" s="2" t="inlineStr">
        <is>
          <t>ASIANPAINT</t>
        </is>
      </c>
      <c r="C103" s="2" t="inlineStr">
        <is>
          <t>Asian Paints Limited</t>
        </is>
      </c>
      <c r="D103" s="2" t="inlineStr">
        <is>
          <t>100/100</t>
        </is>
      </c>
      <c r="E103" s="7" t="n">
        <v>2653.6</v>
      </c>
      <c r="F103" s="7" t="n">
        <v>2620.2</v>
      </c>
      <c r="G103" s="7" t="n">
        <v>2737.15</v>
      </c>
      <c r="H103" s="2" t="inlineStr">
        <is>
          <t>1:2.5</t>
        </is>
      </c>
      <c r="I103" s="2" t="n">
        <v>0</v>
      </c>
      <c r="J103" s="7" t="n">
        <v>0</v>
      </c>
      <c r="K103" s="2" t="inlineStr">
        <is>
          <t>PENDING</t>
        </is>
      </c>
      <c r="L103" s="2" t="inlineStr">
        <is>
          <t>Intraday Scanner (STATE 3: Capitulation Bottom)</t>
        </is>
      </c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2026-08-31</t>
        </is>
      </c>
      <c r="B104" s="2" t="inlineStr">
        <is>
          <t>NESTLEIND</t>
        </is>
      </c>
      <c r="C104" s="2" t="inlineStr">
        <is>
          <t>Nestle India Limited</t>
        </is>
      </c>
      <c r="D104" s="2" t="inlineStr">
        <is>
          <t>100/100</t>
        </is>
      </c>
      <c r="E104" s="7" t="n">
        <v>1496.5</v>
      </c>
      <c r="F104" s="7" t="n">
        <v>1475.95</v>
      </c>
      <c r="G104" s="7" t="n">
        <v>1547.9</v>
      </c>
      <c r="H104" s="2" t="inlineStr">
        <is>
          <t>1:2.5</t>
        </is>
      </c>
      <c r="I104" s="2" t="n">
        <v>0</v>
      </c>
      <c r="J104" s="7" t="n">
        <v>0</v>
      </c>
      <c r="K104" s="2" t="inlineStr">
        <is>
          <t>PENDING</t>
        </is>
      </c>
      <c r="L104" s="2" t="inlineStr">
        <is>
          <t>Intraday Scanner (STATE 3: Capitulation Bottom)</t>
        </is>
      </c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2026-08-31</t>
        </is>
      </c>
      <c r="B105" s="2" t="inlineStr">
        <is>
          <t>GRASIM</t>
        </is>
      </c>
      <c r="C105" s="2" t="inlineStr">
        <is>
          <t>Grasim Industries Limited</t>
        </is>
      </c>
      <c r="D105" s="2" t="inlineStr">
        <is>
          <t>100/100</t>
        </is>
      </c>
      <c r="E105" s="7" t="n">
        <v>3371</v>
      </c>
      <c r="F105" s="7" t="n">
        <v>3326.35</v>
      </c>
      <c r="G105" s="7" t="n">
        <v>3482.65</v>
      </c>
      <c r="H105" s="2" t="inlineStr">
        <is>
          <t>1:2.5</t>
        </is>
      </c>
      <c r="I105" s="2" t="n">
        <v>0</v>
      </c>
      <c r="J105" s="7" t="n">
        <v>0</v>
      </c>
      <c r="K105" s="2" t="inlineStr">
        <is>
          <t>PENDING</t>
        </is>
      </c>
      <c r="L105" s="2" t="inlineStr">
        <is>
          <t>Intraday Scanner (STATE 3: Capitulation Bottom)</t>
        </is>
      </c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2026-09-01</t>
        </is>
      </c>
      <c r="B106" s="2" t="inlineStr">
        <is>
          <t>JAIBALAJI</t>
        </is>
      </c>
      <c r="C106" s="2" t="inlineStr">
        <is>
          <t>Jai Balaji Industries Limited</t>
        </is>
      </c>
      <c r="D106" s="2" t="inlineStr">
        <is>
          <t>100/100</t>
        </is>
      </c>
      <c r="E106" s="7" t="n">
        <v>72.16000366210938</v>
      </c>
      <c r="F106" s="7" t="n">
        <v>65.01714651925224</v>
      </c>
      <c r="G106" s="7" t="n">
        <v>90.01714651925224</v>
      </c>
      <c r="H106" s="2" t="inlineStr">
        <is>
          <t>1:2.5</t>
        </is>
      </c>
      <c r="I106" s="2" t="n">
        <v>0</v>
      </c>
      <c r="J106" s="7" t="n">
        <v>0</v>
      </c>
      <c r="K106" s="2" t="inlineStr">
        <is>
          <t>PENDING</t>
        </is>
      </c>
      <c r="L106" s="2" t="inlineStr">
        <is>
          <t>Swing Scanner (STATE 3: Capitulation Bottom)</t>
        </is>
      </c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2026-09-01</t>
        </is>
      </c>
      <c r="B107" s="2" t="inlineStr">
        <is>
          <t>KPRMILL</t>
        </is>
      </c>
      <c r="C107" s="2" t="inlineStr">
        <is>
          <t>K.P.R. Mill Limited</t>
        </is>
      </c>
      <c r="D107" s="2" t="inlineStr">
        <is>
          <t>98/100</t>
        </is>
      </c>
      <c r="E107" s="7" t="n">
        <v>1177.599975585938</v>
      </c>
      <c r="F107" s="7" t="n">
        <v>1113.442836216518</v>
      </c>
      <c r="G107" s="7" t="n">
        <v>1337.992824009487</v>
      </c>
      <c r="H107" s="2" t="inlineStr">
        <is>
          <t>1:2.5</t>
        </is>
      </c>
      <c r="I107" s="2" t="n">
        <v>0</v>
      </c>
      <c r="J107" s="7" t="n">
        <v>0</v>
      </c>
      <c r="K107" s="2" t="inlineStr">
        <is>
          <t>PENDING</t>
        </is>
      </c>
      <c r="L107" s="2" t="inlineStr">
        <is>
          <t>Swing Scanner (STATE 3: Capitulation Bottom)</t>
        </is>
      </c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2026-09-01</t>
        </is>
      </c>
      <c r="B108" s="2" t="inlineStr">
        <is>
          <t>ATLANTAELE</t>
        </is>
      </c>
      <c r="C108" s="2" t="inlineStr">
        <is>
          <t>ATLANTAELE</t>
        </is>
      </c>
      <c r="D108" s="2" t="inlineStr">
        <is>
          <t>98/100</t>
        </is>
      </c>
      <c r="E108" s="7" t="n">
        <v>1830.400024414062</v>
      </c>
      <c r="F108" s="7" t="n">
        <v>1636.614292689732</v>
      </c>
      <c r="G108" s="7" t="n">
        <v>2314.864353724889</v>
      </c>
      <c r="H108" s="2" t="inlineStr">
        <is>
          <t>1:2.5</t>
        </is>
      </c>
      <c r="I108" s="2" t="n">
        <v>0</v>
      </c>
      <c r="J108" s="7" t="n">
        <v>0</v>
      </c>
      <c r="K108" s="2" t="inlineStr">
        <is>
          <t>PENDING</t>
        </is>
      </c>
      <c r="L108" s="2" t="inlineStr">
        <is>
          <t>Swing Scanner (STATE 3: Capitulation Bottom)</t>
        </is>
      </c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2026-09-01</t>
        </is>
      </c>
      <c r="B109" s="2" t="inlineStr">
        <is>
          <t>GHCLTEXTIL</t>
        </is>
      </c>
      <c r="C109" s="2" t="inlineStr">
        <is>
          <t>GHCL Textiles Limited</t>
        </is>
      </c>
      <c r="D109" s="2" t="inlineStr">
        <is>
          <t>98/100</t>
        </is>
      </c>
      <c r="E109" s="7" t="n">
        <v>134.7700042724609</v>
      </c>
      <c r="F109" s="7" t="n">
        <v>123.0071465628488</v>
      </c>
      <c r="G109" s="7" t="n">
        <v>164.1771485464913</v>
      </c>
      <c r="H109" s="2" t="inlineStr">
        <is>
          <t>1:2.5</t>
        </is>
      </c>
      <c r="I109" s="2" t="n">
        <v>0</v>
      </c>
      <c r="J109" s="7" t="n">
        <v>0</v>
      </c>
      <c r="K109" s="2" t="inlineStr">
        <is>
          <t>PENDING</t>
        </is>
      </c>
      <c r="L109" s="2" t="inlineStr">
        <is>
          <t>Swing Scanner (STATE 3: Capitulation Bottom)</t>
        </is>
      </c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2026-09-01</t>
        </is>
      </c>
      <c r="B110" s="2" t="inlineStr">
        <is>
          <t>EPL</t>
        </is>
      </c>
      <c r="C110" s="2" t="inlineStr">
        <is>
          <t>EPL Limited</t>
        </is>
      </c>
      <c r="D110" s="2" t="inlineStr">
        <is>
          <t>98/100</t>
        </is>
      </c>
      <c r="E110" s="7" t="n">
        <v>262.0599975585938</v>
      </c>
      <c r="F110" s="7" t="n">
        <v>237.7642800467355</v>
      </c>
      <c r="G110" s="7" t="n">
        <v>322.7992913382394</v>
      </c>
      <c r="H110" s="2" t="inlineStr">
        <is>
          <t>1:2.5</t>
        </is>
      </c>
      <c r="I110" s="2" t="n">
        <v>0</v>
      </c>
      <c r="J110" s="7" t="n">
        <v>0</v>
      </c>
      <c r="K110" s="2" t="inlineStr">
        <is>
          <t>PENDING</t>
        </is>
      </c>
      <c r="L110" s="2" t="inlineStr">
        <is>
          <t>Swing Scanner (STATE 3: Capitulation Bottom)</t>
        </is>
      </c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2026-09-01</t>
        </is>
      </c>
      <c r="B111" s="2" t="inlineStr">
        <is>
          <t>ONGC</t>
        </is>
      </c>
      <c r="C111" s="2" t="inlineStr">
        <is>
          <t>Oil and Natural Gas Corporation Limited</t>
        </is>
      </c>
      <c r="D111" s="2" t="inlineStr">
        <is>
          <t>100/100</t>
        </is>
      </c>
      <c r="E111" s="7" t="n">
        <v>236.45</v>
      </c>
      <c r="F111" s="7" t="n">
        <v>234.8</v>
      </c>
      <c r="G111" s="7" t="n">
        <v>240.6</v>
      </c>
      <c r="H111" s="2" t="inlineStr">
        <is>
          <t>1:2.5</t>
        </is>
      </c>
      <c r="I111" s="2" t="n">
        <v>0</v>
      </c>
      <c r="J111" s="7" t="n">
        <v>0</v>
      </c>
      <c r="K111" s="2" t="inlineStr">
        <is>
          <t>PENDING</t>
        </is>
      </c>
      <c r="L111" s="2" t="inlineStr">
        <is>
          <t>Intraday Scanner (STATE 3: Capitulation Bottom)</t>
        </is>
      </c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2026-09-01</t>
        </is>
      </c>
      <c r="B112" s="2" t="inlineStr">
        <is>
          <t>ZENSARTECH</t>
        </is>
      </c>
      <c r="C112" s="2" t="inlineStr">
        <is>
          <t>Zensar Technologies Limited</t>
        </is>
      </c>
      <c r="D112" s="2" t="inlineStr">
        <is>
          <t>100/100</t>
        </is>
      </c>
      <c r="E112" s="7" t="n">
        <v>472.95</v>
      </c>
      <c r="F112" s="7" t="n">
        <v>466</v>
      </c>
      <c r="G112" s="7" t="n">
        <v>490.25</v>
      </c>
      <c r="H112" s="2" t="inlineStr">
        <is>
          <t>1:2.5</t>
        </is>
      </c>
      <c r="I112" s="2" t="n">
        <v>0</v>
      </c>
      <c r="J112" s="7" t="n">
        <v>0</v>
      </c>
      <c r="K112" s="2" t="inlineStr">
        <is>
          <t>PENDING</t>
        </is>
      </c>
      <c r="L112" s="2" t="inlineStr">
        <is>
          <t>Intraday Scanner (STATE 3: Capitulation Bottom)</t>
        </is>
      </c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2026-09-01</t>
        </is>
      </c>
      <c r="B113" s="2" t="inlineStr">
        <is>
          <t>PRESTIGE</t>
        </is>
      </c>
      <c r="C113" s="2" t="inlineStr">
        <is>
          <t>Prestige Estates Projects Limited</t>
        </is>
      </c>
      <c r="D113" s="2" t="inlineStr">
        <is>
          <t>100/100</t>
        </is>
      </c>
      <c r="E113" s="7" t="n">
        <v>1570</v>
      </c>
      <c r="F113" s="7" t="n">
        <v>1538.45</v>
      </c>
      <c r="G113" s="7" t="n">
        <v>1648.9</v>
      </c>
      <c r="H113" s="2" t="inlineStr">
        <is>
          <t>1:2.5</t>
        </is>
      </c>
      <c r="I113" s="2" t="n">
        <v>0</v>
      </c>
      <c r="J113" s="7" t="n">
        <v>0</v>
      </c>
      <c r="K113" s="2" t="inlineStr">
        <is>
          <t>PENDING</t>
        </is>
      </c>
      <c r="L113" s="2" t="inlineStr">
        <is>
          <t>Intraday Scanner (STATE 3: Capitulation Bottom)</t>
        </is>
      </c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2026-09-01</t>
        </is>
      </c>
      <c r="B114" s="2" t="inlineStr">
        <is>
          <t>GRANULES</t>
        </is>
      </c>
      <c r="C114" s="2" t="inlineStr">
        <is>
          <t>Granules India Limited</t>
        </is>
      </c>
      <c r="D114" s="2" t="inlineStr">
        <is>
          <t>88/100</t>
        </is>
      </c>
      <c r="E114" s="7" t="n">
        <v>837.2</v>
      </c>
      <c r="F114" s="7" t="n">
        <v>828.55</v>
      </c>
      <c r="G114" s="7" t="n">
        <v>858.8</v>
      </c>
      <c r="H114" s="2" t="inlineStr">
        <is>
          <t>1:2.5</t>
        </is>
      </c>
      <c r="I114" s="2" t="n">
        <v>0</v>
      </c>
      <c r="J114" s="7" t="n">
        <v>0</v>
      </c>
      <c r="K114" s="2" t="inlineStr">
        <is>
          <t>PENDING</t>
        </is>
      </c>
      <c r="L114" s="2" t="inlineStr">
        <is>
          <t>Intraday Scanner (STATE 3: Capitulation Bottom)</t>
        </is>
      </c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2026-09-02</t>
        </is>
      </c>
      <c r="B115" s="2" t="inlineStr">
        <is>
          <t>COHANCE</t>
        </is>
      </c>
      <c r="C115" s="2" t="inlineStr">
        <is>
          <t>COHANCE</t>
        </is>
      </c>
      <c r="D115" s="2" t="inlineStr">
        <is>
          <t>100/100</t>
        </is>
      </c>
      <c r="E115" s="7" t="n">
        <v>460</v>
      </c>
      <c r="F115" s="7" t="n">
        <v>424.8999938964844</v>
      </c>
      <c r="G115" s="7" t="n">
        <v>547.7500152587891</v>
      </c>
      <c r="H115" s="2" t="inlineStr">
        <is>
          <t>1:2.5</t>
        </is>
      </c>
      <c r="I115" s="2" t="n">
        <v>0</v>
      </c>
      <c r="J115" s="7" t="n">
        <v>0</v>
      </c>
      <c r="K115" s="2" t="inlineStr">
        <is>
          <t>PENDING</t>
        </is>
      </c>
      <c r="L115" s="2" t="inlineStr">
        <is>
          <t>Swing Scanner (STATE 3: Capitulation Bottom)</t>
        </is>
      </c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2026-09-02</t>
        </is>
      </c>
      <c r="B116" s="2" t="inlineStr">
        <is>
          <t>METROPOLIS</t>
        </is>
      </c>
      <c r="C116" s="2" t="inlineStr">
        <is>
          <t>Metropolis Healthcare Limited</t>
        </is>
      </c>
      <c r="D116" s="2" t="inlineStr">
        <is>
          <t>98/100</t>
        </is>
      </c>
      <c r="E116" s="7" t="n">
        <v>582.25</v>
      </c>
      <c r="F116" s="7" t="n">
        <v>551.1428571428571</v>
      </c>
      <c r="G116" s="7" t="n">
        <v>660.0178571428571</v>
      </c>
      <c r="H116" s="2" t="inlineStr">
        <is>
          <t>1:2.5</t>
        </is>
      </c>
      <c r="I116" s="2" t="n">
        <v>0</v>
      </c>
      <c r="J116" s="7" t="n">
        <v>0</v>
      </c>
      <c r="K116" s="2" t="inlineStr">
        <is>
          <t>PENDING</t>
        </is>
      </c>
      <c r="L116" s="2" t="inlineStr">
        <is>
          <t>Swing Scanner (STATE 3: Capitulation Bottom)</t>
        </is>
      </c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2026-09-02</t>
        </is>
      </c>
      <c r="B117" s="2" t="inlineStr">
        <is>
          <t>GARFIBRES</t>
        </is>
      </c>
      <c r="C117" s="2" t="inlineStr">
        <is>
          <t>Garware Technical Fibres Limited</t>
        </is>
      </c>
      <c r="D117" s="2" t="inlineStr">
        <is>
          <t>98/100</t>
        </is>
      </c>
      <c r="E117" s="7" t="n">
        <v>842.7000122070312</v>
      </c>
      <c r="F117" s="7" t="n">
        <v>781.5461229472841</v>
      </c>
      <c r="G117" s="7" t="n">
        <v>995.5847353563992</v>
      </c>
      <c r="H117" s="2" t="inlineStr">
        <is>
          <t>1:2.5</t>
        </is>
      </c>
      <c r="I117" s="2" t="n">
        <v>0</v>
      </c>
      <c r="J117" s="7" t="n">
        <v>0</v>
      </c>
      <c r="K117" s="2" t="inlineStr">
        <is>
          <t>PENDING</t>
        </is>
      </c>
      <c r="L117" s="2" t="inlineStr">
        <is>
          <t>Swing Scanner (STATE 3: Capitulation Bottom)</t>
        </is>
      </c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2026-09-02</t>
        </is>
      </c>
      <c r="B118" s="2" t="inlineStr">
        <is>
          <t>ANTHEM</t>
        </is>
      </c>
      <c r="C118" s="2" t="inlineStr">
        <is>
          <t>ANTHEM</t>
        </is>
      </c>
      <c r="D118" s="2" t="inlineStr">
        <is>
          <t>98/100</t>
        </is>
      </c>
      <c r="E118" s="7" t="n">
        <v>924.5</v>
      </c>
      <c r="F118" s="7" t="n">
        <v>871.1000017438616</v>
      </c>
      <c r="G118" s="7" t="n">
        <v>1057.999995640346</v>
      </c>
      <c r="H118" s="2" t="inlineStr">
        <is>
          <t>1:2.5</t>
        </is>
      </c>
      <c r="I118" s="2" t="n">
        <v>0</v>
      </c>
      <c r="J118" s="7" t="n">
        <v>0</v>
      </c>
      <c r="K118" s="2" t="inlineStr">
        <is>
          <t>PENDING</t>
        </is>
      </c>
      <c r="L118" s="2" t="inlineStr">
        <is>
          <t>Swing Scanner (STATE 3: Capitulation Bottom)</t>
        </is>
      </c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2026-09-02</t>
        </is>
      </c>
      <c r="B119" s="2" t="inlineStr">
        <is>
          <t>BHAGERIA</t>
        </is>
      </c>
      <c r="C119" s="2" t="inlineStr">
        <is>
          <t>Bhageria Industries Limited</t>
        </is>
      </c>
      <c r="D119" s="2" t="inlineStr">
        <is>
          <t>97/100</t>
        </is>
      </c>
      <c r="E119" s="7" t="n">
        <v>263.2000122070312</v>
      </c>
      <c r="F119" s="7" t="n">
        <v>243.0571550641741</v>
      </c>
      <c r="G119" s="7" t="n">
        <v>313.5571550641741</v>
      </c>
      <c r="H119" s="2" t="inlineStr">
        <is>
          <t>1:2.5</t>
        </is>
      </c>
      <c r="I119" s="2" t="n">
        <v>0</v>
      </c>
      <c r="J119" s="7" t="n">
        <v>0</v>
      </c>
      <c r="K119" s="2" t="inlineStr">
        <is>
          <t>PENDING</t>
        </is>
      </c>
      <c r="L119" s="2" t="inlineStr">
        <is>
          <t>Swing Scanner (STATE 3: Capitulation Bottom)</t>
        </is>
      </c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2026-09-02</t>
        </is>
      </c>
      <c r="B120" s="2" t="inlineStr">
        <is>
          <t>ULTRACEMCO</t>
        </is>
      </c>
      <c r="C120" s="2" t="inlineStr">
        <is>
          <t>UltraTech Cement Limited</t>
        </is>
      </c>
      <c r="D120" s="2" t="inlineStr">
        <is>
          <t>100/100</t>
        </is>
      </c>
      <c r="E120" s="7" t="n">
        <v>11393</v>
      </c>
      <c r="F120" s="7" t="n">
        <v>11202.8</v>
      </c>
      <c r="G120" s="7" t="n">
        <v>11868.5</v>
      </c>
      <c r="H120" s="2" t="inlineStr">
        <is>
          <t>1:2.5</t>
        </is>
      </c>
      <c r="I120" s="2" t="n">
        <v>0</v>
      </c>
      <c r="J120" s="7" t="n">
        <v>0</v>
      </c>
      <c r="K120" s="2" t="inlineStr">
        <is>
          <t>PENDING</t>
        </is>
      </c>
      <c r="L120" s="2" t="inlineStr">
        <is>
          <t>Intraday Scanner (STATE 3: Capitulation Bottom)</t>
        </is>
      </c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2026-09-02</t>
        </is>
      </c>
      <c r="B121" s="2" t="inlineStr">
        <is>
          <t>GRASIM</t>
        </is>
      </c>
      <c r="C121" s="2" t="inlineStr">
        <is>
          <t>Grasim Industries Limited</t>
        </is>
      </c>
      <c r="D121" s="2" t="inlineStr">
        <is>
          <t>100/100</t>
        </is>
      </c>
      <c r="E121" s="7" t="n">
        <v>3294.9</v>
      </c>
      <c r="F121" s="7" t="n">
        <v>3252.3</v>
      </c>
      <c r="G121" s="7" t="n">
        <v>3401.4</v>
      </c>
      <c r="H121" s="2" t="inlineStr">
        <is>
          <t>1:2.5</t>
        </is>
      </c>
      <c r="I121" s="2" t="n">
        <v>0</v>
      </c>
      <c r="J121" s="7" t="n">
        <v>0</v>
      </c>
      <c r="K121" s="2" t="inlineStr">
        <is>
          <t>PENDING</t>
        </is>
      </c>
      <c r="L121" s="2" t="inlineStr">
        <is>
          <t>Intraday Scanner (STATE 3: Capitulation Bottom)</t>
        </is>
      </c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2026-09-02</t>
        </is>
      </c>
      <c r="B122" s="2" t="inlineStr">
        <is>
          <t>BRITANNIA</t>
        </is>
      </c>
      <c r="C122" s="2" t="inlineStr">
        <is>
          <t>Britannia Industries Limited</t>
        </is>
      </c>
      <c r="D122" s="2" t="inlineStr">
        <is>
          <t>100/100</t>
        </is>
      </c>
      <c r="E122" s="7" t="n">
        <v>5154</v>
      </c>
      <c r="F122" s="7" t="n">
        <v>5059.8</v>
      </c>
      <c r="G122" s="7" t="n">
        <v>5389.5</v>
      </c>
      <c r="H122" s="2" t="inlineStr">
        <is>
          <t>1:2.5</t>
        </is>
      </c>
      <c r="I122" s="2" t="n">
        <v>0</v>
      </c>
      <c r="J122" s="7" t="n">
        <v>0</v>
      </c>
      <c r="K122" s="2" t="inlineStr">
        <is>
          <t>PENDING</t>
        </is>
      </c>
      <c r="L122" s="2" t="inlineStr">
        <is>
          <t>Intraday Scanner (STATE 3: Capitulation Bottom)</t>
        </is>
      </c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2026-09-02</t>
        </is>
      </c>
      <c r="B123" s="2" t="inlineStr">
        <is>
          <t>TITAN</t>
        </is>
      </c>
      <c r="C123" s="2" t="inlineStr">
        <is>
          <t>Titan Company Limited</t>
        </is>
      </c>
      <c r="D123" s="2" t="inlineStr">
        <is>
          <t>100/100</t>
        </is>
      </c>
      <c r="E123" s="7" t="n">
        <v>5074</v>
      </c>
      <c r="F123" s="7" t="n">
        <v>5011.7</v>
      </c>
      <c r="G123" s="7" t="n">
        <v>5229.8</v>
      </c>
      <c r="H123" s="2" t="inlineStr">
        <is>
          <t>1:2.5</t>
        </is>
      </c>
      <c r="I123" s="2" t="n">
        <v>0</v>
      </c>
      <c r="J123" s="7" t="n">
        <v>0</v>
      </c>
      <c r="K123" s="2" t="inlineStr">
        <is>
          <t>PENDING</t>
        </is>
      </c>
      <c r="L123" s="2" t="inlineStr">
        <is>
          <t>Intraday Scanner (STATE 3: Capitulation Bottom)</t>
        </is>
      </c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2026-09-02</t>
        </is>
      </c>
      <c r="B124" s="2" t="inlineStr">
        <is>
          <t>TATAELXSI</t>
        </is>
      </c>
      <c r="C124" s="2" t="inlineStr">
        <is>
          <t>Tata Elxsi Limited</t>
        </is>
      </c>
      <c r="D124" s="2" t="inlineStr">
        <is>
          <t>100/100</t>
        </is>
      </c>
      <c r="E124" s="7" t="n">
        <v>3609</v>
      </c>
      <c r="F124" s="7" t="n">
        <v>3557.2</v>
      </c>
      <c r="G124" s="7" t="n">
        <v>3738.5</v>
      </c>
      <c r="H124" s="2" t="inlineStr">
        <is>
          <t>1:2.5</t>
        </is>
      </c>
      <c r="I124" s="2" t="n">
        <v>0</v>
      </c>
      <c r="J124" s="7" t="n">
        <v>0</v>
      </c>
      <c r="K124" s="2" t="inlineStr">
        <is>
          <t>PENDING</t>
        </is>
      </c>
      <c r="L124" s="2" t="inlineStr">
        <is>
          <t>Intraday Scanner (STATE 3: Capitulation Bottom)</t>
        </is>
      </c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2026-09-03</t>
        </is>
      </c>
      <c r="B125" s="2" t="inlineStr">
        <is>
          <t>OIL</t>
        </is>
      </c>
      <c r="C125" s="2" t="inlineStr">
        <is>
          <t>Oil India Limited</t>
        </is>
      </c>
      <c r="D125" s="2" t="inlineStr">
        <is>
          <t>100/100</t>
        </is>
      </c>
      <c r="E125" s="7" t="n">
        <v>498.1499938964844</v>
      </c>
      <c r="F125" s="7" t="n">
        <v>473.0499877929688</v>
      </c>
      <c r="G125" s="7" t="n">
        <v>560.9000091552734</v>
      </c>
      <c r="H125" s="2" t="inlineStr">
        <is>
          <t>1:2.5</t>
        </is>
      </c>
      <c r="I125" s="2" t="n">
        <v>0</v>
      </c>
      <c r="J125" s="7" t="n">
        <v>0</v>
      </c>
      <c r="K125" s="2" t="inlineStr">
        <is>
          <t>PENDING</t>
        </is>
      </c>
      <c r="L125" s="2" t="inlineStr">
        <is>
          <t>Swing Scanner (STATE 3: Capitulation Bottom)</t>
        </is>
      </c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2026-09-03</t>
        </is>
      </c>
      <c r="B126" s="2" t="inlineStr">
        <is>
          <t>CAPLIPOINT</t>
        </is>
      </c>
      <c r="C126" s="2" t="inlineStr">
        <is>
          <t>Caplin Point Laboratories Limited</t>
        </is>
      </c>
      <c r="D126" s="2" t="inlineStr">
        <is>
          <t>100/100</t>
        </is>
      </c>
      <c r="E126" s="7" t="n">
        <v>2720.5</v>
      </c>
      <c r="F126" s="7" t="n">
        <v>2553.928571428572</v>
      </c>
      <c r="G126" s="7" t="n">
        <v>3136.928571428572</v>
      </c>
      <c r="H126" s="2" t="inlineStr">
        <is>
          <t>1:2.5</t>
        </is>
      </c>
      <c r="I126" s="2" t="n">
        <v>0</v>
      </c>
      <c r="J126" s="7" t="n">
        <v>0</v>
      </c>
      <c r="K126" s="2" t="inlineStr">
        <is>
          <t>PENDING</t>
        </is>
      </c>
      <c r="L126" s="2" t="inlineStr">
        <is>
          <t>Swing Scanner (STATE 3: Capitulation Bottom)</t>
        </is>
      </c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2026-09-03</t>
        </is>
      </c>
      <c r="B127" s="2" t="inlineStr">
        <is>
          <t>CLEAN</t>
        </is>
      </c>
      <c r="C127" s="2" t="inlineStr">
        <is>
          <t>Clean Science and Technology Limited</t>
        </is>
      </c>
      <c r="D127" s="2" t="inlineStr">
        <is>
          <t>98/100</t>
        </is>
      </c>
      <c r="E127" s="7" t="n">
        <v>863.1500244140625</v>
      </c>
      <c r="F127" s="7" t="n">
        <v>817.1928623744419</v>
      </c>
      <c r="G127" s="7" t="n">
        <v>978.0429295131138</v>
      </c>
      <c r="H127" s="2" t="inlineStr">
        <is>
          <t>1:2.5</t>
        </is>
      </c>
      <c r="I127" s="2" t="n">
        <v>0</v>
      </c>
      <c r="J127" s="7" t="n">
        <v>0</v>
      </c>
      <c r="K127" s="2" t="inlineStr">
        <is>
          <t>PENDING</t>
        </is>
      </c>
      <c r="L127" s="2" t="inlineStr">
        <is>
          <t>Swing Scanner (STATE 3: Capitulation Bottom)</t>
        </is>
      </c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2026-09-03</t>
        </is>
      </c>
      <c r="B128" s="2" t="inlineStr">
        <is>
          <t>ANTHEM</t>
        </is>
      </c>
      <c r="C128" s="2" t="inlineStr">
        <is>
          <t>ANTHEM</t>
        </is>
      </c>
      <c r="D128" s="2" t="inlineStr">
        <is>
          <t>98/100</t>
        </is>
      </c>
      <c r="E128" s="7" t="n">
        <v>934.5</v>
      </c>
      <c r="F128" s="7" t="n">
        <v>878.8071550641741</v>
      </c>
      <c r="G128" s="7" t="n">
        <v>1073.732112339565</v>
      </c>
      <c r="H128" s="2" t="inlineStr">
        <is>
          <t>1:2.5</t>
        </is>
      </c>
      <c r="I128" s="2" t="n">
        <v>0</v>
      </c>
      <c r="J128" s="7" t="n">
        <v>0</v>
      </c>
      <c r="K128" s="2" t="inlineStr">
        <is>
          <t>PENDING</t>
        </is>
      </c>
      <c r="L128" s="2" t="inlineStr">
        <is>
          <t>Swing Scanner (STATE 3: Capitulation Bottom)</t>
        </is>
      </c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2026-09-03</t>
        </is>
      </c>
      <c r="B129" s="2" t="inlineStr">
        <is>
          <t>BEML</t>
        </is>
      </c>
      <c r="C129" s="2" t="inlineStr">
        <is>
          <t>BEML Limited</t>
        </is>
      </c>
      <c r="D129" s="2" t="inlineStr">
        <is>
          <t>98/100</t>
        </is>
      </c>
      <c r="E129" s="7" t="n">
        <v>2032.400024414062</v>
      </c>
      <c r="F129" s="7" t="n">
        <v>1916.242885044643</v>
      </c>
      <c r="G129" s="7" t="n">
        <v>2322.792872837611</v>
      </c>
      <c r="H129" s="2" t="inlineStr">
        <is>
          <t>1:2.5</t>
        </is>
      </c>
      <c r="I129" s="2" t="n">
        <v>0</v>
      </c>
      <c r="J129" s="7" t="n">
        <v>0</v>
      </c>
      <c r="K129" s="2" t="inlineStr">
        <is>
          <t>PENDING</t>
        </is>
      </c>
      <c r="L129" s="2" t="inlineStr">
        <is>
          <t>Swing Scanner (STATE 3: Capitulation Bottom)</t>
        </is>
      </c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2026-09-03</t>
        </is>
      </c>
      <c r="B130" s="2" t="inlineStr">
        <is>
          <t>ASIANPAINT</t>
        </is>
      </c>
      <c r="C130" s="2" t="inlineStr">
        <is>
          <t>Asian Paints Limited</t>
        </is>
      </c>
      <c r="D130" s="2" t="inlineStr">
        <is>
          <t>100/100</t>
        </is>
      </c>
      <c r="E130" s="7" t="n">
        <v>2541.6</v>
      </c>
      <c r="F130" s="7" t="n">
        <v>2498.75</v>
      </c>
      <c r="G130" s="7" t="n">
        <v>2648.7</v>
      </c>
      <c r="H130" s="2" t="inlineStr">
        <is>
          <t>1:2.5</t>
        </is>
      </c>
      <c r="I130" s="2" t="n">
        <v>0</v>
      </c>
      <c r="J130" s="7" t="n">
        <v>0</v>
      </c>
      <c r="K130" s="2" t="inlineStr">
        <is>
          <t>PENDING</t>
        </is>
      </c>
      <c r="L130" s="2" t="inlineStr">
        <is>
          <t>Intraday Scanner (STATE 3: Capitulation Bottom)</t>
        </is>
      </c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2026-09-03</t>
        </is>
      </c>
      <c r="B131" s="2" t="inlineStr">
        <is>
          <t>TATACHEM</t>
        </is>
      </c>
      <c r="C131" s="2" t="inlineStr">
        <is>
          <t>Tata Chemicals Limited</t>
        </is>
      </c>
      <c r="D131" s="2" t="inlineStr">
        <is>
          <t>100/100</t>
        </is>
      </c>
      <c r="E131" s="7" t="n">
        <v>641.35</v>
      </c>
      <c r="F131" s="7" t="n">
        <v>626.75</v>
      </c>
      <c r="G131" s="7" t="n">
        <v>677.9</v>
      </c>
      <c r="H131" s="2" t="inlineStr">
        <is>
          <t>1:2.5</t>
        </is>
      </c>
      <c r="I131" s="2" t="n">
        <v>0</v>
      </c>
      <c r="J131" s="7" t="n">
        <v>0</v>
      </c>
      <c r="K131" s="2" t="inlineStr">
        <is>
          <t>PENDING</t>
        </is>
      </c>
      <c r="L131" s="2" t="inlineStr">
        <is>
          <t>Intraday Scanner (STATE 3: Capitulation Bottom)</t>
        </is>
      </c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2026-09-03</t>
        </is>
      </c>
      <c r="B132" s="2" t="inlineStr">
        <is>
          <t>MASTEK</t>
        </is>
      </c>
      <c r="C132" s="2" t="inlineStr">
        <is>
          <t>Mastek Limited</t>
        </is>
      </c>
      <c r="D132" s="2" t="inlineStr">
        <is>
          <t>100/100</t>
        </is>
      </c>
      <c r="E132" s="7" t="n">
        <v>1792.6</v>
      </c>
      <c r="F132" s="7" t="n">
        <v>1697.45</v>
      </c>
      <c r="G132" s="7" t="n">
        <v>2030.4</v>
      </c>
      <c r="H132" s="2" t="inlineStr">
        <is>
          <t>1:2.5</t>
        </is>
      </c>
      <c r="I132" s="2" t="n">
        <v>0</v>
      </c>
      <c r="J132" s="7" t="n">
        <v>0</v>
      </c>
      <c r="K132" s="2" t="inlineStr">
        <is>
          <t>PENDING</t>
        </is>
      </c>
      <c r="L132" s="2" t="inlineStr">
        <is>
          <t>Intraday Scanner (STATE 3: Capitulation Bottom)</t>
        </is>
      </c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2026-09-03</t>
        </is>
      </c>
      <c r="B133" s="2" t="inlineStr">
        <is>
          <t>BRIGADE</t>
        </is>
      </c>
      <c r="C133" s="2" t="inlineStr">
        <is>
          <t>Brigade Enterprises Limited</t>
        </is>
      </c>
      <c r="D133" s="2" t="inlineStr">
        <is>
          <t>100/100</t>
        </is>
      </c>
      <c r="E133" s="7" t="n">
        <v>712.3</v>
      </c>
      <c r="F133" s="7" t="n">
        <v>680</v>
      </c>
      <c r="G133" s="7" t="n">
        <v>793.05</v>
      </c>
      <c r="H133" s="2" t="inlineStr">
        <is>
          <t>1:2.5</t>
        </is>
      </c>
      <c r="I133" s="2" t="n">
        <v>0</v>
      </c>
      <c r="J133" s="7" t="n">
        <v>0</v>
      </c>
      <c r="K133" s="2" t="inlineStr">
        <is>
          <t>PENDING</t>
        </is>
      </c>
      <c r="L133" s="2" t="inlineStr">
        <is>
          <t>Intraday Scanner (STATE 3: Capitulation Bottom)</t>
        </is>
      </c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2026-09-03</t>
        </is>
      </c>
      <c r="B134" s="2" t="inlineStr">
        <is>
          <t>UNOMINDA</t>
        </is>
      </c>
      <c r="C134" s="2" t="inlineStr">
        <is>
          <t>Uno Minda Limited</t>
        </is>
      </c>
      <c r="D134" s="2" t="inlineStr">
        <is>
          <t>94/100</t>
        </is>
      </c>
      <c r="E134" s="7" t="n">
        <v>1269</v>
      </c>
      <c r="F134" s="7" t="n">
        <v>1245.6</v>
      </c>
      <c r="G134" s="7" t="n">
        <v>1327.5</v>
      </c>
      <c r="H134" s="2" t="inlineStr">
        <is>
          <t>1:2.5</t>
        </is>
      </c>
      <c r="I134" s="2" t="n">
        <v>0</v>
      </c>
      <c r="J134" s="7" t="n">
        <v>0</v>
      </c>
      <c r="K134" s="2" t="inlineStr">
        <is>
          <t>PENDING</t>
        </is>
      </c>
      <c r="L134" s="2" t="inlineStr">
        <is>
          <t>Intraday Scanner (STATE 3: Capitulation Bottom)</t>
        </is>
      </c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2026-09-04</t>
        </is>
      </c>
      <c r="B135" s="2" t="inlineStr">
        <is>
          <t>ATLANTAELE</t>
        </is>
      </c>
      <c r="C135" s="2" t="inlineStr">
        <is>
          <t>ATLANTAELE</t>
        </is>
      </c>
      <c r="D135" s="2" t="inlineStr">
        <is>
          <t>98/100</t>
        </is>
      </c>
      <c r="E135" s="7" t="n">
        <v>1886.400024414062</v>
      </c>
      <c r="F135" s="7" t="n">
        <v>1701.257149832589</v>
      </c>
      <c r="G135" s="7" t="n">
        <v>2349.257210867745</v>
      </c>
      <c r="H135" s="2" t="inlineStr">
        <is>
          <t>1:2.5</t>
        </is>
      </c>
      <c r="I135" s="2" t="n">
        <v>0</v>
      </c>
      <c r="J135" s="7" t="n">
        <v>0</v>
      </c>
      <c r="K135" s="2" t="inlineStr">
        <is>
          <t>PENDING</t>
        </is>
      </c>
      <c r="L135" s="2" t="inlineStr">
        <is>
          <t>Swing Scanner (STATE 3: Capitulation Bottom)</t>
        </is>
      </c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2026-09-04</t>
        </is>
      </c>
      <c r="B136" s="2" t="inlineStr">
        <is>
          <t>CENTENKA</t>
        </is>
      </c>
      <c r="C136" s="2" t="inlineStr">
        <is>
          <t>Century Enka Limited</t>
        </is>
      </c>
      <c r="D136" s="2" t="inlineStr">
        <is>
          <t>98/100</t>
        </is>
      </c>
      <c r="E136" s="7" t="n">
        <v>616.6500244140625</v>
      </c>
      <c r="F136" s="7" t="n">
        <v>577.2143031529018</v>
      </c>
      <c r="G136" s="7" t="n">
        <v>715.2393275669643</v>
      </c>
      <c r="H136" s="2" t="inlineStr">
        <is>
          <t>1:2.5</t>
        </is>
      </c>
      <c r="I136" s="2" t="n">
        <v>0</v>
      </c>
      <c r="J136" s="7" t="n">
        <v>0</v>
      </c>
      <c r="K136" s="2" t="inlineStr">
        <is>
          <t>PENDING</t>
        </is>
      </c>
      <c r="L136" s="2" t="inlineStr">
        <is>
          <t>Swing Scanner (STATE 3: Capitulation Bottom)</t>
        </is>
      </c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2026-09-04</t>
        </is>
      </c>
      <c r="B137" s="2" t="inlineStr">
        <is>
          <t>SOLARINDS</t>
        </is>
      </c>
      <c r="C137" s="2" t="inlineStr">
        <is>
          <t>Solar Industries India Limited</t>
        </is>
      </c>
      <c r="D137" s="2" t="inlineStr">
        <is>
          <t>98/100</t>
        </is>
      </c>
      <c r="E137" s="7" t="n">
        <v>21500</v>
      </c>
      <c r="F137" s="7" t="n">
        <v>20424.28571428571</v>
      </c>
      <c r="G137" s="7" t="n">
        <v>24189.28571428571</v>
      </c>
      <c r="H137" s="2" t="inlineStr">
        <is>
          <t>1:2.5</t>
        </is>
      </c>
      <c r="I137" s="2" t="n">
        <v>0</v>
      </c>
      <c r="J137" s="7" t="n">
        <v>0</v>
      </c>
      <c r="K137" s="2" t="inlineStr">
        <is>
          <t>PENDING</t>
        </is>
      </c>
      <c r="L137" s="2" t="inlineStr">
        <is>
          <t>Swing Scanner (STATE 3: Capitulation Bottom)</t>
        </is>
      </c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2026-09-04</t>
        </is>
      </c>
      <c r="B138" s="2" t="inlineStr">
        <is>
          <t>BESTAGRO</t>
        </is>
      </c>
      <c r="C138" s="2" t="inlineStr">
        <is>
          <t>Best Agrolife Limited</t>
        </is>
      </c>
      <c r="D138" s="2" t="inlineStr">
        <is>
          <t>98/100</t>
        </is>
      </c>
      <c r="E138" s="7" t="n">
        <v>20.34000015258789</v>
      </c>
      <c r="F138" s="7" t="n">
        <v>18.74428558349609</v>
      </c>
      <c r="G138" s="7" t="n">
        <v>24.32928657531738</v>
      </c>
      <c r="H138" s="2" t="inlineStr">
        <is>
          <t>1:2.5</t>
        </is>
      </c>
      <c r="I138" s="2" t="n">
        <v>2</v>
      </c>
      <c r="J138" s="7" t="n">
        <v>40.68000030517578</v>
      </c>
      <c r="K138" s="2" t="inlineStr">
        <is>
          <t>PENDING</t>
        </is>
      </c>
      <c r="L138" s="2" t="inlineStr">
        <is>
          <t>Swing Scanner (STATE 3: Capitulation Bottom)</t>
        </is>
      </c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inlineStr">
        <is>
          <t>2026-09-04</t>
        </is>
      </c>
      <c r="B139" s="2" t="inlineStr">
        <is>
          <t>AHCL</t>
        </is>
      </c>
      <c r="C139" s="2" t="inlineStr">
        <is>
          <t>AHCL</t>
        </is>
      </c>
      <c r="D139" s="2" t="inlineStr">
        <is>
          <t>98/100</t>
        </is>
      </c>
      <c r="E139" s="7" t="n">
        <v>15.60000038146973</v>
      </c>
      <c r="F139" s="7" t="n">
        <v>14.36285740988595</v>
      </c>
      <c r="G139" s="7" t="n">
        <v>18.69285781042916</v>
      </c>
      <c r="H139" s="2" t="inlineStr">
        <is>
          <t>1:2.5</t>
        </is>
      </c>
      <c r="I139" s="2" t="n">
        <v>3</v>
      </c>
      <c r="J139" s="7" t="n">
        <v>46.80000114440918</v>
      </c>
      <c r="K139" s="2" t="inlineStr">
        <is>
          <t>PENDING</t>
        </is>
      </c>
      <c r="L139" s="2" t="inlineStr">
        <is>
          <t>Swing Scanner (STATE 3: Capitulation Bottom)</t>
        </is>
      </c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inlineStr">
        <is>
          <t>2026-09-04</t>
        </is>
      </c>
      <c r="B140" s="2" t="inlineStr">
        <is>
          <t>SCHNEIDER</t>
        </is>
      </c>
      <c r="C140" s="2" t="inlineStr">
        <is>
          <t>Schneider Electric Infrastructure Limited</t>
        </is>
      </c>
      <c r="D140" s="2" t="inlineStr">
        <is>
          <t>100/100</t>
        </is>
      </c>
      <c r="E140" s="7" t="n">
        <v>1232.4</v>
      </c>
      <c r="F140" s="7" t="n">
        <v>1203.7</v>
      </c>
      <c r="G140" s="7" t="n">
        <v>1304.1</v>
      </c>
      <c r="H140" s="2" t="inlineStr">
        <is>
          <t>1:2.5</t>
        </is>
      </c>
      <c r="I140" s="2" t="n">
        <v>0</v>
      </c>
      <c r="J140" s="7" t="n">
        <v>0</v>
      </c>
      <c r="K140" s="2" t="inlineStr">
        <is>
          <t>PENDING</t>
        </is>
      </c>
      <c r="L140" s="2" t="inlineStr">
        <is>
          <t>Intraday Scanner (STATE 3: Capitulation Bottom)</t>
        </is>
      </c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inlineStr">
        <is>
          <t>2026-09-04</t>
        </is>
      </c>
      <c r="B141" s="2" t="inlineStr">
        <is>
          <t>HEG</t>
        </is>
      </c>
      <c r="C141" s="2" t="inlineStr">
        <is>
          <t>HEG Limited</t>
        </is>
      </c>
      <c r="D141" s="2" t="inlineStr">
        <is>
          <t>100/100</t>
        </is>
      </c>
      <c r="E141" s="7" t="n">
        <v>725.4</v>
      </c>
      <c r="F141" s="7" t="n">
        <v>708.05</v>
      </c>
      <c r="G141" s="7" t="n">
        <v>768.8</v>
      </c>
      <c r="H141" s="2" t="inlineStr">
        <is>
          <t>1:2.5</t>
        </is>
      </c>
      <c r="I141" s="2" t="n">
        <v>0</v>
      </c>
      <c r="J141" s="7" t="n">
        <v>0</v>
      </c>
      <c r="K141" s="2" t="inlineStr">
        <is>
          <t>PENDING</t>
        </is>
      </c>
      <c r="L141" s="2" t="inlineStr">
        <is>
          <t>Intraday Scanner (STATE 3: Capitulation Bottom)</t>
        </is>
      </c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inlineStr">
        <is>
          <t>2026-09-04</t>
        </is>
      </c>
      <c r="B142" s="2" t="inlineStr">
        <is>
          <t>SJVN</t>
        </is>
      </c>
      <c r="C142" s="2" t="inlineStr">
        <is>
          <t>SJVN Limited</t>
        </is>
      </c>
      <c r="D142" s="2" t="inlineStr">
        <is>
          <t>100/100</t>
        </is>
      </c>
      <c r="E142" s="7" t="n">
        <v>65.5</v>
      </c>
      <c r="F142" s="7" t="n">
        <v>64.8</v>
      </c>
      <c r="G142" s="7" t="n">
        <v>67.2</v>
      </c>
      <c r="H142" s="2" t="inlineStr">
        <is>
          <t>1:2.4</t>
        </is>
      </c>
      <c r="I142" s="2" t="n">
        <v>0</v>
      </c>
      <c r="J142" s="7" t="n">
        <v>0</v>
      </c>
      <c r="K142" s="2" t="inlineStr">
        <is>
          <t>PENDING</t>
        </is>
      </c>
      <c r="L142" s="2" t="inlineStr">
        <is>
          <t>Intraday Scanner (STATE 3: Capitulation Bottom)</t>
        </is>
      </c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inlineStr">
        <is>
          <t>2026-09-04</t>
        </is>
      </c>
      <c r="B143" s="2" t="inlineStr">
        <is>
          <t>KEC</t>
        </is>
      </c>
      <c r="C143" s="2" t="inlineStr">
        <is>
          <t>KEC International Limited</t>
        </is>
      </c>
      <c r="D143" s="2" t="inlineStr">
        <is>
          <t>98/100</t>
        </is>
      </c>
      <c r="E143" s="7" t="n">
        <v>410.1</v>
      </c>
      <c r="F143" s="7" t="n">
        <v>402.65</v>
      </c>
      <c r="G143" s="7" t="n">
        <v>428.7</v>
      </c>
      <c r="H143" s="2" t="inlineStr">
        <is>
          <t>1:2.5</t>
        </is>
      </c>
      <c r="I143" s="2" t="n">
        <v>0</v>
      </c>
      <c r="J143" s="7" t="n">
        <v>0</v>
      </c>
      <c r="K143" s="2" t="inlineStr">
        <is>
          <t>PENDING</t>
        </is>
      </c>
      <c r="L143" s="2" t="inlineStr">
        <is>
          <t>Intraday Scanner (STATE 3: Capitulation Bottom)</t>
        </is>
      </c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inlineStr">
        <is>
          <t>2026-09-04</t>
        </is>
      </c>
      <c r="B144" s="2" t="inlineStr">
        <is>
          <t>RATNAMANI</t>
        </is>
      </c>
      <c r="C144" s="2" t="inlineStr">
        <is>
          <t>Ratnamani Metals &amp; Tubes Limited</t>
        </is>
      </c>
      <c r="D144" s="2" t="inlineStr">
        <is>
          <t>92/100</t>
        </is>
      </c>
      <c r="E144" s="7" t="n">
        <v>2727</v>
      </c>
      <c r="F144" s="7" t="n">
        <v>2664.1</v>
      </c>
      <c r="G144" s="7" t="n">
        <v>2884.2</v>
      </c>
      <c r="H144" s="2" t="inlineStr">
        <is>
          <t>1:2.5</t>
        </is>
      </c>
      <c r="I144" s="2" t="n">
        <v>0</v>
      </c>
      <c r="J144" s="7" t="n">
        <v>0</v>
      </c>
      <c r="K144" s="2" t="inlineStr">
        <is>
          <t>PENDING</t>
        </is>
      </c>
      <c r="L144" s="2" t="inlineStr">
        <is>
          <t>Intraday Scanner (STATE 3: Capitulation Bottom)</t>
        </is>
      </c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inlineStr">
        <is>
          <t>2026-09-07</t>
        </is>
      </c>
      <c r="B145" s="2" t="inlineStr">
        <is>
          <t>GSFC</t>
        </is>
      </c>
      <c r="C145" s="2" t="inlineStr">
        <is>
          <t>Gujarat State Fertilizers &amp; Chemicals Limited</t>
        </is>
      </c>
      <c r="D145" s="2" t="inlineStr">
        <is>
          <t>100/100</t>
        </is>
      </c>
      <c r="E145" s="7" t="n">
        <v>162.8800048828125</v>
      </c>
      <c r="F145" s="7" t="n">
        <v>156.7000078473772</v>
      </c>
      <c r="G145" s="7" t="n">
        <v>178.3299974714007</v>
      </c>
      <c r="H145" s="2" t="inlineStr">
        <is>
          <t>1:2.5</t>
        </is>
      </c>
      <c r="I145" s="2" t="n">
        <v>0</v>
      </c>
      <c r="J145" s="7" t="n">
        <v>0</v>
      </c>
      <c r="K145" s="2" t="inlineStr">
        <is>
          <t>PENDING</t>
        </is>
      </c>
      <c r="L145" s="2" t="inlineStr">
        <is>
          <t>Swing Scanner (STATE 3: Capitulation Bottom)</t>
        </is>
      </c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inlineStr">
        <is>
          <t>2026-09-07</t>
        </is>
      </c>
      <c r="B146" s="2" t="inlineStr">
        <is>
          <t>GMMPFAUDLR</t>
        </is>
      </c>
      <c r="C146" s="2" t="inlineStr">
        <is>
          <t>GMM Pfaudler Limited</t>
        </is>
      </c>
      <c r="D146" s="2" t="inlineStr">
        <is>
          <t>98/100</t>
        </is>
      </c>
      <c r="E146" s="7" t="n">
        <v>1147.900024414062</v>
      </c>
      <c r="F146" s="7" t="n">
        <v>1062.785766601562</v>
      </c>
      <c r="G146" s="7" t="n">
        <v>1360.685668945312</v>
      </c>
      <c r="H146" s="2" t="inlineStr">
        <is>
          <t>1:2.5</t>
        </is>
      </c>
      <c r="I146" s="2" t="n">
        <v>0</v>
      </c>
      <c r="J146" s="7" t="n">
        <v>0</v>
      </c>
      <c r="K146" s="2" t="inlineStr">
        <is>
          <t>PENDING</t>
        </is>
      </c>
      <c r="L146" s="2" t="inlineStr">
        <is>
          <t>Swing Scanner (STATE 3: Capitulation Bottom)</t>
        </is>
      </c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inlineStr">
        <is>
          <t>2026-09-07</t>
        </is>
      </c>
      <c r="B147" s="2" t="inlineStr">
        <is>
          <t>GREENPLY</t>
        </is>
      </c>
      <c r="C147" s="2" t="inlineStr">
        <is>
          <t>Greenply Industries Limited</t>
        </is>
      </c>
      <c r="D147" s="2" t="inlineStr">
        <is>
          <t>98/100</t>
        </is>
      </c>
      <c r="E147" s="7" t="n">
        <v>304.7000122070312</v>
      </c>
      <c r="F147" s="7" t="n">
        <v>285.942875453404</v>
      </c>
      <c r="G147" s="7" t="n">
        <v>351.5928540910994</v>
      </c>
      <c r="H147" s="2" t="inlineStr">
        <is>
          <t>1:2.5</t>
        </is>
      </c>
      <c r="I147" s="2" t="n">
        <v>0</v>
      </c>
      <c r="J147" s="7" t="n">
        <v>0</v>
      </c>
      <c r="K147" s="2" t="inlineStr">
        <is>
          <t>PENDING</t>
        </is>
      </c>
      <c r="L147" s="2" t="inlineStr">
        <is>
          <t>Swing Scanner (STATE 3: Capitulation Bottom)</t>
        </is>
      </c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inlineStr">
        <is>
          <t>2026-09-07</t>
        </is>
      </c>
      <c r="B148" s="2" t="inlineStr">
        <is>
          <t>JINDALSTEL</t>
        </is>
      </c>
      <c r="C148" s="2" t="inlineStr">
        <is>
          <t>Jindal Steel &amp; Power Limited</t>
        </is>
      </c>
      <c r="D148" s="2" t="inlineStr">
        <is>
          <t>98/100</t>
        </is>
      </c>
      <c r="E148" s="7" t="n">
        <v>1165</v>
      </c>
      <c r="F148" s="7" t="n">
        <v>1106.920357335481</v>
      </c>
      <c r="G148" s="7" t="n">
        <v>1310.199106661297</v>
      </c>
      <c r="H148" s="2" t="inlineStr">
        <is>
          <t>1:2.5</t>
        </is>
      </c>
      <c r="I148" s="2" t="n">
        <v>0</v>
      </c>
      <c r="J148" s="7" t="n">
        <v>0</v>
      </c>
      <c r="K148" s="2" t="inlineStr">
        <is>
          <t>PENDING</t>
        </is>
      </c>
      <c r="L148" s="2" t="inlineStr">
        <is>
          <t>Swing Scanner (STATE 3: Capitulation Bottom)</t>
        </is>
      </c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inlineStr">
        <is>
          <t>2026-09-07</t>
        </is>
      </c>
      <c r="B149" s="2" t="inlineStr">
        <is>
          <t>BLKASHYAP</t>
        </is>
      </c>
      <c r="C149" s="2" t="inlineStr">
        <is>
          <t>B.L. Kashyap and Sons Limited</t>
        </is>
      </c>
      <c r="D149" s="2" t="inlineStr">
        <is>
          <t>98/100</t>
        </is>
      </c>
      <c r="E149" s="7" t="n">
        <v>59.34000015258789</v>
      </c>
      <c r="F149" s="7" t="n">
        <v>53.3985721043178</v>
      </c>
      <c r="G149" s="7" t="n">
        <v>74.19357027326312</v>
      </c>
      <c r="H149" s="2" t="inlineStr">
        <is>
          <t>1:2.5</t>
        </is>
      </c>
      <c r="I149" s="2" t="n">
        <v>1</v>
      </c>
      <c r="J149" s="7" t="n">
        <v>59.34000015258789</v>
      </c>
      <c r="K149" s="2" t="inlineStr">
        <is>
          <t>PENDING</t>
        </is>
      </c>
      <c r="L149" s="2" t="inlineStr">
        <is>
          <t>Swing Scanner (STATE 3: Capitulation Bottom)</t>
        </is>
      </c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inlineStr">
        <is>
          <t>2026-09-07</t>
        </is>
      </c>
      <c r="B150" s="2" t="inlineStr">
        <is>
          <t>HCLTECH</t>
        </is>
      </c>
      <c r="C150" s="2" t="inlineStr">
        <is>
          <t>HCL Technologies Limited</t>
        </is>
      </c>
      <c r="D150" s="2" t="inlineStr">
        <is>
          <t>100/100</t>
        </is>
      </c>
      <c r="E150" s="7" t="n">
        <v>1282.8</v>
      </c>
      <c r="F150" s="7" t="n">
        <v>1251.4</v>
      </c>
      <c r="G150" s="7" t="n">
        <v>1361.35</v>
      </c>
      <c r="H150" s="2" t="inlineStr">
        <is>
          <t>1:2.5</t>
        </is>
      </c>
      <c r="I150" s="2" t="n">
        <v>0</v>
      </c>
      <c r="J150" s="7" t="n">
        <v>0</v>
      </c>
      <c r="K150" s="2" t="inlineStr">
        <is>
          <t>PENDING</t>
        </is>
      </c>
      <c r="L150" s="2" t="inlineStr">
        <is>
          <t>Intraday Scanner (STATE 3: Capitulation Bottom)</t>
        </is>
      </c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inlineStr">
        <is>
          <t>2026-09-07</t>
        </is>
      </c>
      <c r="B151" s="2" t="inlineStr">
        <is>
          <t>CIPLA</t>
        </is>
      </c>
      <c r="C151" s="2" t="inlineStr">
        <is>
          <t>Cipla Limited</t>
        </is>
      </c>
      <c r="D151" s="2" t="inlineStr">
        <is>
          <t>100/100</t>
        </is>
      </c>
      <c r="E151" s="7" t="n">
        <v>1395</v>
      </c>
      <c r="F151" s="7" t="n">
        <v>1380.4</v>
      </c>
      <c r="G151" s="7" t="n">
        <v>1431.45</v>
      </c>
      <c r="H151" s="2" t="inlineStr">
        <is>
          <t>1:2.5</t>
        </is>
      </c>
      <c r="I151" s="2" t="n">
        <v>0</v>
      </c>
      <c r="J151" s="7" t="n">
        <v>0</v>
      </c>
      <c r="K151" s="2" t="inlineStr">
        <is>
          <t>PENDING</t>
        </is>
      </c>
      <c r="L151" s="2" t="inlineStr">
        <is>
          <t>Intraday Scanner (STATE 3: Capitulation Bottom)</t>
        </is>
      </c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inlineStr">
        <is>
          <t>2026-09-07</t>
        </is>
      </c>
      <c r="B152" s="2" t="inlineStr">
        <is>
          <t>ALKEM</t>
        </is>
      </c>
      <c r="C152" s="2" t="inlineStr">
        <is>
          <t>Alkem Laboratories Limited</t>
        </is>
      </c>
      <c r="D152" s="2" t="inlineStr">
        <is>
          <t>100/100</t>
        </is>
      </c>
      <c r="E152" s="7" t="n">
        <v>5242.5</v>
      </c>
      <c r="F152" s="7" t="n">
        <v>5167.05</v>
      </c>
      <c r="G152" s="7" t="n">
        <v>5431.1</v>
      </c>
      <c r="H152" s="2" t="inlineStr">
        <is>
          <t>1:2.5</t>
        </is>
      </c>
      <c r="I152" s="2" t="n">
        <v>0</v>
      </c>
      <c r="J152" s="7" t="n">
        <v>0</v>
      </c>
      <c r="K152" s="2" t="inlineStr">
        <is>
          <t>PENDING</t>
        </is>
      </c>
      <c r="L152" s="2" t="inlineStr">
        <is>
          <t>Intraday Scanner (STATE 3: Capitulation Bottom)</t>
        </is>
      </c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inlineStr">
        <is>
          <t>2026-09-07</t>
        </is>
      </c>
      <c r="B153" s="2" t="inlineStr">
        <is>
          <t>LAURUSLABS</t>
        </is>
      </c>
      <c r="C153" s="2" t="inlineStr">
        <is>
          <t>Laurus Labs Limited</t>
        </is>
      </c>
      <c r="D153" s="2" t="inlineStr">
        <is>
          <t>100/100</t>
        </is>
      </c>
      <c r="E153" s="7" t="n">
        <v>1876.7</v>
      </c>
      <c r="F153" s="7" t="n">
        <v>1852.6</v>
      </c>
      <c r="G153" s="7" t="n">
        <v>1936.95</v>
      </c>
      <c r="H153" s="2" t="inlineStr">
        <is>
          <t>1:2.5</t>
        </is>
      </c>
      <c r="I153" s="2" t="n">
        <v>0</v>
      </c>
      <c r="J153" s="7" t="n">
        <v>0</v>
      </c>
      <c r="K153" s="2" t="inlineStr">
        <is>
          <t>PENDING</t>
        </is>
      </c>
      <c r="L153" s="2" t="inlineStr">
        <is>
          <t>Intraday Scanner (STATE 3: Capitulation Bottom)</t>
        </is>
      </c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inlineStr">
        <is>
          <t>2026-09-07</t>
        </is>
      </c>
      <c r="B154" s="2" t="inlineStr">
        <is>
          <t>EXIDEIND</t>
        </is>
      </c>
      <c r="C154" s="2" t="inlineStr">
        <is>
          <t>Exide Industries Limited</t>
        </is>
      </c>
      <c r="D154" s="2" t="inlineStr">
        <is>
          <t>100/100</t>
        </is>
      </c>
      <c r="E154" s="7" t="n">
        <v>425.75</v>
      </c>
      <c r="F154" s="7" t="n">
        <v>417.4</v>
      </c>
      <c r="G154" s="7" t="n">
        <v>446.65</v>
      </c>
      <c r="H154" s="2" t="inlineStr">
        <is>
          <t>1:2.5</t>
        </is>
      </c>
      <c r="I154" s="2" t="n">
        <v>0</v>
      </c>
      <c r="J154" s="7" t="n">
        <v>0</v>
      </c>
      <c r="K154" s="2" t="inlineStr">
        <is>
          <t>PENDING</t>
        </is>
      </c>
      <c r="L154" s="2" t="inlineStr">
        <is>
          <t>Intraday Scanner (STATE 3: Capitulation Bottom)</t>
        </is>
      </c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inlineStr">
        <is>
          <t>2026-09-08</t>
        </is>
      </c>
      <c r="B155" s="2" t="inlineStr">
        <is>
          <t>WSTCSTPAPR</t>
        </is>
      </c>
      <c r="C155" s="2" t="inlineStr">
        <is>
          <t>West Coast Paper Mills Limited</t>
        </is>
      </c>
      <c r="D155" s="2" t="inlineStr">
        <is>
          <t>98/100</t>
        </is>
      </c>
      <c r="E155" s="7" t="n">
        <v>687.5</v>
      </c>
      <c r="F155" s="7" t="n">
        <v>633.5642700195312</v>
      </c>
      <c r="G155" s="7" t="n">
        <v>822.3393249511719</v>
      </c>
      <c r="H155" s="2" t="inlineStr">
        <is>
          <t>1:2.5</t>
        </is>
      </c>
      <c r="I155" s="2" t="n">
        <v>0</v>
      </c>
      <c r="J155" s="7" t="n">
        <v>0</v>
      </c>
      <c r="K155" s="2" t="inlineStr">
        <is>
          <t>PENDING</t>
        </is>
      </c>
      <c r="L155" s="2" t="inlineStr">
        <is>
          <t>Swing Scanner (STATE 3: Capitulation Bottom)</t>
        </is>
      </c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inlineStr">
        <is>
          <t>2026-09-08</t>
        </is>
      </c>
      <c r="B156" s="2" t="inlineStr">
        <is>
          <t>BLKASHYAP</t>
        </is>
      </c>
      <c r="C156" s="2" t="inlineStr">
        <is>
          <t>B.L. Kashyap and Sons Limited</t>
        </is>
      </c>
      <c r="D156" s="2" t="inlineStr">
        <is>
          <t>98/100</t>
        </is>
      </c>
      <c r="E156" s="7" t="n">
        <v>59.34000015258789</v>
      </c>
      <c r="F156" s="7" t="n">
        <v>53.3985721043178</v>
      </c>
      <c r="G156" s="7" t="n">
        <v>74.19357027326312</v>
      </c>
      <c r="H156" s="2" t="inlineStr">
        <is>
          <t>1:2.5</t>
        </is>
      </c>
      <c r="I156" s="2" t="n">
        <v>1</v>
      </c>
      <c r="J156" s="7" t="n">
        <v>59.34000015258789</v>
      </c>
      <c r="K156" s="2" t="inlineStr">
        <is>
          <t>PENDING</t>
        </is>
      </c>
      <c r="L156" s="2" t="inlineStr">
        <is>
          <t>Swing Scanner (STATE 3: Capitulation Bottom)</t>
        </is>
      </c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inlineStr">
        <is>
          <t>2026-09-08</t>
        </is>
      </c>
      <c r="B157" s="2" t="inlineStr">
        <is>
          <t>JINDALSTEL</t>
        </is>
      </c>
      <c r="C157" s="2" t="inlineStr">
        <is>
          <t>Jindal Steel &amp; Power Limited</t>
        </is>
      </c>
      <c r="D157" s="2" t="inlineStr">
        <is>
          <t>98/100</t>
        </is>
      </c>
      <c r="E157" s="7" t="n">
        <v>1165</v>
      </c>
      <c r="F157" s="7" t="n">
        <v>1106.920357335481</v>
      </c>
      <c r="G157" s="7" t="n">
        <v>1310.199106661297</v>
      </c>
      <c r="H157" s="2" t="inlineStr">
        <is>
          <t>1:2.5</t>
        </is>
      </c>
      <c r="I157" s="2" t="n">
        <v>0</v>
      </c>
      <c r="J157" s="7" t="n">
        <v>0</v>
      </c>
      <c r="K157" s="2" t="inlineStr">
        <is>
          <t>PENDING</t>
        </is>
      </c>
      <c r="L157" s="2" t="inlineStr">
        <is>
          <t>Swing Scanner (STATE 3: Capitulation Bottom)</t>
        </is>
      </c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inlineStr">
        <is>
          <t>2026-09-08</t>
        </is>
      </c>
      <c r="B158" s="2" t="inlineStr">
        <is>
          <t>ANTELOPUS</t>
        </is>
      </c>
      <c r="C158" s="2" t="inlineStr">
        <is>
          <t>ANTELOPUS</t>
        </is>
      </c>
      <c r="D158" s="2" t="inlineStr">
        <is>
          <t>98/100</t>
        </is>
      </c>
      <c r="E158" s="7" t="n">
        <v>985.2999877929688</v>
      </c>
      <c r="F158" s="7" t="n">
        <v>880.4285452706473</v>
      </c>
      <c r="G158" s="7" t="n">
        <v>1247.478594098772</v>
      </c>
      <c r="H158" s="2" t="inlineStr">
        <is>
          <t>1:2.5</t>
        </is>
      </c>
      <c r="I158" s="2" t="n">
        <v>0</v>
      </c>
      <c r="J158" s="7" t="n">
        <v>0</v>
      </c>
      <c r="K158" s="2" t="inlineStr">
        <is>
          <t>PENDING</t>
        </is>
      </c>
      <c r="L158" s="2" t="inlineStr">
        <is>
          <t>Swing Scanner (STATE 3: Capitulation Bottom)</t>
        </is>
      </c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inlineStr">
        <is>
          <t>2026-09-08</t>
        </is>
      </c>
      <c r="B159" s="2" t="inlineStr">
        <is>
          <t>GPTHEALTH</t>
        </is>
      </c>
      <c r="C159" s="2" t="inlineStr">
        <is>
          <t>GPT Healthcare Limited</t>
        </is>
      </c>
      <c r="D159" s="2" t="inlineStr">
        <is>
          <t>98/100</t>
        </is>
      </c>
      <c r="E159" s="7" t="n">
        <v>161.3699951171875</v>
      </c>
      <c r="F159" s="7" t="n">
        <v>153.6171395438058</v>
      </c>
      <c r="G159" s="7" t="n">
        <v>180.7521340506417</v>
      </c>
      <c r="H159" s="2" t="inlineStr">
        <is>
          <t>1:2.5</t>
        </is>
      </c>
      <c r="I159" s="2" t="n">
        <v>0</v>
      </c>
      <c r="J159" s="7" t="n">
        <v>0</v>
      </c>
      <c r="K159" s="2" t="inlineStr">
        <is>
          <t>PENDING</t>
        </is>
      </c>
      <c r="L159" s="2" t="inlineStr">
        <is>
          <t>Swing Scanner (STATE 3: Capitulation Bottom)</t>
        </is>
      </c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inlineStr">
        <is>
          <t>2026-09-08</t>
        </is>
      </c>
      <c r="B160" s="2" t="inlineStr">
        <is>
          <t>BAJAJ-AUTO</t>
        </is>
      </c>
      <c r="C160" s="2" t="inlineStr">
        <is>
          <t>Bajaj Auto Limited</t>
        </is>
      </c>
      <c r="D160" s="2" t="inlineStr">
        <is>
          <t>100/100</t>
        </is>
      </c>
      <c r="E160" s="7" t="n">
        <v>11880</v>
      </c>
      <c r="F160" s="7" t="n">
        <v>11717.4</v>
      </c>
      <c r="G160" s="7" t="n">
        <v>12286.5</v>
      </c>
      <c r="H160" s="2" t="inlineStr">
        <is>
          <t>1:2.5</t>
        </is>
      </c>
      <c r="I160" s="2" t="n">
        <v>0</v>
      </c>
      <c r="J160" s="7" t="n">
        <v>0</v>
      </c>
      <c r="K160" s="2" t="inlineStr">
        <is>
          <t>PENDING</t>
        </is>
      </c>
      <c r="L160" s="2" t="inlineStr">
        <is>
          <t>Intraday Scanner (STATE 3: Capitulation Bottom)</t>
        </is>
      </c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inlineStr">
        <is>
          <t>2026-09-08</t>
        </is>
      </c>
      <c r="B161" s="2" t="inlineStr">
        <is>
          <t>EICHERMOT</t>
        </is>
      </c>
      <c r="C161" s="2" t="inlineStr">
        <is>
          <t>Eicher Motors Limited</t>
        </is>
      </c>
      <c r="D161" s="2" t="inlineStr">
        <is>
          <t>100/100</t>
        </is>
      </c>
      <c r="E161" s="7" t="n">
        <v>7747.5</v>
      </c>
      <c r="F161" s="7" t="n">
        <v>7640.1</v>
      </c>
      <c r="G161" s="7" t="n">
        <v>8016</v>
      </c>
      <c r="H161" s="2" t="inlineStr">
        <is>
          <t>1:2.5</t>
        </is>
      </c>
      <c r="I161" s="2" t="n">
        <v>0</v>
      </c>
      <c r="J161" s="7" t="n">
        <v>0</v>
      </c>
      <c r="K161" s="2" t="inlineStr">
        <is>
          <t>PENDING</t>
        </is>
      </c>
      <c r="L161" s="2" t="inlineStr">
        <is>
          <t>Intraday Scanner (STATE 3: Capitulation Bottom)</t>
        </is>
      </c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inlineStr">
        <is>
          <t>2026-09-08</t>
        </is>
      </c>
      <c r="B162" s="2" t="inlineStr">
        <is>
          <t>COFORGE</t>
        </is>
      </c>
      <c r="C162" s="2" t="inlineStr">
        <is>
          <t>Coforge Limited</t>
        </is>
      </c>
      <c r="D162" s="2" t="inlineStr">
        <is>
          <t>100/100</t>
        </is>
      </c>
      <c r="E162" s="7" t="n">
        <v>1950</v>
      </c>
      <c r="F162" s="7" t="n">
        <v>1926.4</v>
      </c>
      <c r="G162" s="7" t="n">
        <v>2008.95</v>
      </c>
      <c r="H162" s="2" t="inlineStr">
        <is>
          <t>1:2.5</t>
        </is>
      </c>
      <c r="I162" s="2" t="n">
        <v>0</v>
      </c>
      <c r="J162" s="7" t="n">
        <v>0</v>
      </c>
      <c r="K162" s="2" t="inlineStr">
        <is>
          <t>PENDING</t>
        </is>
      </c>
      <c r="L162" s="2" t="inlineStr">
        <is>
          <t>Intraday Scanner (STATE 3: Capitulation Bottom)</t>
        </is>
      </c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inlineStr">
        <is>
          <t>2026-09-08</t>
        </is>
      </c>
      <c r="B163" s="2" t="inlineStr">
        <is>
          <t>LALPATHLAB</t>
        </is>
      </c>
      <c r="C163" s="2" t="inlineStr">
        <is>
          <t>Dr. Lal PathLab Limited</t>
        </is>
      </c>
      <c r="D163" s="2" t="inlineStr">
        <is>
          <t>100/100</t>
        </is>
      </c>
      <c r="E163" s="7" t="n">
        <v>1912.5</v>
      </c>
      <c r="F163" s="7" t="n">
        <v>1889.8</v>
      </c>
      <c r="G163" s="7" t="n">
        <v>1969.25</v>
      </c>
      <c r="H163" s="2" t="inlineStr">
        <is>
          <t>1:2.5</t>
        </is>
      </c>
      <c r="I163" s="2" t="n">
        <v>0</v>
      </c>
      <c r="J163" s="7" t="n">
        <v>0</v>
      </c>
      <c r="K163" s="2" t="inlineStr">
        <is>
          <t>PENDING</t>
        </is>
      </c>
      <c r="L163" s="2" t="inlineStr">
        <is>
          <t>Intraday Scanner (STATE 3: Capitulation Bottom)</t>
        </is>
      </c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inlineStr">
        <is>
          <t>2026-09-08</t>
        </is>
      </c>
      <c r="B164" s="2" t="inlineStr">
        <is>
          <t>SCHNEIDER</t>
        </is>
      </c>
      <c r="C164" s="2" t="inlineStr">
        <is>
          <t>Schneider Electric Infrastructure Limited</t>
        </is>
      </c>
      <c r="D164" s="2" t="inlineStr">
        <is>
          <t>100/100</t>
        </is>
      </c>
      <c r="E164" s="7" t="n">
        <v>1229.7</v>
      </c>
      <c r="F164" s="7" t="n">
        <v>1204</v>
      </c>
      <c r="G164" s="7" t="n">
        <v>1293.95</v>
      </c>
      <c r="H164" s="2" t="inlineStr">
        <is>
          <t>1:2.5</t>
        </is>
      </c>
      <c r="I164" s="2" t="n">
        <v>0</v>
      </c>
      <c r="J164" s="7" t="n">
        <v>0</v>
      </c>
      <c r="K164" s="2" t="inlineStr">
        <is>
          <t>PENDING</t>
        </is>
      </c>
      <c r="L164" s="2" t="inlineStr">
        <is>
          <t>Intraday Scanner (STATE 3: Capitulation Bottom)</t>
        </is>
      </c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inlineStr">
        <is>
          <t>2026-09-09</t>
        </is>
      </c>
      <c r="B165" s="2" t="inlineStr">
        <is>
          <t>HIKAL</t>
        </is>
      </c>
      <c r="C165" s="2" t="inlineStr">
        <is>
          <t>Hikal Limited</t>
        </is>
      </c>
      <c r="D165" s="2" t="inlineStr">
        <is>
          <t>100/100</t>
        </is>
      </c>
      <c r="E165" s="7" t="n">
        <v>246.0099945068359</v>
      </c>
      <c r="F165" s="7" t="n">
        <v>220.0029455552726</v>
      </c>
      <c r="G165" s="7" t="n">
        <v>311.0276168857443</v>
      </c>
      <c r="H165" s="2" t="inlineStr">
        <is>
          <t>1:2.5</t>
        </is>
      </c>
      <c r="I165" s="2" t="n">
        <v>0</v>
      </c>
      <c r="J165" s="7" t="n">
        <v>0</v>
      </c>
      <c r="K165" s="2" t="inlineStr">
        <is>
          <t>PENDING</t>
        </is>
      </c>
      <c r="L165" s="2" t="inlineStr">
        <is>
          <t>Swing Scanner (STATE 3: Capitulation Bottom)</t>
        </is>
      </c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inlineStr">
        <is>
          <t>2026-09-09</t>
        </is>
      </c>
      <c r="B166" s="2" t="inlineStr">
        <is>
          <t>GAYAPROJ</t>
        </is>
      </c>
      <c r="C166" s="2" t="inlineStr">
        <is>
          <t>Gayatri Projects Limited</t>
        </is>
      </c>
      <c r="D166" s="2" t="inlineStr">
        <is>
          <t>98/100</t>
        </is>
      </c>
      <c r="E166" s="7" t="n">
        <v>23.26000022888184</v>
      </c>
      <c r="F166" s="7" t="n">
        <v>20.88000052315848</v>
      </c>
      <c r="G166" s="7" t="n">
        <v>29.20999949319022</v>
      </c>
      <c r="H166" s="2" t="inlineStr">
        <is>
          <t>1:2.5</t>
        </is>
      </c>
      <c r="I166" s="2" t="n">
        <v>2</v>
      </c>
      <c r="J166" s="7" t="n">
        <v>46.52000045776367</v>
      </c>
      <c r="K166" s="2" t="inlineStr">
        <is>
          <t>PENDING</t>
        </is>
      </c>
      <c r="L166" s="2" t="inlineStr">
        <is>
          <t>Swing Scanner (STATE 3: Capitulation Bottom)</t>
        </is>
      </c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inlineStr">
        <is>
          <t>2026-09-09</t>
        </is>
      </c>
      <c r="B167" s="2" t="inlineStr">
        <is>
          <t>GRANULES</t>
        </is>
      </c>
      <c r="C167" s="2" t="inlineStr">
        <is>
          <t>Granules India Limited</t>
        </is>
      </c>
      <c r="D167" s="2" t="inlineStr">
        <is>
          <t>98/100</t>
        </is>
      </c>
      <c r="E167" s="7" t="n">
        <v>895.3499755859375</v>
      </c>
      <c r="F167" s="7" t="n">
        <v>847.0356794084821</v>
      </c>
      <c r="G167" s="7" t="n">
        <v>1016.135716029576</v>
      </c>
      <c r="H167" s="2" t="inlineStr">
        <is>
          <t>1:2.5</t>
        </is>
      </c>
      <c r="I167" s="2" t="n">
        <v>0</v>
      </c>
      <c r="J167" s="7" t="n">
        <v>0</v>
      </c>
      <c r="K167" s="2" t="inlineStr">
        <is>
          <t>PENDING</t>
        </is>
      </c>
      <c r="L167" s="2" t="inlineStr">
        <is>
          <t>Swing Scanner (STATE 3: Capitulation Bottom)</t>
        </is>
      </c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inlineStr">
        <is>
          <t>2026-09-09</t>
        </is>
      </c>
      <c r="B168" s="2" t="inlineStr">
        <is>
          <t>AEROFLEX</t>
        </is>
      </c>
      <c r="C168" s="2" t="inlineStr">
        <is>
          <t>Aeroflex Industries Limited</t>
        </is>
      </c>
      <c r="D168" s="2" t="inlineStr">
        <is>
          <t>98/100</t>
        </is>
      </c>
      <c r="E168" s="7" t="n">
        <v>573.5</v>
      </c>
      <c r="F168" s="7" t="n">
        <v>517.7928423200335</v>
      </c>
      <c r="G168" s="7" t="n">
        <v>712.7678941999163</v>
      </c>
      <c r="H168" s="2" t="inlineStr">
        <is>
          <t>1:2.5</t>
        </is>
      </c>
      <c r="I168" s="2" t="n">
        <v>0</v>
      </c>
      <c r="J168" s="7" t="n">
        <v>0</v>
      </c>
      <c r="K168" s="2" t="inlineStr">
        <is>
          <t>PENDING</t>
        </is>
      </c>
      <c r="L168" s="2" t="inlineStr">
        <is>
          <t>Swing Scanner (STATE 3: Capitulation Bottom)</t>
        </is>
      </c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inlineStr">
        <is>
          <t>2026-09-09</t>
        </is>
      </c>
      <c r="B169" s="2" t="inlineStr">
        <is>
          <t>BEPL</t>
        </is>
      </c>
      <c r="C169" s="2" t="inlineStr">
        <is>
          <t>Bhansali Engineering Polymers Limited</t>
        </is>
      </c>
      <c r="D169" s="2" t="inlineStr">
        <is>
          <t>98/100</t>
        </is>
      </c>
      <c r="E169" s="7" t="n">
        <v>133.8399963378906</v>
      </c>
      <c r="F169" s="7" t="n">
        <v>123.3999971662249</v>
      </c>
      <c r="G169" s="7" t="n">
        <v>159.939994267055</v>
      </c>
      <c r="H169" s="2" t="inlineStr">
        <is>
          <t>1:2.5</t>
        </is>
      </c>
      <c r="I169" s="2" t="n">
        <v>0</v>
      </c>
      <c r="J169" s="7" t="n">
        <v>0</v>
      </c>
      <c r="K169" s="2" t="inlineStr">
        <is>
          <t>PENDING</t>
        </is>
      </c>
      <c r="L169" s="2" t="inlineStr">
        <is>
          <t>Swing Scanner (STATE 3: Capitulation Bottom)</t>
        </is>
      </c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inlineStr">
        <is>
          <t>2026-09-09</t>
        </is>
      </c>
      <c r="B170" s="2" t="inlineStr">
        <is>
          <t>ASIANPAINT</t>
        </is>
      </c>
      <c r="C170" s="2" t="inlineStr">
        <is>
          <t>Asian Paints Limited</t>
        </is>
      </c>
      <c r="D170" s="2" t="inlineStr">
        <is>
          <t>100/100</t>
        </is>
      </c>
      <c r="E170" s="7" t="n">
        <v>2489</v>
      </c>
      <c r="F170" s="7" t="n">
        <v>2460.55</v>
      </c>
      <c r="G170" s="7" t="n">
        <v>2560.1</v>
      </c>
      <c r="H170" s="2" t="inlineStr">
        <is>
          <t>1:2.5</t>
        </is>
      </c>
      <c r="I170" s="2" t="n">
        <v>0</v>
      </c>
      <c r="J170" s="7" t="n">
        <v>0</v>
      </c>
      <c r="K170" s="2" t="inlineStr">
        <is>
          <t>PENDING</t>
        </is>
      </c>
      <c r="L170" s="2" t="inlineStr">
        <is>
          <t>Intraday Scanner (STATE 3: Capitulation Bottom)</t>
        </is>
      </c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inlineStr">
        <is>
          <t>2026-09-09</t>
        </is>
      </c>
      <c r="B171" s="2" t="inlineStr">
        <is>
          <t>METROPOLIS</t>
        </is>
      </c>
      <c r="C171" s="2" t="inlineStr">
        <is>
          <t>Metropolis Healthcare Limited</t>
        </is>
      </c>
      <c r="D171" s="2" t="inlineStr">
        <is>
          <t>100/100</t>
        </is>
      </c>
      <c r="E171" s="7" t="n">
        <v>602.1</v>
      </c>
      <c r="F171" s="7" t="n">
        <v>592.95</v>
      </c>
      <c r="G171" s="7" t="n">
        <v>625</v>
      </c>
      <c r="H171" s="2" t="inlineStr">
        <is>
          <t>1:2.5</t>
        </is>
      </c>
      <c r="I171" s="2" t="n">
        <v>0</v>
      </c>
      <c r="J171" s="7" t="n">
        <v>0</v>
      </c>
      <c r="K171" s="2" t="inlineStr">
        <is>
          <t>PENDING</t>
        </is>
      </c>
      <c r="L171" s="2" t="inlineStr">
        <is>
          <t>Intraday Scanner (STATE 3: Capitulation Bottom)</t>
        </is>
      </c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inlineStr">
        <is>
          <t>2026-09-09</t>
        </is>
      </c>
      <c r="B172" s="2" t="inlineStr">
        <is>
          <t>DALBHARAT</t>
        </is>
      </c>
      <c r="C172" s="2" t="inlineStr">
        <is>
          <t>Dalmia Bharat Limited</t>
        </is>
      </c>
      <c r="D172" s="2" t="inlineStr">
        <is>
          <t>100/100</t>
        </is>
      </c>
      <c r="E172" s="7" t="n">
        <v>1733.6</v>
      </c>
      <c r="F172" s="7" t="n">
        <v>1697.65</v>
      </c>
      <c r="G172" s="7" t="n">
        <v>1823.55</v>
      </c>
      <c r="H172" s="2" t="inlineStr">
        <is>
          <t>1:2.5</t>
        </is>
      </c>
      <c r="I172" s="2" t="n">
        <v>0</v>
      </c>
      <c r="J172" s="7" t="n">
        <v>0</v>
      </c>
      <c r="K172" s="2" t="inlineStr">
        <is>
          <t>PENDING</t>
        </is>
      </c>
      <c r="L172" s="2" t="inlineStr">
        <is>
          <t>Intraday Scanner (STATE 3: Capitulation Bottom)</t>
        </is>
      </c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inlineStr">
        <is>
          <t>2026-09-09</t>
        </is>
      </c>
      <c r="B173" s="2" t="inlineStr">
        <is>
          <t>COROMANDEL</t>
        </is>
      </c>
      <c r="C173" s="2" t="inlineStr">
        <is>
          <t>Coromandel International Limited</t>
        </is>
      </c>
      <c r="D173" s="2" t="inlineStr">
        <is>
          <t>98/100</t>
        </is>
      </c>
      <c r="E173" s="7" t="n">
        <v>1962.7</v>
      </c>
      <c r="F173" s="7" t="n">
        <v>1942.95</v>
      </c>
      <c r="G173" s="7" t="n">
        <v>2012.05</v>
      </c>
      <c r="H173" s="2" t="inlineStr">
        <is>
          <t>1:2.5</t>
        </is>
      </c>
      <c r="I173" s="2" t="n">
        <v>0</v>
      </c>
      <c r="J173" s="7" t="n">
        <v>0</v>
      </c>
      <c r="K173" s="2" t="inlineStr">
        <is>
          <t>PENDING</t>
        </is>
      </c>
      <c r="L173" s="2" t="inlineStr">
        <is>
          <t>Intraday Scanner (STATE 3: Capitulation Bottom)</t>
        </is>
      </c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inlineStr">
        <is>
          <t>2026-09-09</t>
        </is>
      </c>
      <c r="B174" s="2" t="inlineStr">
        <is>
          <t>JSL</t>
        </is>
      </c>
      <c r="C174" s="2" t="inlineStr">
        <is>
          <t>Jindal Stainless Limited</t>
        </is>
      </c>
      <c r="D174" s="2" t="inlineStr">
        <is>
          <t>96/100</t>
        </is>
      </c>
      <c r="E174" s="7" t="n">
        <v>783.3</v>
      </c>
      <c r="F174" s="7" t="n">
        <v>762.9</v>
      </c>
      <c r="G174" s="7" t="n">
        <v>834.3</v>
      </c>
      <c r="H174" s="2" t="inlineStr">
        <is>
          <t>1:2.5</t>
        </is>
      </c>
      <c r="I174" s="2" t="n">
        <v>0</v>
      </c>
      <c r="J174" s="7" t="n">
        <v>0</v>
      </c>
      <c r="K174" s="2" t="inlineStr">
        <is>
          <t>PENDING</t>
        </is>
      </c>
      <c r="L174" s="2" t="inlineStr">
        <is>
          <t>Intraday Scanner (STATE 3: Capitulation Bottom)</t>
        </is>
      </c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inlineStr">
        <is>
          <t>2026-09-10</t>
        </is>
      </c>
      <c r="B175" s="2" t="inlineStr">
        <is>
          <t>GAYAPROJ</t>
        </is>
      </c>
      <c r="C175" s="2" t="inlineStr">
        <is>
          <t>Gayatri Projects Limited</t>
        </is>
      </c>
      <c r="D175" s="2" t="inlineStr">
        <is>
          <t>98/100</t>
        </is>
      </c>
      <c r="E175" s="7" t="n">
        <v>23.63999938964844</v>
      </c>
      <c r="F175" s="7" t="n">
        <v>21.27857099260603</v>
      </c>
      <c r="G175" s="7" t="n">
        <v>29.54357038225447</v>
      </c>
      <c r="H175" s="2" t="inlineStr">
        <is>
          <t>1:2.5</t>
        </is>
      </c>
      <c r="I175" s="2" t="n">
        <v>2</v>
      </c>
      <c r="J175" s="7" t="n">
        <v>47.27999877929688</v>
      </c>
      <c r="K175" s="2" t="inlineStr">
        <is>
          <t>PENDING</t>
        </is>
      </c>
      <c r="L175" s="2" t="inlineStr">
        <is>
          <t>Swing Scanner (STATE 3: Capitulation Bottom)</t>
        </is>
      </c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inlineStr">
        <is>
          <t>2026-09-10</t>
        </is>
      </c>
      <c r="B176" s="2" t="inlineStr">
        <is>
          <t>BEPL</t>
        </is>
      </c>
      <c r="C176" s="2" t="inlineStr">
        <is>
          <t>Bhansali Engineering Polymers Limited</t>
        </is>
      </c>
      <c r="D176" s="2" t="inlineStr">
        <is>
          <t>98/100</t>
        </is>
      </c>
      <c r="E176" s="7" t="n">
        <v>133.5599975585938</v>
      </c>
      <c r="F176" s="7" t="n">
        <v>123.1842836652483</v>
      </c>
      <c r="G176" s="7" t="n">
        <v>159.4992822919573</v>
      </c>
      <c r="H176" s="2" t="inlineStr">
        <is>
          <t>1:2.5</t>
        </is>
      </c>
      <c r="I176" s="2" t="n">
        <v>0</v>
      </c>
      <c r="J176" s="7" t="n">
        <v>0</v>
      </c>
      <c r="K176" s="2" t="inlineStr">
        <is>
          <t>PENDING</t>
        </is>
      </c>
      <c r="L176" s="2" t="inlineStr">
        <is>
          <t>Swing Scanner (STATE 3: Capitulation Bottom)</t>
        </is>
      </c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inlineStr">
        <is>
          <t>2026-09-10</t>
        </is>
      </c>
      <c r="B177" s="2" t="inlineStr">
        <is>
          <t>CGPOWER</t>
        </is>
      </c>
      <c r="C177" s="2" t="inlineStr">
        <is>
          <t>CG Power and Industrial Solutions Limited</t>
        </is>
      </c>
      <c r="D177" s="2" t="inlineStr">
        <is>
          <t>98/100</t>
        </is>
      </c>
      <c r="E177" s="7" t="n">
        <v>926.9500122070312</v>
      </c>
      <c r="F177" s="7" t="n">
        <v>883.1000017438616</v>
      </c>
      <c r="G177" s="7" t="n">
        <v>1036.575038364955</v>
      </c>
      <c r="H177" s="2" t="inlineStr">
        <is>
          <t>1:2.5</t>
        </is>
      </c>
      <c r="I177" s="2" t="n">
        <v>0</v>
      </c>
      <c r="J177" s="7" t="n">
        <v>0</v>
      </c>
      <c r="K177" s="2" t="inlineStr">
        <is>
          <t>PENDING</t>
        </is>
      </c>
      <c r="L177" s="2" t="inlineStr">
        <is>
          <t>Swing Scanner (STATE 3: Capitulation Bottom)</t>
        </is>
      </c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inlineStr">
        <is>
          <t>2026-09-10</t>
        </is>
      </c>
      <c r="B178" s="2" t="inlineStr">
        <is>
          <t>SARDAEN</t>
        </is>
      </c>
      <c r="C178" s="2" t="inlineStr">
        <is>
          <t>Sarda Energy &amp; Minerals Limited</t>
        </is>
      </c>
      <c r="D178" s="2" t="inlineStr">
        <is>
          <t>98/100</t>
        </is>
      </c>
      <c r="E178" s="7" t="n">
        <v>545.8499755859375</v>
      </c>
      <c r="F178" s="7" t="n">
        <v>519.4571097237723</v>
      </c>
      <c r="G178" s="7" t="n">
        <v>611.8321402413504</v>
      </c>
      <c r="H178" s="2" t="inlineStr">
        <is>
          <t>1:2.5</t>
        </is>
      </c>
      <c r="I178" s="2" t="n">
        <v>0</v>
      </c>
      <c r="J178" s="7" t="n">
        <v>0</v>
      </c>
      <c r="K178" s="2" t="inlineStr">
        <is>
          <t>PENDING</t>
        </is>
      </c>
      <c r="L178" s="2" t="inlineStr">
        <is>
          <t>Swing Scanner (STATE 3: Capitulation Bottom)</t>
        </is>
      </c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inlineStr">
        <is>
          <t>2026-09-10</t>
        </is>
      </c>
      <c r="B179" s="2" t="inlineStr">
        <is>
          <t>AVL</t>
        </is>
      </c>
      <c r="C179" s="2" t="inlineStr">
        <is>
          <t>Aditya Vision Limited</t>
        </is>
      </c>
      <c r="D179" s="2" t="inlineStr">
        <is>
          <t>98/100</t>
        </is>
      </c>
      <c r="E179" s="7" t="n">
        <v>623.0999755859375</v>
      </c>
      <c r="F179" s="7" t="n">
        <v>587.1696734188296</v>
      </c>
      <c r="G179" s="7" t="n">
        <v>712.9257310037074</v>
      </c>
      <c r="H179" s="2" t="inlineStr">
        <is>
          <t>1:2.5</t>
        </is>
      </c>
      <c r="I179" s="2" t="n">
        <v>0</v>
      </c>
      <c r="J179" s="7" t="n">
        <v>0</v>
      </c>
      <c r="K179" s="2" t="inlineStr">
        <is>
          <t>PENDING</t>
        </is>
      </c>
      <c r="L179" s="2" t="inlineStr">
        <is>
          <t>Swing Scanner (STATE 3: Capitulation Bottom)</t>
        </is>
      </c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inlineStr">
        <is>
          <t>2026-09-10</t>
        </is>
      </c>
      <c r="B180" s="2" t="inlineStr">
        <is>
          <t>GRASIM</t>
        </is>
      </c>
      <c r="C180" s="2" t="inlineStr">
        <is>
          <t>Grasim Industries Limited</t>
        </is>
      </c>
      <c r="D180" s="2" t="inlineStr">
        <is>
          <t>100/100</t>
        </is>
      </c>
      <c r="E180" s="7" t="n">
        <v>3319</v>
      </c>
      <c r="F180" s="7" t="n">
        <v>3300.7</v>
      </c>
      <c r="G180" s="7" t="n">
        <v>3364.75</v>
      </c>
      <c r="H180" s="2" t="inlineStr">
        <is>
          <t>1:2.5</t>
        </is>
      </c>
      <c r="I180" s="2" t="n">
        <v>0</v>
      </c>
      <c r="J180" s="7" t="n">
        <v>0</v>
      </c>
      <c r="K180" s="2" t="inlineStr">
        <is>
          <t>PENDING</t>
        </is>
      </c>
      <c r="L180" s="2" t="inlineStr">
        <is>
          <t>Intraday Scanner (STATE 3: Capitulation Bottom)</t>
        </is>
      </c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inlineStr">
        <is>
          <t>2026-09-10</t>
        </is>
      </c>
      <c r="B181" s="2" t="inlineStr">
        <is>
          <t>DABUR</t>
        </is>
      </c>
      <c r="C181" s="2" t="inlineStr">
        <is>
          <t>Dabur India Limited</t>
        </is>
      </c>
      <c r="D181" s="2" t="inlineStr">
        <is>
          <t>100/100</t>
        </is>
      </c>
      <c r="E181" s="7" t="n">
        <v>376.45</v>
      </c>
      <c r="F181" s="7" t="n">
        <v>371.9</v>
      </c>
      <c r="G181" s="7" t="n">
        <v>387.8</v>
      </c>
      <c r="H181" s="2" t="inlineStr">
        <is>
          <t>1:2.5</t>
        </is>
      </c>
      <c r="I181" s="2" t="n">
        <v>0</v>
      </c>
      <c r="J181" s="7" t="n">
        <v>0</v>
      </c>
      <c r="K181" s="2" t="inlineStr">
        <is>
          <t>PENDING</t>
        </is>
      </c>
      <c r="L181" s="2" t="inlineStr">
        <is>
          <t>Intraday Scanner (STATE 3: Capitulation Bottom)</t>
        </is>
      </c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inlineStr">
        <is>
          <t>2026-09-10</t>
        </is>
      </c>
      <c r="B182" s="2" t="inlineStr">
        <is>
          <t>GRANULES</t>
        </is>
      </c>
      <c r="C182" s="2" t="inlineStr">
        <is>
          <t>Granules India Limited</t>
        </is>
      </c>
      <c r="D182" s="2" t="inlineStr">
        <is>
          <t>100/100</t>
        </is>
      </c>
      <c r="E182" s="7" t="n">
        <v>899.25</v>
      </c>
      <c r="F182" s="7" t="n">
        <v>879.45</v>
      </c>
      <c r="G182" s="7" t="n">
        <v>948.8</v>
      </c>
      <c r="H182" s="2" t="inlineStr">
        <is>
          <t>1:2.5</t>
        </is>
      </c>
      <c r="I182" s="2" t="n">
        <v>0</v>
      </c>
      <c r="J182" s="7" t="n">
        <v>0</v>
      </c>
      <c r="K182" s="2" t="inlineStr">
        <is>
          <t>PENDING</t>
        </is>
      </c>
      <c r="L182" s="2" t="inlineStr">
        <is>
          <t>Intraday Scanner (STATE 3: Capitulation Bottom)</t>
        </is>
      </c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inlineStr">
        <is>
          <t>2026-09-10</t>
        </is>
      </c>
      <c r="B183" s="2" t="inlineStr">
        <is>
          <t>ERIS</t>
        </is>
      </c>
      <c r="C183" s="2" t="inlineStr">
        <is>
          <t>Eris Lifesciences Limited</t>
        </is>
      </c>
      <c r="D183" s="2" t="inlineStr">
        <is>
          <t>100/100</t>
        </is>
      </c>
      <c r="E183" s="7" t="n">
        <v>1358</v>
      </c>
      <c r="F183" s="7" t="n">
        <v>1340.95</v>
      </c>
      <c r="G183" s="7" t="n">
        <v>1400.7</v>
      </c>
      <c r="H183" s="2" t="inlineStr">
        <is>
          <t>1:2.5</t>
        </is>
      </c>
      <c r="I183" s="2" t="n">
        <v>0</v>
      </c>
      <c r="J183" s="7" t="n">
        <v>0</v>
      </c>
      <c r="K183" s="2" t="inlineStr">
        <is>
          <t>PENDING</t>
        </is>
      </c>
      <c r="L183" s="2" t="inlineStr">
        <is>
          <t>Intraday Scanner (STATE 3: Capitulation Bottom)</t>
        </is>
      </c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inlineStr">
        <is>
          <t>2026-09-10</t>
        </is>
      </c>
      <c r="B184" s="2" t="inlineStr">
        <is>
          <t>ATUL</t>
        </is>
      </c>
      <c r="C184" s="2" t="inlineStr">
        <is>
          <t>Atul Limited</t>
        </is>
      </c>
      <c r="D184" s="2" t="inlineStr">
        <is>
          <t>100/100</t>
        </is>
      </c>
      <c r="E184" s="7" t="n">
        <v>6356</v>
      </c>
      <c r="F184" s="7" t="n">
        <v>6263</v>
      </c>
      <c r="G184" s="7" t="n">
        <v>6588.5</v>
      </c>
      <c r="H184" s="2" t="inlineStr">
        <is>
          <t>1:2.5</t>
        </is>
      </c>
      <c r="I184" s="2" t="n">
        <v>0</v>
      </c>
      <c r="J184" s="7" t="n">
        <v>0</v>
      </c>
      <c r="K184" s="2" t="inlineStr">
        <is>
          <t>PENDING</t>
        </is>
      </c>
      <c r="L184" s="2" t="inlineStr">
        <is>
          <t>Intraday Scanner (STATE 3: Capitulation Bottom)</t>
        </is>
      </c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inlineStr">
        <is>
          <t>2026-09-11</t>
        </is>
      </c>
      <c r="B185" s="2" t="inlineStr">
        <is>
          <t>AARTIDRUGS</t>
        </is>
      </c>
      <c r="C185" s="2" t="inlineStr">
        <is>
          <t>Aarti Drugs Limited</t>
        </is>
      </c>
      <c r="D185" s="2" t="inlineStr">
        <is>
          <t>98/100</t>
        </is>
      </c>
      <c r="E185" s="7" t="n">
        <v>437</v>
      </c>
      <c r="F185" s="7" t="n">
        <v>410.6428571428572</v>
      </c>
      <c r="G185" s="7" t="n">
        <v>502.8928571428571</v>
      </c>
      <c r="H185" s="2" t="inlineStr">
        <is>
          <t>1:2.5</t>
        </is>
      </c>
      <c r="I185" s="2" t="n">
        <v>0</v>
      </c>
      <c r="J185" s="7" t="n">
        <v>0</v>
      </c>
      <c r="K185" s="2" t="inlineStr">
        <is>
          <t>PENDING</t>
        </is>
      </c>
      <c r="L185" s="2" t="inlineStr">
        <is>
          <t>Swing Scanner (STATE 3: Capitulation Bottom)</t>
        </is>
      </c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inlineStr">
        <is>
          <t>2026-09-11</t>
        </is>
      </c>
      <c r="B186" s="2" t="inlineStr">
        <is>
          <t>GRANULES</t>
        </is>
      </c>
      <c r="C186" s="2" t="inlineStr">
        <is>
          <t>Granules India Limited</t>
        </is>
      </c>
      <c r="D186" s="2" t="inlineStr">
        <is>
          <t>98/100</t>
        </is>
      </c>
      <c r="E186" s="7" t="n">
        <v>899.25</v>
      </c>
      <c r="F186" s="7" t="n">
        <v>848.8285609654018</v>
      </c>
      <c r="G186" s="7" t="n">
        <v>1025.303597586495</v>
      </c>
      <c r="H186" s="2" t="inlineStr">
        <is>
          <t>1:2.5</t>
        </is>
      </c>
      <c r="I186" s="2" t="n">
        <v>0</v>
      </c>
      <c r="J186" s="7" t="n">
        <v>0</v>
      </c>
      <c r="K186" s="2" t="inlineStr">
        <is>
          <t>PENDING</t>
        </is>
      </c>
      <c r="L186" s="2" t="inlineStr">
        <is>
          <t>Swing Scanner (STATE 3: Capitulation Bottom)</t>
        </is>
      </c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inlineStr">
        <is>
          <t>2026-09-11</t>
        </is>
      </c>
      <c r="B187" s="2" t="inlineStr">
        <is>
          <t>JINDALSAW</t>
        </is>
      </c>
      <c r="C187" s="2" t="inlineStr">
        <is>
          <t>Jindal Saw Limited</t>
        </is>
      </c>
      <c r="D187" s="2" t="inlineStr">
        <is>
          <t>98/100</t>
        </is>
      </c>
      <c r="E187" s="7" t="n">
        <v>317.5</v>
      </c>
      <c r="F187" s="7" t="n">
        <v>294.3285740443638</v>
      </c>
      <c r="G187" s="7" t="n">
        <v>375.4285648890904</v>
      </c>
      <c r="H187" s="2" t="inlineStr">
        <is>
          <t>1:2.5</t>
        </is>
      </c>
      <c r="I187" s="2" t="n">
        <v>0</v>
      </c>
      <c r="J187" s="7" t="n">
        <v>0</v>
      </c>
      <c r="K187" s="2" t="inlineStr">
        <is>
          <t>PENDING</t>
        </is>
      </c>
      <c r="L187" s="2" t="inlineStr">
        <is>
          <t>Swing Scanner (STATE 3: Capitulation Bottom)</t>
        </is>
      </c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inlineStr">
        <is>
          <t>2026-09-11</t>
        </is>
      </c>
      <c r="B188" s="2" t="inlineStr">
        <is>
          <t>EMMVEE</t>
        </is>
      </c>
      <c r="C188" s="2" t="inlineStr">
        <is>
          <t>EMMVEE</t>
        </is>
      </c>
      <c r="D188" s="2" t="inlineStr">
        <is>
          <t>98/100</t>
        </is>
      </c>
      <c r="E188" s="7" t="n">
        <v>342.6499938964844</v>
      </c>
      <c r="F188" s="7" t="n">
        <v>323.3214198521205</v>
      </c>
      <c r="G188" s="7" t="n">
        <v>390.971429007394</v>
      </c>
      <c r="H188" s="2" t="inlineStr">
        <is>
          <t>1:2.5</t>
        </is>
      </c>
      <c r="I188" s="2" t="n">
        <v>0</v>
      </c>
      <c r="J188" s="7" t="n">
        <v>0</v>
      </c>
      <c r="K188" s="2" t="inlineStr">
        <is>
          <t>PENDING</t>
        </is>
      </c>
      <c r="L188" s="2" t="inlineStr">
        <is>
          <t>Swing Scanner (STATE 3: Capitulation Bottom)</t>
        </is>
      </c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inlineStr">
        <is>
          <t>2026-09-11</t>
        </is>
      </c>
      <c r="B189" s="2" t="inlineStr">
        <is>
          <t>FINCABLES</t>
        </is>
      </c>
      <c r="C189" s="2" t="inlineStr">
        <is>
          <t>Finolex Cables Limited</t>
        </is>
      </c>
      <c r="D189" s="2" t="inlineStr">
        <is>
          <t>98/100</t>
        </is>
      </c>
      <c r="E189" s="7" t="n">
        <v>1418.400024414062</v>
      </c>
      <c r="F189" s="7" t="n">
        <v>1303.503407176379</v>
      </c>
      <c r="G189" s="7" t="n">
        <v>1705.641567508271</v>
      </c>
      <c r="H189" s="2" t="inlineStr">
        <is>
          <t>1:2.5</t>
        </is>
      </c>
      <c r="I189" s="2" t="n">
        <v>0</v>
      </c>
      <c r="J189" s="7" t="n">
        <v>0</v>
      </c>
      <c r="K189" s="2" t="inlineStr">
        <is>
          <t>PENDING</t>
        </is>
      </c>
      <c r="L189" s="2" t="inlineStr">
        <is>
          <t>Swing Scanner (STATE 3: Capitulation Bottom)</t>
        </is>
      </c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inlineStr">
        <is>
          <t>2026-09-11</t>
        </is>
      </c>
      <c r="B190" s="2" t="inlineStr">
        <is>
          <t>ULTRACEMCO</t>
        </is>
      </c>
      <c r="C190" s="2" t="inlineStr">
        <is>
          <t>UltraTech Cement Limited</t>
        </is>
      </c>
      <c r="D190" s="2" t="inlineStr">
        <is>
          <t>100/100</t>
        </is>
      </c>
      <c r="E190" s="7" t="n">
        <v>11000</v>
      </c>
      <c r="F190" s="7" t="n">
        <v>10830.5</v>
      </c>
      <c r="G190" s="7" t="n">
        <v>11423.75</v>
      </c>
      <c r="H190" s="2" t="inlineStr">
        <is>
          <t>1:2.5</t>
        </is>
      </c>
      <c r="I190" s="2" t="n">
        <v>0</v>
      </c>
      <c r="J190" s="7" t="n">
        <v>0</v>
      </c>
      <c r="K190" s="2" t="inlineStr">
        <is>
          <t>PENDING</t>
        </is>
      </c>
      <c r="L190" s="2" t="inlineStr">
        <is>
          <t>Intraday Scanner (STATE 3: Capitulation Bottom)</t>
        </is>
      </c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inlineStr">
        <is>
          <t>2026-09-11</t>
        </is>
      </c>
      <c r="B191" s="2" t="inlineStr">
        <is>
          <t>PIDILITIND</t>
        </is>
      </c>
      <c r="C191" s="2" t="inlineStr">
        <is>
          <t>Pidilite Industries Limited</t>
        </is>
      </c>
      <c r="D191" s="2" t="inlineStr">
        <is>
          <t>100/100</t>
        </is>
      </c>
      <c r="E191" s="7" t="n">
        <v>1566.9</v>
      </c>
      <c r="F191" s="7" t="n">
        <v>1540.6</v>
      </c>
      <c r="G191" s="7" t="n">
        <v>1632.65</v>
      </c>
      <c r="H191" s="2" t="inlineStr">
        <is>
          <t>1:2.5</t>
        </is>
      </c>
      <c r="I191" s="2" t="n">
        <v>0</v>
      </c>
      <c r="J191" s="7" t="n">
        <v>0</v>
      </c>
      <c r="K191" s="2" t="inlineStr">
        <is>
          <t>PENDING</t>
        </is>
      </c>
      <c r="L191" s="2" t="inlineStr">
        <is>
          <t>Intraday Scanner (STATE 3: Capitulation Bottom)</t>
        </is>
      </c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inlineStr">
        <is>
          <t>2026-09-11</t>
        </is>
      </c>
      <c r="B192" s="2" t="inlineStr">
        <is>
          <t>SIEMENS</t>
        </is>
      </c>
      <c r="C192" s="2" t="inlineStr">
        <is>
          <t>Siemens Limited</t>
        </is>
      </c>
      <c r="D192" s="2" t="inlineStr">
        <is>
          <t>100/100</t>
        </is>
      </c>
      <c r="E192" s="7" t="n">
        <v>3957</v>
      </c>
      <c r="F192" s="7" t="n">
        <v>3913.6</v>
      </c>
      <c r="G192" s="7" t="n">
        <v>4065.45</v>
      </c>
      <c r="H192" s="2" t="inlineStr">
        <is>
          <t>1:2.5</t>
        </is>
      </c>
      <c r="I192" s="2" t="n">
        <v>0</v>
      </c>
      <c r="J192" s="7" t="n">
        <v>0</v>
      </c>
      <c r="K192" s="2" t="inlineStr">
        <is>
          <t>PENDING</t>
        </is>
      </c>
      <c r="L192" s="2" t="inlineStr">
        <is>
          <t>Intraday Scanner (STATE 3: Capitulation Bottom)</t>
        </is>
      </c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inlineStr">
        <is>
          <t>2026-09-11</t>
        </is>
      </c>
      <c r="B193" s="2" t="inlineStr">
        <is>
          <t>TATACHEM</t>
        </is>
      </c>
      <c r="C193" s="2" t="inlineStr">
        <is>
          <t>Tata Chemicals Limited</t>
        </is>
      </c>
      <c r="D193" s="2" t="inlineStr">
        <is>
          <t>100/100</t>
        </is>
      </c>
      <c r="E193" s="7" t="n">
        <v>612.45</v>
      </c>
      <c r="F193" s="7" t="n">
        <v>604.7</v>
      </c>
      <c r="G193" s="7" t="n">
        <v>631.9</v>
      </c>
      <c r="H193" s="2" t="inlineStr">
        <is>
          <t>1:2.5</t>
        </is>
      </c>
      <c r="I193" s="2" t="n">
        <v>0</v>
      </c>
      <c r="J193" s="7" t="n">
        <v>0</v>
      </c>
      <c r="K193" s="2" t="inlineStr">
        <is>
          <t>PENDING</t>
        </is>
      </c>
      <c r="L193" s="2" t="inlineStr">
        <is>
          <t>Intraday Scanner (STATE 3: Capitulation Bottom)</t>
        </is>
      </c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inlineStr">
        <is>
          <t>2026-09-11</t>
        </is>
      </c>
      <c r="B194" s="2" t="inlineStr">
        <is>
          <t>MANKIND</t>
        </is>
      </c>
      <c r="C194" s="2" t="inlineStr">
        <is>
          <t>Mankind Pharma Limited</t>
        </is>
      </c>
      <c r="D194" s="2" t="inlineStr">
        <is>
          <t>100/100</t>
        </is>
      </c>
      <c r="E194" s="7" t="n">
        <v>2280</v>
      </c>
      <c r="F194" s="7" t="n">
        <v>2247.2</v>
      </c>
      <c r="G194" s="7" t="n">
        <v>2362</v>
      </c>
      <c r="H194" s="2" t="inlineStr">
        <is>
          <t>1:2.5</t>
        </is>
      </c>
      <c r="I194" s="2" t="n">
        <v>0</v>
      </c>
      <c r="J194" s="7" t="n">
        <v>0</v>
      </c>
      <c r="K194" s="2" t="inlineStr">
        <is>
          <t>PENDING</t>
        </is>
      </c>
      <c r="L194" s="2" t="inlineStr">
        <is>
          <t>Intraday Scanner (STATE 3: Capitulation Bottom)</t>
        </is>
      </c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inlineStr">
        <is>
          <t>2026-09-14</t>
        </is>
      </c>
      <c r="B195" s="2" t="inlineStr">
        <is>
          <t>EMMVEE</t>
        </is>
      </c>
      <c r="C195" s="2" t="inlineStr">
        <is>
          <t>EMMVEE</t>
        </is>
      </c>
      <c r="D195" s="2" t="inlineStr">
        <is>
          <t>100/100</t>
        </is>
      </c>
      <c r="E195" s="7" t="n">
        <v>346</v>
      </c>
      <c r="F195" s="7" t="n">
        <v>325.3428519112723</v>
      </c>
      <c r="G195" s="7" t="n">
        <v>397.6428702218192</v>
      </c>
      <c r="H195" s="2" t="inlineStr">
        <is>
          <t>1:2.5</t>
        </is>
      </c>
      <c r="I195" s="2" t="n">
        <v>0</v>
      </c>
      <c r="J195" s="7" t="n">
        <v>0</v>
      </c>
      <c r="K195" s="2" t="inlineStr">
        <is>
          <t>PENDING</t>
        </is>
      </c>
      <c r="L195" s="2" t="inlineStr">
        <is>
          <t>Swing Scanner (STATE 3: Capitulation Bottom)</t>
        </is>
      </c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inlineStr">
        <is>
          <t>2026-09-14</t>
        </is>
      </c>
      <c r="B196" s="2" t="inlineStr">
        <is>
          <t>PTCIL</t>
        </is>
      </c>
      <c r="C196" s="2" t="inlineStr">
        <is>
          <t>PTC Industries Limited</t>
        </is>
      </c>
      <c r="D196" s="2" t="inlineStr">
        <is>
          <t>98/100</t>
        </is>
      </c>
      <c r="E196" s="7" t="n">
        <v>23630</v>
      </c>
      <c r="F196" s="7" t="n">
        <v>21547.85714285714</v>
      </c>
      <c r="G196" s="7" t="n">
        <v>28835.35714285714</v>
      </c>
      <c r="H196" s="2" t="inlineStr">
        <is>
          <t>1:2.5</t>
        </is>
      </c>
      <c r="I196" s="2" t="n">
        <v>0</v>
      </c>
      <c r="J196" s="7" t="n">
        <v>0</v>
      </c>
      <c r="K196" s="2" t="inlineStr">
        <is>
          <t>PENDING</t>
        </is>
      </c>
      <c r="L196" s="2" t="inlineStr">
        <is>
          <t>Swing Scanner (STATE 3: Capitulation Bottom)</t>
        </is>
      </c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inlineStr">
        <is>
          <t>2026-09-14</t>
        </is>
      </c>
      <c r="B197" s="2" t="inlineStr">
        <is>
          <t>HERITGFOOD</t>
        </is>
      </c>
      <c r="C197" s="2" t="inlineStr">
        <is>
          <t>Heritage Foods Limited</t>
        </is>
      </c>
      <c r="D197" s="2" t="inlineStr">
        <is>
          <t>98/100</t>
        </is>
      </c>
      <c r="E197" s="7" t="n">
        <v>417.3999938964844</v>
      </c>
      <c r="F197" s="7" t="n">
        <v>385.2714233398438</v>
      </c>
      <c r="G197" s="7" t="n">
        <v>497.7214202880859</v>
      </c>
      <c r="H197" s="2" t="inlineStr">
        <is>
          <t>1:2.5</t>
        </is>
      </c>
      <c r="I197" s="2" t="n">
        <v>0</v>
      </c>
      <c r="J197" s="7" t="n">
        <v>0</v>
      </c>
      <c r="K197" s="2" t="inlineStr">
        <is>
          <t>PENDING</t>
        </is>
      </c>
      <c r="L197" s="2" t="inlineStr">
        <is>
          <t>Swing Scanner (STATE 3: Capitulation Bottom)</t>
        </is>
      </c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inlineStr">
        <is>
          <t>2026-09-14</t>
        </is>
      </c>
      <c r="B198" s="2" t="inlineStr">
        <is>
          <t>BLUESTONE</t>
        </is>
      </c>
      <c r="C198" s="2" t="inlineStr">
        <is>
          <t>BLUESTONE</t>
        </is>
      </c>
      <c r="D198" s="2" t="inlineStr">
        <is>
          <t>98/100</t>
        </is>
      </c>
      <c r="E198" s="7" t="n">
        <v>890.3499755859375</v>
      </c>
      <c r="F198" s="7" t="n">
        <v>817.9928240094866</v>
      </c>
      <c r="G198" s="7" t="n">
        <v>1071.242854527065</v>
      </c>
      <c r="H198" s="2" t="inlineStr">
        <is>
          <t>1:2.5</t>
        </is>
      </c>
      <c r="I198" s="2" t="n">
        <v>0</v>
      </c>
      <c r="J198" s="7" t="n">
        <v>0</v>
      </c>
      <c r="K198" s="2" t="inlineStr">
        <is>
          <t>PENDING</t>
        </is>
      </c>
      <c r="L198" s="2" t="inlineStr">
        <is>
          <t>Swing Scanner (STATE 3: Capitulation Bottom)</t>
        </is>
      </c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inlineStr">
        <is>
          <t>2026-09-14</t>
        </is>
      </c>
      <c r="B199" s="2" t="inlineStr">
        <is>
          <t>GRANULES</t>
        </is>
      </c>
      <c r="C199" s="2" t="inlineStr">
        <is>
          <t>Granules India Limited</t>
        </is>
      </c>
      <c r="D199" s="2" t="inlineStr">
        <is>
          <t>98/100</t>
        </is>
      </c>
      <c r="E199" s="7" t="n">
        <v>909.2999877929688</v>
      </c>
      <c r="F199" s="7" t="n">
        <v>857.2499825613839</v>
      </c>
      <c r="G199" s="7" t="n">
        <v>1039.425000871931</v>
      </c>
      <c r="H199" s="2" t="inlineStr">
        <is>
          <t>1:2.5</t>
        </is>
      </c>
      <c r="I199" s="2" t="n">
        <v>0</v>
      </c>
      <c r="J199" s="7" t="n">
        <v>0</v>
      </c>
      <c r="K199" s="2" t="inlineStr">
        <is>
          <t>PENDING</t>
        </is>
      </c>
      <c r="L199" s="2" t="inlineStr">
        <is>
          <t>Swing Scanner (STATE 3: Capitulation Bottom)</t>
        </is>
      </c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inlineStr">
        <is>
          <t>2026-09-14</t>
        </is>
      </c>
      <c r="B200" s="2" t="inlineStr">
        <is>
          <t>ULTRACEMCO</t>
        </is>
      </c>
      <c r="C200" s="2" t="inlineStr">
        <is>
          <t>UltraTech Cement Limited</t>
        </is>
      </c>
      <c r="D200" s="2" t="inlineStr">
        <is>
          <t>100/100</t>
        </is>
      </c>
      <c r="E200" s="7" t="n">
        <v>11000</v>
      </c>
      <c r="F200" s="7" t="n">
        <v>10892.9</v>
      </c>
      <c r="G200" s="7" t="n">
        <v>11267.75</v>
      </c>
      <c r="H200" s="2" t="inlineStr">
        <is>
          <t>1:2.5</t>
        </is>
      </c>
      <c r="I200" s="2" t="n">
        <v>0</v>
      </c>
      <c r="J200" s="7" t="n">
        <v>0</v>
      </c>
      <c r="K200" s="2" t="inlineStr">
        <is>
          <t>PENDING</t>
        </is>
      </c>
      <c r="L200" s="2" t="inlineStr">
        <is>
          <t>Intraday Scanner (STATE 3: Capitulation Bottom)</t>
        </is>
      </c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inlineStr">
        <is>
          <t>2026-09-14</t>
        </is>
      </c>
      <c r="B201" s="2" t="inlineStr">
        <is>
          <t>PIDILITIND</t>
        </is>
      </c>
      <c r="C201" s="2" t="inlineStr">
        <is>
          <t>Pidilite Industries Limited</t>
        </is>
      </c>
      <c r="D201" s="2" t="inlineStr">
        <is>
          <t>100/100</t>
        </is>
      </c>
      <c r="E201" s="7" t="n">
        <v>1566.9</v>
      </c>
      <c r="F201" s="7" t="n">
        <v>1551.3</v>
      </c>
      <c r="G201" s="7" t="n">
        <v>1605.9</v>
      </c>
      <c r="H201" s="2" t="inlineStr">
        <is>
          <t>1:2.5</t>
        </is>
      </c>
      <c r="I201" s="2" t="n">
        <v>0</v>
      </c>
      <c r="J201" s="7" t="n">
        <v>0</v>
      </c>
      <c r="K201" s="2" t="inlineStr">
        <is>
          <t>PENDING</t>
        </is>
      </c>
      <c r="L201" s="2" t="inlineStr">
        <is>
          <t>Intraday Scanner (STATE 3: Capitulation Bottom)</t>
        </is>
      </c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inlineStr">
        <is>
          <t>2026-09-14</t>
        </is>
      </c>
      <c r="B202" s="2" t="inlineStr">
        <is>
          <t>SIEMENS</t>
        </is>
      </c>
      <c r="C202" s="2" t="inlineStr">
        <is>
          <t>Siemens Limited</t>
        </is>
      </c>
      <c r="D202" s="2" t="inlineStr">
        <is>
          <t>100/100</t>
        </is>
      </c>
      <c r="E202" s="7" t="n">
        <v>3957</v>
      </c>
      <c r="F202" s="7" t="n">
        <v>3913.6</v>
      </c>
      <c r="G202" s="7" t="n">
        <v>4065.45</v>
      </c>
      <c r="H202" s="2" t="inlineStr">
        <is>
          <t>1:2.5</t>
        </is>
      </c>
      <c r="I202" s="2" t="n">
        <v>0</v>
      </c>
      <c r="J202" s="7" t="n">
        <v>0</v>
      </c>
      <c r="K202" s="2" t="inlineStr">
        <is>
          <t>PENDING</t>
        </is>
      </c>
      <c r="L202" s="2" t="inlineStr">
        <is>
          <t>Intraday Scanner (STATE 3: Capitulation Bottom)</t>
        </is>
      </c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inlineStr">
        <is>
          <t>2026-09-14</t>
        </is>
      </c>
      <c r="B203" s="2" t="inlineStr">
        <is>
          <t>TATACHEM</t>
        </is>
      </c>
      <c r="C203" s="2" t="inlineStr">
        <is>
          <t>Tata Chemicals Limited</t>
        </is>
      </c>
      <c r="D203" s="2" t="inlineStr">
        <is>
          <t>100/100</t>
        </is>
      </c>
      <c r="E203" s="7" t="n">
        <v>612.45</v>
      </c>
      <c r="F203" s="7" t="n">
        <v>607.4</v>
      </c>
      <c r="G203" s="7" t="n">
        <v>625.15</v>
      </c>
      <c r="H203" s="2" t="inlineStr">
        <is>
          <t>1:2.5</t>
        </is>
      </c>
      <c r="I203" s="2" t="n">
        <v>0</v>
      </c>
      <c r="J203" s="7" t="n">
        <v>0</v>
      </c>
      <c r="K203" s="2" t="inlineStr">
        <is>
          <t>PENDING</t>
        </is>
      </c>
      <c r="L203" s="2" t="inlineStr">
        <is>
          <t>Intraday Scanner (STATE 3: Capitulation Bottom)</t>
        </is>
      </c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inlineStr">
        <is>
          <t>2026-09-14</t>
        </is>
      </c>
      <c r="B204" s="2" t="inlineStr">
        <is>
          <t>MANKIND</t>
        </is>
      </c>
      <c r="C204" s="2" t="inlineStr">
        <is>
          <t>Mankind Pharma Limited</t>
        </is>
      </c>
      <c r="D204" s="2" t="inlineStr">
        <is>
          <t>100/100</t>
        </is>
      </c>
      <c r="E204" s="7" t="n">
        <v>2280</v>
      </c>
      <c r="F204" s="7" t="n">
        <v>2247.45</v>
      </c>
      <c r="G204" s="7" t="n">
        <v>2361.4</v>
      </c>
      <c r="H204" s="2" t="inlineStr">
        <is>
          <t>1:2.5</t>
        </is>
      </c>
      <c r="I204" s="2" t="n">
        <v>0</v>
      </c>
      <c r="J204" s="7" t="n">
        <v>0</v>
      </c>
      <c r="K204" s="2" t="inlineStr">
        <is>
          <t>PENDING</t>
        </is>
      </c>
      <c r="L204" s="2" t="inlineStr">
        <is>
          <t>Intraday Scanner (STATE 3: Capitulation Bottom)</t>
        </is>
      </c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inlineStr">
        <is>
          <t>2026-09-15</t>
        </is>
      </c>
      <c r="B205" s="2" t="inlineStr">
        <is>
          <t>EMMVEE</t>
        </is>
      </c>
      <c r="C205" s="2" t="inlineStr">
        <is>
          <t>EMMVEE</t>
        </is>
      </c>
      <c r="D205" s="2" t="inlineStr">
        <is>
          <t>100/100</t>
        </is>
      </c>
      <c r="E205" s="7" t="n">
        <v>346</v>
      </c>
      <c r="F205" s="7" t="n">
        <v>325.3428519112723</v>
      </c>
      <c r="G205" s="7" t="n">
        <v>397.6428702218192</v>
      </c>
      <c r="H205" s="2" t="inlineStr">
        <is>
          <t>1:2.5</t>
        </is>
      </c>
      <c r="I205" s="2" t="n">
        <v>0</v>
      </c>
      <c r="J205" s="7" t="n">
        <v>0</v>
      </c>
      <c r="K205" s="2" t="inlineStr">
        <is>
          <t>PENDING</t>
        </is>
      </c>
      <c r="L205" s="2" t="inlineStr">
        <is>
          <t>Swing Scanner (STATE 3: Capitulation Bottom)</t>
        </is>
      </c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inlineStr">
        <is>
          <t>2026-09-15</t>
        </is>
      </c>
      <c r="B206" s="2" t="inlineStr">
        <is>
          <t>HERITGFOOD</t>
        </is>
      </c>
      <c r="C206" s="2" t="inlineStr">
        <is>
          <t>Heritage Foods Limited</t>
        </is>
      </c>
      <c r="D206" s="2" t="inlineStr">
        <is>
          <t>98/100</t>
        </is>
      </c>
      <c r="E206" s="7" t="n">
        <v>417.3999938964844</v>
      </c>
      <c r="F206" s="7" t="n">
        <v>385.2714233398438</v>
      </c>
      <c r="G206" s="7" t="n">
        <v>497.7214202880859</v>
      </c>
      <c r="H206" s="2" t="inlineStr">
        <is>
          <t>1:2.5</t>
        </is>
      </c>
      <c r="I206" s="2" t="n">
        <v>0</v>
      </c>
      <c r="J206" s="7" t="n">
        <v>0</v>
      </c>
      <c r="K206" s="2" t="inlineStr">
        <is>
          <t>PENDING</t>
        </is>
      </c>
      <c r="L206" s="2" t="inlineStr">
        <is>
          <t>Swing Scanner (STATE 3: Capitulation Bottom)</t>
        </is>
      </c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inlineStr">
        <is>
          <t>2026-09-15</t>
        </is>
      </c>
      <c r="B207" s="2" t="inlineStr">
        <is>
          <t>REDINGTON</t>
        </is>
      </c>
      <c r="C207" s="2" t="inlineStr">
        <is>
          <t>Redington Limited</t>
        </is>
      </c>
      <c r="D207" s="2" t="inlineStr">
        <is>
          <t>98/100</t>
        </is>
      </c>
      <c r="E207" s="7" t="n">
        <v>393.7000122070312</v>
      </c>
      <c r="F207" s="7" t="n">
        <v>365.8214416503906</v>
      </c>
      <c r="G207" s="7" t="n">
        <v>463.3964385986328</v>
      </c>
      <c r="H207" s="2" t="inlineStr">
        <is>
          <t>1:2.5</t>
        </is>
      </c>
      <c r="I207" s="2" t="n">
        <v>0</v>
      </c>
      <c r="J207" s="7" t="n">
        <v>0</v>
      </c>
      <c r="K207" s="2" t="inlineStr">
        <is>
          <t>PENDING</t>
        </is>
      </c>
      <c r="L207" s="2" t="inlineStr">
        <is>
          <t>Swing Scanner (STATE 3: Capitulation Bottom)</t>
        </is>
      </c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inlineStr">
        <is>
          <t>2026-09-15</t>
        </is>
      </c>
      <c r="B208" s="2" t="inlineStr">
        <is>
          <t>GRANULES</t>
        </is>
      </c>
      <c r="C208" s="2" t="inlineStr">
        <is>
          <t>Granules India Limited</t>
        </is>
      </c>
      <c r="D208" s="2" t="inlineStr">
        <is>
          <t>98/100</t>
        </is>
      </c>
      <c r="E208" s="7" t="n">
        <v>909.2999877929688</v>
      </c>
      <c r="F208" s="7" t="n">
        <v>857.2499825613839</v>
      </c>
      <c r="G208" s="7" t="n">
        <v>1039.425000871931</v>
      </c>
      <c r="H208" s="2" t="inlineStr">
        <is>
          <t>1:2.5</t>
        </is>
      </c>
      <c r="I208" s="2" t="n">
        <v>0</v>
      </c>
      <c r="J208" s="7" t="n">
        <v>0</v>
      </c>
      <c r="K208" s="2" t="inlineStr">
        <is>
          <t>PENDING</t>
        </is>
      </c>
      <c r="L208" s="2" t="inlineStr">
        <is>
          <t>Swing Scanner (STATE 3: Capitulation Bottom)</t>
        </is>
      </c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inlineStr">
        <is>
          <t>2026-09-15</t>
        </is>
      </c>
      <c r="B209" s="2" t="inlineStr">
        <is>
          <t>BLUESTONE</t>
        </is>
      </c>
      <c r="C209" s="2" t="inlineStr">
        <is>
          <t>BLUESTONE</t>
        </is>
      </c>
      <c r="D209" s="2" t="inlineStr">
        <is>
          <t>98/100</t>
        </is>
      </c>
      <c r="E209" s="7" t="n">
        <v>890.3499755859375</v>
      </c>
      <c r="F209" s="7" t="n">
        <v>817.9928240094866</v>
      </c>
      <c r="G209" s="7" t="n">
        <v>1071.242854527065</v>
      </c>
      <c r="H209" s="2" t="inlineStr">
        <is>
          <t>1:2.5</t>
        </is>
      </c>
      <c r="I209" s="2" t="n">
        <v>0</v>
      </c>
      <c r="J209" s="7" t="n">
        <v>0</v>
      </c>
      <c r="K209" s="2" t="inlineStr">
        <is>
          <t>PENDING</t>
        </is>
      </c>
      <c r="L209" s="2" t="inlineStr">
        <is>
          <t>Swing Scanner (STATE 3: Capitulation Bottom)</t>
        </is>
      </c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inlineStr">
        <is>
          <t>2026-09-16</t>
        </is>
      </c>
      <c r="B210" s="2" t="inlineStr">
        <is>
          <t>WSTCSTPAPR</t>
        </is>
      </c>
      <c r="C210" s="2" t="inlineStr">
        <is>
          <t>West Coast Paper Mills Limited</t>
        </is>
      </c>
      <c r="D210" s="2" t="inlineStr">
        <is>
          <t>95/100</t>
        </is>
      </c>
      <c r="E210" s="7" t="n">
        <v>713.2999877929688</v>
      </c>
      <c r="F210" s="7" t="n">
        <v>652.8213936941964</v>
      </c>
      <c r="G210" s="7" t="n">
        <v>864.4964730398996</v>
      </c>
      <c r="H210" s="2" t="inlineStr">
        <is>
          <t>1:2.5</t>
        </is>
      </c>
      <c r="I210" s="2" t="n">
        <v>0</v>
      </c>
      <c r="J210" s="7" t="n">
        <v>0</v>
      </c>
      <c r="K210" s="2" t="inlineStr">
        <is>
          <t>PENDING</t>
        </is>
      </c>
      <c r="L210" s="2" t="inlineStr">
        <is>
          <t>Swing Scanner (STATE 3: Capitulation Bottom)</t>
        </is>
      </c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inlineStr">
        <is>
          <t>2026-09-16</t>
        </is>
      </c>
      <c r="B211" s="2" t="inlineStr">
        <is>
          <t>EMCURE</t>
        </is>
      </c>
      <c r="C211" s="2" t="inlineStr">
        <is>
          <t>EMCURE</t>
        </is>
      </c>
      <c r="D211" s="2" t="inlineStr">
        <is>
          <t>95/100</t>
        </is>
      </c>
      <c r="E211" s="7" t="n">
        <v>1993</v>
      </c>
      <c r="F211" s="7" t="n">
        <v>1901.87120391974</v>
      </c>
      <c r="G211" s="7" t="n">
        <v>2220.821990200651</v>
      </c>
      <c r="H211" s="2" t="inlineStr">
        <is>
          <t>1:2.5</t>
        </is>
      </c>
      <c r="I211" s="2" t="n">
        <v>0</v>
      </c>
      <c r="J211" s="7" t="n">
        <v>0</v>
      </c>
      <c r="K211" s="2" t="inlineStr">
        <is>
          <t>PENDING</t>
        </is>
      </c>
      <c r="L211" s="2" t="inlineStr">
        <is>
          <t>Swing Scanner (STATE 3: Capitulation Bottom)</t>
        </is>
      </c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inlineStr">
        <is>
          <t>2026-09-16</t>
        </is>
      </c>
      <c r="B212" s="2" t="inlineStr">
        <is>
          <t>BALAJITELE</t>
        </is>
      </c>
      <c r="C212" s="2" t="inlineStr">
        <is>
          <t>Balaji Telefilms Limited</t>
        </is>
      </c>
      <c r="D212" s="2" t="inlineStr">
        <is>
          <t>95/100</t>
        </is>
      </c>
      <c r="E212" s="7" t="n">
        <v>95.48000335693359</v>
      </c>
      <c r="F212" s="7" t="n">
        <v>89.01285879952567</v>
      </c>
      <c r="G212" s="7" t="n">
        <v>111.6478647504534</v>
      </c>
      <c r="H212" s="2" t="inlineStr">
        <is>
          <t>1:2.5</t>
        </is>
      </c>
      <c r="I212" s="2" t="n">
        <v>0</v>
      </c>
      <c r="J212" s="7" t="n">
        <v>0</v>
      </c>
      <c r="K212" s="2" t="inlineStr">
        <is>
          <t>PENDING</t>
        </is>
      </c>
      <c r="L212" s="2" t="inlineStr">
        <is>
          <t>Swing Scanner (STATE 3: Capitulation Bottom)</t>
        </is>
      </c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inlineStr">
        <is>
          <t>2026-09-16</t>
        </is>
      </c>
      <c r="B213" s="2" t="inlineStr">
        <is>
          <t>EMUDHRA</t>
        </is>
      </c>
      <c r="C213" s="2" t="inlineStr">
        <is>
          <t>eMudhra Limited</t>
        </is>
      </c>
      <c r="D213" s="2" t="inlineStr">
        <is>
          <t>95/100</t>
        </is>
      </c>
      <c r="E213" s="7" t="n">
        <v>592.8499755859375</v>
      </c>
      <c r="F213" s="7" t="n">
        <v>545.5713980538504</v>
      </c>
      <c r="G213" s="7" t="n">
        <v>711.0464194161551</v>
      </c>
      <c r="H213" s="2" t="inlineStr">
        <is>
          <t>1:2.5</t>
        </is>
      </c>
      <c r="I213" s="2" t="n">
        <v>0</v>
      </c>
      <c r="J213" s="7" t="n">
        <v>0</v>
      </c>
      <c r="K213" s="2" t="inlineStr">
        <is>
          <t>PENDING</t>
        </is>
      </c>
      <c r="L213" s="2" t="inlineStr">
        <is>
          <t>Swing Scanner (STATE 3: Capitulation Bottom)</t>
        </is>
      </c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inlineStr">
        <is>
          <t>2026-09-16</t>
        </is>
      </c>
      <c r="B214" s="2" t="inlineStr">
        <is>
          <t>GMMPFAUDLR</t>
        </is>
      </c>
      <c r="C214" s="2" t="inlineStr">
        <is>
          <t>GMM Pfaudler Limited</t>
        </is>
      </c>
      <c r="D214" s="2" t="inlineStr">
        <is>
          <t>95/100</t>
        </is>
      </c>
      <c r="E214" s="7" t="n">
        <v>1348</v>
      </c>
      <c r="F214" s="7" t="n">
        <v>1231.907148088728</v>
      </c>
      <c r="G214" s="7" t="n">
        <v>1638.232129778181</v>
      </c>
      <c r="H214" s="2" t="inlineStr">
        <is>
          <t>1:2.5</t>
        </is>
      </c>
      <c r="I214" s="2" t="n">
        <v>0</v>
      </c>
      <c r="J214" s="7" t="n">
        <v>0</v>
      </c>
      <c r="K214" s="2" t="inlineStr">
        <is>
          <t>PENDING</t>
        </is>
      </c>
      <c r="L214" s="2" t="inlineStr">
        <is>
          <t>Swing Scanner (STATE 3: Capitulation Bottom)</t>
        </is>
      </c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inlineStr">
        <is>
          <t>2026-09-16</t>
        </is>
      </c>
      <c r="B215" s="2" t="inlineStr">
        <is>
          <t>ONGC</t>
        </is>
      </c>
      <c r="C215" s="2" t="inlineStr">
        <is>
          <t>Oil and Natural Gas Corporation Limited</t>
        </is>
      </c>
      <c r="D215" s="2" t="inlineStr">
        <is>
          <t>100/100</t>
        </is>
      </c>
      <c r="E215" s="7" t="n">
        <v>236.8</v>
      </c>
      <c r="F215" s="7" t="n">
        <v>233.6</v>
      </c>
      <c r="G215" s="7" t="n">
        <v>244.75</v>
      </c>
      <c r="H215" s="2" t="inlineStr">
        <is>
          <t>1:2.5</t>
        </is>
      </c>
      <c r="I215" s="2" t="n">
        <v>0</v>
      </c>
      <c r="J215" s="7" t="n">
        <v>0</v>
      </c>
      <c r="K215" s="2" t="inlineStr">
        <is>
          <t>PENDING</t>
        </is>
      </c>
      <c r="L215" s="2" t="inlineStr">
        <is>
          <t>Intraday Scanner (STATE 3: Capitulation Bottom)</t>
        </is>
      </c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inlineStr">
        <is>
          <t>2026-09-16</t>
        </is>
      </c>
      <c r="B216" s="2" t="inlineStr">
        <is>
          <t>BAJAJ-AUTO</t>
        </is>
      </c>
      <c r="C216" s="2" t="inlineStr">
        <is>
          <t>Bajaj Auto Limited</t>
        </is>
      </c>
      <c r="D216" s="2" t="inlineStr">
        <is>
          <t>100/100</t>
        </is>
      </c>
      <c r="E216" s="7" t="n">
        <v>11593</v>
      </c>
      <c r="F216" s="7" t="n">
        <v>11461.9</v>
      </c>
      <c r="G216" s="7" t="n">
        <v>11920.75</v>
      </c>
      <c r="H216" s="2" t="inlineStr">
        <is>
          <t>1:2.5</t>
        </is>
      </c>
      <c r="I216" s="2" t="n">
        <v>0</v>
      </c>
      <c r="J216" s="7" t="n">
        <v>0</v>
      </c>
      <c r="K216" s="2" t="inlineStr">
        <is>
          <t>PENDING</t>
        </is>
      </c>
      <c r="L216" s="2" t="inlineStr">
        <is>
          <t>Intraday Scanner (STATE 3: Capitulation Bottom)</t>
        </is>
      </c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inlineStr">
        <is>
          <t>2026-09-16</t>
        </is>
      </c>
      <c r="B217" s="2" t="inlineStr">
        <is>
          <t>MGL</t>
        </is>
      </c>
      <c r="C217" s="2" t="inlineStr">
        <is>
          <t>Mahanagar Gas Limited</t>
        </is>
      </c>
      <c r="D217" s="2" t="inlineStr">
        <is>
          <t>100/100</t>
        </is>
      </c>
      <c r="E217" s="7" t="n">
        <v>1077</v>
      </c>
      <c r="F217" s="7" t="n">
        <v>1059.05</v>
      </c>
      <c r="G217" s="7" t="n">
        <v>1121.95</v>
      </c>
      <c r="H217" s="2" t="inlineStr">
        <is>
          <t>1:2.5</t>
        </is>
      </c>
      <c r="I217" s="2" t="n">
        <v>0</v>
      </c>
      <c r="J217" s="7" t="n">
        <v>0</v>
      </c>
      <c r="K217" s="2" t="inlineStr">
        <is>
          <t>PENDING</t>
        </is>
      </c>
      <c r="L217" s="2" t="inlineStr">
        <is>
          <t>Intraday Scanner (STATE 3: Capitulation Bottom)</t>
        </is>
      </c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inlineStr">
        <is>
          <t>2026-09-16</t>
        </is>
      </c>
      <c r="B218" s="2" t="inlineStr">
        <is>
          <t>CARBORUNIV</t>
        </is>
      </c>
      <c r="C218" s="2" t="inlineStr">
        <is>
          <t>Carborundum Universal Limited</t>
        </is>
      </c>
      <c r="D218" s="2" t="inlineStr">
        <is>
          <t>100/100</t>
        </is>
      </c>
      <c r="E218" s="7" t="n">
        <v>1051.6</v>
      </c>
      <c r="F218" s="7" t="n">
        <v>1020.45</v>
      </c>
      <c r="G218" s="7" t="n">
        <v>1129.55</v>
      </c>
      <c r="H218" s="2" t="inlineStr">
        <is>
          <t>1:2.5</t>
        </is>
      </c>
      <c r="I218" s="2" t="n">
        <v>0</v>
      </c>
      <c r="J218" s="7" t="n">
        <v>0</v>
      </c>
      <c r="K218" s="2" t="inlineStr">
        <is>
          <t>PENDING</t>
        </is>
      </c>
      <c r="L218" s="2" t="inlineStr">
        <is>
          <t>Intraday Scanner (STATE 3: Capitulation Bottom)</t>
        </is>
      </c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inlineStr">
        <is>
          <t>2026-09-16</t>
        </is>
      </c>
      <c r="B219" s="2" t="inlineStr">
        <is>
          <t>BRIGADE</t>
        </is>
      </c>
      <c r="C219" s="2" t="inlineStr">
        <is>
          <t>Brigade Enterprises Limited</t>
        </is>
      </c>
      <c r="D219" s="2" t="inlineStr">
        <is>
          <t>98/100</t>
        </is>
      </c>
      <c r="E219" s="7" t="n">
        <v>626.85</v>
      </c>
      <c r="F219" s="7" t="n">
        <v>607.1</v>
      </c>
      <c r="G219" s="7" t="n">
        <v>676.15</v>
      </c>
      <c r="H219" s="2" t="inlineStr">
        <is>
          <t>1:2.5</t>
        </is>
      </c>
      <c r="I219" s="2" t="n">
        <v>0</v>
      </c>
      <c r="J219" s="7" t="n">
        <v>0</v>
      </c>
      <c r="K219" s="2" t="inlineStr">
        <is>
          <t>PENDING</t>
        </is>
      </c>
      <c r="L219" s="2" t="inlineStr">
        <is>
          <t>Intraday Scanner (STATE 3: Capitulation Bottom)</t>
        </is>
      </c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inlineStr">
        <is>
          <t>2026-09-17</t>
        </is>
      </c>
      <c r="B220" s="2" t="inlineStr">
        <is>
          <t>EXCELSOFT</t>
        </is>
      </c>
      <c r="C220" s="2" t="inlineStr">
        <is>
          <t>EXCELSOFT</t>
        </is>
      </c>
      <c r="D220" s="2" t="inlineStr">
        <is>
          <t>98/100</t>
        </is>
      </c>
      <c r="E220" s="7" t="n">
        <v>80.16999816894531</v>
      </c>
      <c r="F220" s="7" t="n">
        <v>72.62856946672711</v>
      </c>
      <c r="G220" s="7" t="n">
        <v>99.0235699244908</v>
      </c>
      <c r="H220" s="2" t="inlineStr">
        <is>
          <t>1:2.5</t>
        </is>
      </c>
      <c r="I220" s="2" t="n">
        <v>0</v>
      </c>
      <c r="J220" s="7" t="n">
        <v>0</v>
      </c>
      <c r="K220" s="2" t="inlineStr">
        <is>
          <t>PENDING</t>
        </is>
      </c>
      <c r="L220" s="2" t="inlineStr">
        <is>
          <t>Swing Scanner (STATE 3: Capitulation Bottom)</t>
        </is>
      </c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inlineStr">
        <is>
          <t>2026-09-17</t>
        </is>
      </c>
      <c r="B221" s="2" t="inlineStr">
        <is>
          <t>FILATEX</t>
        </is>
      </c>
      <c r="C221" s="2" t="inlineStr">
        <is>
          <t>Filatex India Limited</t>
        </is>
      </c>
      <c r="D221" s="2" t="inlineStr">
        <is>
          <t>98/100</t>
        </is>
      </c>
      <c r="E221" s="7" t="n">
        <v>87.22000122070312</v>
      </c>
      <c r="F221" s="7" t="n">
        <v>78.02662538881161</v>
      </c>
      <c r="G221" s="7" t="n">
        <v>110.2034408004319</v>
      </c>
      <c r="H221" s="2" t="inlineStr">
        <is>
          <t>1:2.5</t>
        </is>
      </c>
      <c r="I221" s="2" t="n">
        <v>0</v>
      </c>
      <c r="J221" s="7" t="n">
        <v>0</v>
      </c>
      <c r="K221" s="2" t="inlineStr">
        <is>
          <t>PENDING</t>
        </is>
      </c>
      <c r="L221" s="2" t="inlineStr">
        <is>
          <t>Swing Scanner (STATE 3: Capitulation Bottom)</t>
        </is>
      </c>
    </row>
    <row r="222" ht="15.75" customHeight="1" s="57">
      <c r="A222" s="2" t="inlineStr">
        <is>
          <t>2026-09-17</t>
        </is>
      </c>
      <c r="B222" s="2" t="inlineStr">
        <is>
          <t>HLEGLAS</t>
        </is>
      </c>
      <c r="C222" s="2" t="inlineStr">
        <is>
          <t>HLE Glascoat Limited</t>
        </is>
      </c>
      <c r="D222" s="2" t="inlineStr">
        <is>
          <t>95/100</t>
        </is>
      </c>
      <c r="E222" s="7" t="n">
        <v>416.8500061035156</v>
      </c>
      <c r="F222" s="7" t="n">
        <v>376.5999973842076</v>
      </c>
      <c r="G222" s="7" t="n">
        <v>517.4750279017857</v>
      </c>
      <c r="H222" s="2" t="inlineStr">
        <is>
          <t>1:2.5</t>
        </is>
      </c>
      <c r="I222" s="2" t="n">
        <v>0</v>
      </c>
      <c r="J222" s="7" t="n">
        <v>0</v>
      </c>
      <c r="K222" s="2" t="inlineStr">
        <is>
          <t>PENDING</t>
        </is>
      </c>
      <c r="L222" s="2" t="inlineStr">
        <is>
          <t>Swing Scanner (STATE 3: Capitulation Bottom)</t>
        </is>
      </c>
    </row>
    <row r="223" ht="15.75" customHeight="1" s="57">
      <c r="A223" s="2" t="inlineStr">
        <is>
          <t>2026-09-17</t>
        </is>
      </c>
      <c r="B223" s="2" t="inlineStr">
        <is>
          <t>TATACOMM</t>
        </is>
      </c>
      <c r="C223" s="2" t="inlineStr">
        <is>
          <t>Tata Communications Limited</t>
        </is>
      </c>
      <c r="D223" s="2" t="inlineStr">
        <is>
          <t>95/100</t>
        </is>
      </c>
      <c r="E223" s="7" t="n">
        <v>1799.300048828125</v>
      </c>
      <c r="F223" s="7" t="n">
        <v>1709.942888532366</v>
      </c>
      <c r="G223" s="7" t="n">
        <v>2022.692949567522</v>
      </c>
      <c r="H223" s="2" t="inlineStr">
        <is>
          <t>1:2.5</t>
        </is>
      </c>
      <c r="I223" s="2" t="n">
        <v>0</v>
      </c>
      <c r="J223" s="7" t="n">
        <v>0</v>
      </c>
      <c r="K223" s="2" t="inlineStr">
        <is>
          <t>PENDING</t>
        </is>
      </c>
      <c r="L223" s="2" t="inlineStr">
        <is>
          <t>Swing Scanner (STATE 3: Capitulation Bottom)</t>
        </is>
      </c>
    </row>
    <row r="224" ht="15.75" customHeight="1" s="57">
      <c r="A224" s="2" t="inlineStr">
        <is>
          <t>2026-09-17</t>
        </is>
      </c>
      <c r="B224" s="2" t="inlineStr">
        <is>
          <t>GPTHEALTH</t>
        </is>
      </c>
      <c r="C224" s="2" t="inlineStr">
        <is>
          <t>GPT Healthcare Limited</t>
        </is>
      </c>
      <c r="D224" s="2" t="inlineStr">
        <is>
          <t>95/100</t>
        </is>
      </c>
      <c r="E224" s="7" t="n">
        <v>163.3000030517578</v>
      </c>
      <c r="F224" s="7" t="n">
        <v>153.5371551513672</v>
      </c>
      <c r="G224" s="7" t="n">
        <v>187.7071228027344</v>
      </c>
      <c r="H224" s="2" t="inlineStr">
        <is>
          <t>1:2.5</t>
        </is>
      </c>
      <c r="I224" s="2" t="n">
        <v>0</v>
      </c>
      <c r="J224" s="7" t="n">
        <v>0</v>
      </c>
      <c r="K224" s="2" t="inlineStr">
        <is>
          <t>PENDING</t>
        </is>
      </c>
      <c r="L224" s="2" t="inlineStr">
        <is>
          <t>Swing Scanner (STATE 3: Capitulation Bottom)</t>
        </is>
      </c>
    </row>
    <row r="225" ht="15.75" customHeight="1" s="57">
      <c r="A225" s="2" t="inlineStr">
        <is>
          <t>2026-09-17</t>
        </is>
      </c>
      <c r="B225" s="2" t="inlineStr">
        <is>
          <t>HCLTECH</t>
        </is>
      </c>
      <c r="C225" s="2" t="inlineStr">
        <is>
          <t>HCL Technologies Limited</t>
        </is>
      </c>
      <c r="D225" s="2" t="inlineStr">
        <is>
          <t>100/100</t>
        </is>
      </c>
      <c r="E225" s="7" t="n">
        <v>1258.3</v>
      </c>
      <c r="F225" s="7" t="n">
        <v>1230.2</v>
      </c>
      <c r="G225" s="7" t="n">
        <v>1328.5</v>
      </c>
      <c r="H225" s="2" t="inlineStr">
        <is>
          <t>1:2.5</t>
        </is>
      </c>
      <c r="I225" s="2" t="n">
        <v>0</v>
      </c>
      <c r="J225" s="7" t="n">
        <v>0</v>
      </c>
      <c r="K225" s="2" t="inlineStr">
        <is>
          <t>PENDING</t>
        </is>
      </c>
      <c r="L225" s="2" t="inlineStr">
        <is>
          <t>Intraday Scanner (STATE 3: Capitulation Bottom)</t>
        </is>
      </c>
    </row>
    <row r="226" ht="15.75" customHeight="1" s="57">
      <c r="A226" s="2" t="inlineStr">
        <is>
          <t>2026-09-17</t>
        </is>
      </c>
      <c r="B226" s="2" t="inlineStr">
        <is>
          <t>ASIANPAINT</t>
        </is>
      </c>
      <c r="C226" s="2" t="inlineStr">
        <is>
          <t>Asian Paints Limited</t>
        </is>
      </c>
      <c r="D226" s="2" t="inlineStr">
        <is>
          <t>100/100</t>
        </is>
      </c>
      <c r="E226" s="7" t="n">
        <v>2454</v>
      </c>
      <c r="F226" s="7" t="n">
        <v>2431.65</v>
      </c>
      <c r="G226" s="7" t="n">
        <v>2509.9</v>
      </c>
      <c r="H226" s="2" t="inlineStr">
        <is>
          <t>1:2.5</t>
        </is>
      </c>
      <c r="I226" s="2" t="n">
        <v>0</v>
      </c>
      <c r="J226" s="7" t="n">
        <v>0</v>
      </c>
      <c r="K226" s="2" t="inlineStr">
        <is>
          <t>PENDING</t>
        </is>
      </c>
      <c r="L226" s="2" t="inlineStr">
        <is>
          <t>Intraday Scanner (STATE 3: Capitulation Bottom)</t>
        </is>
      </c>
    </row>
    <row r="227" ht="15.75" customHeight="1" s="57">
      <c r="A227" s="2" t="inlineStr">
        <is>
          <t>2026-09-17</t>
        </is>
      </c>
      <c r="B227" s="2" t="inlineStr">
        <is>
          <t>ABB</t>
        </is>
      </c>
      <c r="C227" s="2" t="inlineStr">
        <is>
          <t>ABB India Limited</t>
        </is>
      </c>
      <c r="D227" s="2" t="inlineStr">
        <is>
          <t>100/100</t>
        </is>
      </c>
      <c r="E227" s="7" t="n">
        <v>7130.5</v>
      </c>
      <c r="F227" s="7" t="n">
        <v>7004.95</v>
      </c>
      <c r="G227" s="7" t="n">
        <v>7444.4</v>
      </c>
      <c r="H227" s="2" t="inlineStr">
        <is>
          <t>1:2.5</t>
        </is>
      </c>
      <c r="I227" s="2" t="n">
        <v>0</v>
      </c>
      <c r="J227" s="7" t="n">
        <v>0</v>
      </c>
      <c r="K227" s="2" t="inlineStr">
        <is>
          <t>PENDING</t>
        </is>
      </c>
      <c r="L227" s="2" t="inlineStr">
        <is>
          <t>Intraday Scanner (STATE 3: Capitulation Bottom)</t>
        </is>
      </c>
    </row>
    <row r="228" ht="15.75" customHeight="1" s="57">
      <c r="A228" s="2" t="inlineStr">
        <is>
          <t>2026-09-17</t>
        </is>
      </c>
      <c r="B228" s="2" t="inlineStr">
        <is>
          <t>COCHINSHIP</t>
        </is>
      </c>
      <c r="C228" s="2" t="inlineStr">
        <is>
          <t>Cochin Shipyard Limited</t>
        </is>
      </c>
      <c r="D228" s="2" t="inlineStr">
        <is>
          <t>100/100</t>
        </is>
      </c>
      <c r="E228" s="7" t="n">
        <v>1334.3</v>
      </c>
      <c r="F228" s="7" t="n">
        <v>1274.05</v>
      </c>
      <c r="G228" s="7" t="n">
        <v>1485</v>
      </c>
      <c r="H228" s="2" t="inlineStr">
        <is>
          <t>1:2.5</t>
        </is>
      </c>
      <c r="I228" s="2" t="n">
        <v>0</v>
      </c>
      <c r="J228" s="7" t="n">
        <v>0</v>
      </c>
      <c r="K228" s="2" t="inlineStr">
        <is>
          <t>PENDING</t>
        </is>
      </c>
      <c r="L228" s="2" t="inlineStr">
        <is>
          <t>Intraday Scanner (STATE 3: Capitulation Bottom)</t>
        </is>
      </c>
    </row>
    <row r="229" ht="15.75" customHeight="1" s="57">
      <c r="A229" s="2" t="inlineStr">
        <is>
          <t>2026-09-17</t>
        </is>
      </c>
      <c r="B229" s="2" t="inlineStr">
        <is>
          <t>BIOCON</t>
        </is>
      </c>
      <c r="C229" s="2" t="inlineStr">
        <is>
          <t>Biocon Limited</t>
        </is>
      </c>
      <c r="D229" s="2" t="inlineStr">
        <is>
          <t>100/100</t>
        </is>
      </c>
      <c r="E229" s="7" t="n">
        <v>380</v>
      </c>
      <c r="F229" s="7" t="n">
        <v>372.2</v>
      </c>
      <c r="G229" s="7" t="n">
        <v>399.55</v>
      </c>
      <c r="H229" s="2" t="inlineStr">
        <is>
          <t>1:2.5</t>
        </is>
      </c>
      <c r="I229" s="2" t="n">
        <v>0</v>
      </c>
      <c r="J229" s="7" t="n">
        <v>0</v>
      </c>
      <c r="K229" s="2" t="inlineStr">
        <is>
          <t>PENDING</t>
        </is>
      </c>
      <c r="L229" s="2" t="inlineStr">
        <is>
          <t>Intraday Scanner (STATE 3: Capitulation Bottom)</t>
        </is>
      </c>
    </row>
    <row r="230" ht="15.75" customHeight="1" s="57">
      <c r="A230" s="2" t="inlineStr">
        <is>
          <t>2026-09-18</t>
        </is>
      </c>
      <c r="B230" s="2" t="inlineStr">
        <is>
          <t>SYRMA</t>
        </is>
      </c>
      <c r="C230" s="2" t="inlineStr">
        <is>
          <t>Syrma SGS Technology Limited</t>
        </is>
      </c>
      <c r="D230" s="2" t="inlineStr">
        <is>
          <t>98/100</t>
        </is>
      </c>
      <c r="E230" s="7" t="n">
        <v>1617.699951171875</v>
      </c>
      <c r="F230" s="7" t="n">
        <v>1476.457066127232</v>
      </c>
      <c r="G230" s="7" t="n">
        <v>1970.807163783482</v>
      </c>
      <c r="H230" s="2" t="inlineStr">
        <is>
          <t>1:2.5</t>
        </is>
      </c>
      <c r="I230" s="2" t="n">
        <v>0</v>
      </c>
      <c r="J230" s="7" t="n">
        <v>0</v>
      </c>
      <c r="K230" s="2" t="inlineStr">
        <is>
          <t>PENDING</t>
        </is>
      </c>
      <c r="L230" s="2" t="inlineStr">
        <is>
          <t>Swing Scanner (STATE 3: Capitulation Bottom)</t>
        </is>
      </c>
    </row>
    <row r="231" ht="15.75" customHeight="1" s="57">
      <c r="A231" s="2" t="inlineStr">
        <is>
          <t>2026-09-18</t>
        </is>
      </c>
      <c r="B231" s="2" t="inlineStr">
        <is>
          <t>BALAJITELE</t>
        </is>
      </c>
      <c r="C231" s="2" t="inlineStr">
        <is>
          <t>Balaji Telefilms Limited</t>
        </is>
      </c>
      <c r="D231" s="2" t="inlineStr">
        <is>
          <t>98/100</t>
        </is>
      </c>
      <c r="E231" s="7" t="n">
        <v>95.97000122070312</v>
      </c>
      <c r="F231" s="7" t="n">
        <v>88.48285675048828</v>
      </c>
      <c r="G231" s="7" t="n">
        <v>114.6878623962402</v>
      </c>
      <c r="H231" s="2" t="inlineStr">
        <is>
          <t>1:2.5</t>
        </is>
      </c>
      <c r="I231" s="2" t="n">
        <v>0</v>
      </c>
      <c r="J231" s="7" t="n">
        <v>0</v>
      </c>
      <c r="K231" s="2" t="inlineStr">
        <is>
          <t>PENDING</t>
        </is>
      </c>
      <c r="L231" s="2" t="inlineStr">
        <is>
          <t>Swing Scanner (STATE 3: Capitulation Bottom)</t>
        </is>
      </c>
    </row>
    <row r="232" ht="15.75" customHeight="1" s="57">
      <c r="A232" s="2" t="inlineStr">
        <is>
          <t>2026-09-18</t>
        </is>
      </c>
      <c r="B232" s="2" t="inlineStr">
        <is>
          <t>FILATEX</t>
        </is>
      </c>
      <c r="C232" s="2" t="inlineStr">
        <is>
          <t>Filatex India Limited</t>
        </is>
      </c>
      <c r="D232" s="2" t="inlineStr">
        <is>
          <t>98/100</t>
        </is>
      </c>
      <c r="E232" s="7" t="n">
        <v>90.34999847412109</v>
      </c>
      <c r="F232" s="7" t="n">
        <v>80.57835195773787</v>
      </c>
      <c r="G232" s="7" t="n">
        <v>114.7791147650792</v>
      </c>
      <c r="H232" s="2" t="inlineStr">
        <is>
          <t>1:2.5</t>
        </is>
      </c>
      <c r="I232" s="2" t="n">
        <v>0</v>
      </c>
      <c r="J232" s="7" t="n">
        <v>0</v>
      </c>
      <c r="K232" s="2" t="inlineStr">
        <is>
          <t>PENDING</t>
        </is>
      </c>
      <c r="L232" s="2" t="inlineStr">
        <is>
          <t>Swing Scanner (STATE 3: Capitulation Bottom)</t>
        </is>
      </c>
    </row>
    <row r="233" ht="15.75" customHeight="1" s="57">
      <c r="A233" s="2" t="inlineStr">
        <is>
          <t>2026-09-18</t>
        </is>
      </c>
      <c r="B233" s="2" t="inlineStr">
        <is>
          <t>REDINGTON</t>
        </is>
      </c>
      <c r="C233" s="2" t="inlineStr">
        <is>
          <t>Redington Limited</t>
        </is>
      </c>
      <c r="D233" s="2" t="inlineStr">
        <is>
          <t>98/100</t>
        </is>
      </c>
      <c r="E233" s="7" t="n">
        <v>400.1000061035156</v>
      </c>
      <c r="F233" s="7" t="n">
        <v>371.2857230050223</v>
      </c>
      <c r="G233" s="7" t="n">
        <v>472.1357138497489</v>
      </c>
      <c r="H233" s="2" t="inlineStr">
        <is>
          <t>1:2.5</t>
        </is>
      </c>
      <c r="I233" s="2" t="n">
        <v>0</v>
      </c>
      <c r="J233" s="7" t="n">
        <v>0</v>
      </c>
      <c r="K233" s="2" t="inlineStr">
        <is>
          <t>PENDING</t>
        </is>
      </c>
      <c r="L233" s="2" t="inlineStr">
        <is>
          <t>Swing Scanner (STATE 3: Capitulation Bottom)</t>
        </is>
      </c>
    </row>
    <row r="234" ht="15.75" customHeight="1" s="57">
      <c r="A234" s="2" t="inlineStr">
        <is>
          <t>2026-09-18</t>
        </is>
      </c>
      <c r="B234" s="2" t="inlineStr">
        <is>
          <t>YATHARTH</t>
        </is>
      </c>
      <c r="C234" s="2" t="inlineStr">
        <is>
          <t>Yatharth Hospital &amp; Trauma Care Services Limited</t>
        </is>
      </c>
      <c r="D234" s="2" t="inlineStr">
        <is>
          <t>98/100</t>
        </is>
      </c>
      <c r="E234" s="7" t="n">
        <v>1072.400024414062</v>
      </c>
      <c r="F234" s="7" t="n">
        <v>998.4428623744419</v>
      </c>
      <c r="G234" s="7" t="n">
        <v>1257.292929513114</v>
      </c>
      <c r="H234" s="2" t="inlineStr">
        <is>
          <t>1:2.5</t>
        </is>
      </c>
      <c r="I234" s="2" t="n">
        <v>0</v>
      </c>
      <c r="J234" s="7" t="n">
        <v>0</v>
      </c>
      <c r="K234" s="2" t="inlineStr">
        <is>
          <t>PENDING</t>
        </is>
      </c>
      <c r="L234" s="2" t="inlineStr">
        <is>
          <t>Swing Scanner (STATE 3: Capitulation Bottom)</t>
        </is>
      </c>
    </row>
    <row r="235" ht="15.75" customHeight="1" s="57">
      <c r="A235" s="2" t="inlineStr">
        <is>
          <t>2026-09-18</t>
        </is>
      </c>
      <c r="B235" s="2" t="inlineStr">
        <is>
          <t>CIPLA</t>
        </is>
      </c>
      <c r="C235" s="2" t="inlineStr">
        <is>
          <t>Cipla Limited</t>
        </is>
      </c>
      <c r="D235" s="2" t="inlineStr">
        <is>
          <t>100/100</t>
        </is>
      </c>
      <c r="E235" s="7" t="n">
        <v>1394.5</v>
      </c>
      <c r="F235" s="7" t="n">
        <v>1379.65</v>
      </c>
      <c r="G235" s="7" t="n">
        <v>1431.6</v>
      </c>
      <c r="H235" s="2" t="inlineStr">
        <is>
          <t>1:2.5</t>
        </is>
      </c>
      <c r="I235" s="2" t="n">
        <v>0</v>
      </c>
      <c r="J235" s="7" t="n">
        <v>0</v>
      </c>
      <c r="K235" s="2" t="inlineStr">
        <is>
          <t>PENDING</t>
        </is>
      </c>
      <c r="L235" s="2" t="inlineStr">
        <is>
          <t>Intraday Scanner (STATE 3: Capitulation Bottom)</t>
        </is>
      </c>
    </row>
    <row r="236" ht="15.75" customHeight="1" s="57">
      <c r="A236" s="2" t="inlineStr">
        <is>
          <t>2026-09-18</t>
        </is>
      </c>
      <c r="B236" s="2" t="inlineStr">
        <is>
          <t>GRASIM</t>
        </is>
      </c>
      <c r="C236" s="2" t="inlineStr">
        <is>
          <t>Grasim Industries Limited</t>
        </is>
      </c>
      <c r="D236" s="2" t="inlineStr">
        <is>
          <t>100/100</t>
        </is>
      </c>
      <c r="E236" s="7" t="n">
        <v>3209.2</v>
      </c>
      <c r="F236" s="7" t="n">
        <v>3175.3</v>
      </c>
      <c r="G236" s="7" t="n">
        <v>3293.95</v>
      </c>
      <c r="H236" s="2" t="inlineStr">
        <is>
          <t>1:2.5</t>
        </is>
      </c>
      <c r="I236" s="2" t="n">
        <v>0</v>
      </c>
      <c r="J236" s="7" t="n">
        <v>0</v>
      </c>
      <c r="K236" s="2" t="inlineStr">
        <is>
          <t>PENDING</t>
        </is>
      </c>
      <c r="L236" s="2" t="inlineStr">
        <is>
          <t>Intraday Scanner (STATE 3: Capitulation Bottom)</t>
        </is>
      </c>
    </row>
    <row r="237" ht="15.75" customHeight="1" s="57">
      <c r="A237" s="2" t="inlineStr">
        <is>
          <t>2026-09-18</t>
        </is>
      </c>
      <c r="B237" s="2" t="inlineStr">
        <is>
          <t>WIPRO</t>
        </is>
      </c>
      <c r="C237" s="2" t="inlineStr">
        <is>
          <t>Wipro Limited</t>
        </is>
      </c>
      <c r="D237" s="2" t="inlineStr">
        <is>
          <t>100/100</t>
        </is>
      </c>
      <c r="E237" s="7" t="n">
        <v>166.83</v>
      </c>
      <c r="F237" s="7" t="n">
        <v>163.85</v>
      </c>
      <c r="G237" s="7" t="n">
        <v>174.25</v>
      </c>
      <c r="H237" s="2" t="inlineStr">
        <is>
          <t>1:2.5</t>
        </is>
      </c>
      <c r="I237" s="2" t="n">
        <v>0</v>
      </c>
      <c r="J237" s="7" t="n">
        <v>0</v>
      </c>
      <c r="K237" s="2" t="inlineStr">
        <is>
          <t>PENDING</t>
        </is>
      </c>
      <c r="L237" s="2" t="inlineStr">
        <is>
          <t>Intraday Scanner (STATE 3: Capitulation Bottom)</t>
        </is>
      </c>
    </row>
    <row r="238" ht="15.75" customHeight="1" s="57">
      <c r="A238" s="2" t="inlineStr">
        <is>
          <t>2026-09-18</t>
        </is>
      </c>
      <c r="B238" s="2" t="inlineStr">
        <is>
          <t>APOLLOHOSP</t>
        </is>
      </c>
      <c r="C238" s="2" t="inlineStr">
        <is>
          <t>Apollo Hospitals Enterprise Limited</t>
        </is>
      </c>
      <c r="D238" s="2" t="inlineStr">
        <is>
          <t>100/100</t>
        </is>
      </c>
      <c r="E238" s="7" t="n">
        <v>8944.5</v>
      </c>
      <c r="F238" s="7" t="n">
        <v>8863.65</v>
      </c>
      <c r="G238" s="7" t="n">
        <v>9146.6</v>
      </c>
      <c r="H238" s="2" t="inlineStr">
        <is>
          <t>1:2.5</t>
        </is>
      </c>
      <c r="I238" s="2" t="n">
        <v>0</v>
      </c>
      <c r="J238" s="7" t="n">
        <v>0</v>
      </c>
      <c r="K238" s="2" t="inlineStr">
        <is>
          <t>PENDING</t>
        </is>
      </c>
      <c r="L238" s="2" t="inlineStr">
        <is>
          <t>Intraday Scanner (STATE 3: Capitulation Bottom)</t>
        </is>
      </c>
    </row>
    <row r="239" ht="15.75" customHeight="1" s="57">
      <c r="A239" s="2" t="inlineStr">
        <is>
          <t>2026-09-18</t>
        </is>
      </c>
      <c r="B239" s="2" t="inlineStr">
        <is>
          <t>SIEMENS</t>
        </is>
      </c>
      <c r="C239" s="2" t="inlineStr">
        <is>
          <t>Siemens Limited</t>
        </is>
      </c>
      <c r="D239" s="2" t="inlineStr">
        <is>
          <t>100/100</t>
        </is>
      </c>
      <c r="E239" s="7" t="n">
        <v>3913.9</v>
      </c>
      <c r="F239" s="7" t="n">
        <v>3832.4</v>
      </c>
      <c r="G239" s="7" t="n">
        <v>4117.6</v>
      </c>
      <c r="H239" s="2" t="inlineStr">
        <is>
          <t>1:2.5</t>
        </is>
      </c>
      <c r="I239" s="2" t="n">
        <v>0</v>
      </c>
      <c r="J239" s="7" t="n">
        <v>0</v>
      </c>
      <c r="K239" s="2" t="inlineStr">
        <is>
          <t>PENDING</t>
        </is>
      </c>
      <c r="L239" s="2" t="inlineStr">
        <is>
          <t>Intraday Scanner (STATE 3: Capitulation Bottom)</t>
        </is>
      </c>
    </row>
    <row r="240" ht="15.75" customHeight="1" s="57">
      <c r="A240" s="2" t="inlineStr">
        <is>
          <t>2026-09-21</t>
        </is>
      </c>
      <c r="B240" s="2" t="inlineStr">
        <is>
          <t>BCG</t>
        </is>
      </c>
      <c r="C240" s="2" t="inlineStr">
        <is>
          <t>Brightcom Group Limited</t>
        </is>
      </c>
      <c r="D240" s="2" t="inlineStr">
        <is>
          <t>98/100</t>
        </is>
      </c>
      <c r="E240" s="7" t="n">
        <v>10.26000022888184</v>
      </c>
      <c r="F240" s="7" t="n">
        <v>9.344285420009069</v>
      </c>
      <c r="G240" s="7" t="n">
        <v>12.54928725106376</v>
      </c>
      <c r="H240" s="2" t="inlineStr">
        <is>
          <t>1:2.5</t>
        </is>
      </c>
      <c r="I240" s="2" t="n">
        <v>5</v>
      </c>
      <c r="J240" s="7" t="n">
        <v>51.30000114440918</v>
      </c>
      <c r="K240" s="2" t="inlineStr">
        <is>
          <t>PENDING</t>
        </is>
      </c>
      <c r="L240" s="2" t="inlineStr">
        <is>
          <t>Swing Scanner (STATE 3: Capitulation Bottom)</t>
        </is>
      </c>
    </row>
    <row r="241" ht="15.75" customHeight="1" s="57">
      <c r="A241" s="2" t="inlineStr">
        <is>
          <t>2026-09-21</t>
        </is>
      </c>
      <c r="B241" s="2" t="inlineStr">
        <is>
          <t>JAYKAY</t>
        </is>
      </c>
      <c r="C241" s="2" t="inlineStr">
        <is>
          <t>Jaykay Enterprises Limited</t>
        </is>
      </c>
      <c r="D241" s="2" t="inlineStr">
        <is>
          <t>98/100</t>
        </is>
      </c>
      <c r="E241" s="7" t="n">
        <v>167.1799926757812</v>
      </c>
      <c r="F241" s="7" t="n">
        <v>146.3685651506696</v>
      </c>
      <c r="G241" s="7" t="n">
        <v>219.2085614885603</v>
      </c>
      <c r="H241" s="2" t="inlineStr">
        <is>
          <t>1:2.5</t>
        </is>
      </c>
      <c r="I241" s="2" t="n">
        <v>0</v>
      </c>
      <c r="J241" s="7" t="n">
        <v>0</v>
      </c>
      <c r="K241" s="2" t="inlineStr">
        <is>
          <t>PENDING</t>
        </is>
      </c>
      <c r="L241" s="2" t="inlineStr">
        <is>
          <t>Swing Scanner (STATE 3: Capitulation Bottom)</t>
        </is>
      </c>
    </row>
    <row r="242" ht="15.75" customHeight="1" s="57">
      <c r="A242" s="2" t="inlineStr">
        <is>
          <t>2026-09-21</t>
        </is>
      </c>
      <c r="B242" s="2" t="inlineStr">
        <is>
          <t>SCHAEFFLER</t>
        </is>
      </c>
      <c r="C242" s="2" t="inlineStr">
        <is>
          <t>Schaeffler India Limited</t>
        </is>
      </c>
      <c r="D242" s="2" t="inlineStr">
        <is>
          <t>98/100</t>
        </is>
      </c>
      <c r="E242" s="7" t="n">
        <v>4217.60009765625</v>
      </c>
      <c r="F242" s="7" t="n">
        <v>4022.142961774553</v>
      </c>
      <c r="G242" s="7" t="n">
        <v>4706.242937360491</v>
      </c>
      <c r="H242" s="2" t="inlineStr">
        <is>
          <t>1:2.5</t>
        </is>
      </c>
      <c r="I242" s="2" t="n">
        <v>0</v>
      </c>
      <c r="J242" s="7" t="n">
        <v>0</v>
      </c>
      <c r="K242" s="2" t="inlineStr">
        <is>
          <t>PENDING</t>
        </is>
      </c>
      <c r="L242" s="2" t="inlineStr">
        <is>
          <t>Swing Scanner (STATE 3: Capitulation Bottom)</t>
        </is>
      </c>
    </row>
    <row r="243" ht="15.75" customHeight="1" s="57">
      <c r="A243" s="2" t="inlineStr">
        <is>
          <t>2026-09-21</t>
        </is>
      </c>
      <c r="B243" s="2" t="inlineStr">
        <is>
          <t>CONFIPET</t>
        </is>
      </c>
      <c r="C243" s="2" t="inlineStr">
        <is>
          <t>Confidence Petroleum India Limited</t>
        </is>
      </c>
      <c r="D243" s="2" t="inlineStr">
        <is>
          <t>98/100</t>
        </is>
      </c>
      <c r="E243" s="7" t="n">
        <v>91.94999694824219</v>
      </c>
      <c r="F243" s="7" t="n">
        <v>82.89856719970703</v>
      </c>
      <c r="G243" s="7" t="n">
        <v>114.5785713195801</v>
      </c>
      <c r="H243" s="2" t="inlineStr">
        <is>
          <t>1:2.5</t>
        </is>
      </c>
      <c r="I243" s="2" t="n">
        <v>0</v>
      </c>
      <c r="J243" s="7" t="n">
        <v>0</v>
      </c>
      <c r="K243" s="2" t="inlineStr">
        <is>
          <t>PENDING</t>
        </is>
      </c>
      <c r="L243" s="2" t="inlineStr">
        <is>
          <t>Swing Scanner (STATE 3: Capitulation Bottom)</t>
        </is>
      </c>
    </row>
    <row r="244" ht="15.75" customHeight="1" s="57">
      <c r="A244" s="2" t="inlineStr">
        <is>
          <t>2026-09-21</t>
        </is>
      </c>
      <c r="B244" s="2" t="inlineStr">
        <is>
          <t>AXISCADES</t>
        </is>
      </c>
      <c r="C244" s="2" t="inlineStr">
        <is>
          <t>AXISCADES Technologies Limited</t>
        </is>
      </c>
      <c r="D244" s="2" t="inlineStr">
        <is>
          <t>98/100</t>
        </is>
      </c>
      <c r="E244" s="7" t="n">
        <v>1811.199951171875</v>
      </c>
      <c r="F244" s="7" t="n">
        <v>1638.971365792411</v>
      </c>
      <c r="G244" s="7" t="n">
        <v>2241.771414620536</v>
      </c>
      <c r="H244" s="2" t="inlineStr">
        <is>
          <t>1:2.5</t>
        </is>
      </c>
      <c r="I244" s="2" t="n">
        <v>0</v>
      </c>
      <c r="J244" s="7" t="n">
        <v>0</v>
      </c>
      <c r="K244" s="2" t="inlineStr">
        <is>
          <t>PENDING</t>
        </is>
      </c>
      <c r="L244" s="2" t="inlineStr">
        <is>
          <t>Swing Scanner (STATE 3: Capitulation Bottom)</t>
        </is>
      </c>
    </row>
    <row r="245" ht="15.75" customHeight="1" s="57">
      <c r="A245" s="2" t="inlineStr">
        <is>
          <t>2026-09-21</t>
        </is>
      </c>
      <c r="B245" s="2" t="inlineStr">
        <is>
          <t>NESTLEIND</t>
        </is>
      </c>
      <c r="C245" s="2" t="inlineStr">
        <is>
          <t>Nestle India Limited</t>
        </is>
      </c>
      <c r="D245" s="2" t="inlineStr">
        <is>
          <t>100/100</t>
        </is>
      </c>
      <c r="E245" s="7" t="n">
        <v>1385</v>
      </c>
      <c r="F245" s="7" t="n">
        <v>1366.3</v>
      </c>
      <c r="G245" s="7" t="n">
        <v>1431.75</v>
      </c>
      <c r="H245" s="2" t="inlineStr">
        <is>
          <t>1:2.5</t>
        </is>
      </c>
      <c r="I245" s="2" t="n">
        <v>0</v>
      </c>
      <c r="J245" s="7" t="n">
        <v>0</v>
      </c>
      <c r="K245" s="2" t="inlineStr">
        <is>
          <t>PENDING</t>
        </is>
      </c>
      <c r="L245" s="2" t="inlineStr">
        <is>
          <t>Intraday Scanner (STATE 3: Capitulation Bottom)</t>
        </is>
      </c>
    </row>
    <row r="246" ht="15.75" customHeight="1" s="57">
      <c r="A246" s="2" t="inlineStr">
        <is>
          <t>2026-09-21</t>
        </is>
      </c>
      <c r="B246" s="2" t="inlineStr">
        <is>
          <t>TECHM</t>
        </is>
      </c>
      <c r="C246" s="2" t="inlineStr">
        <is>
          <t>Tech Mahindra Limited</t>
        </is>
      </c>
      <c r="D246" s="2" t="inlineStr">
        <is>
          <t>100/100</t>
        </is>
      </c>
      <c r="E246" s="7" t="n">
        <v>1558.5</v>
      </c>
      <c r="F246" s="7" t="n">
        <v>1525.75</v>
      </c>
      <c r="G246" s="7" t="n">
        <v>1640.4</v>
      </c>
      <c r="H246" s="2" t="inlineStr">
        <is>
          <t>1:2.5</t>
        </is>
      </c>
      <c r="I246" s="2" t="n">
        <v>0</v>
      </c>
      <c r="J246" s="7" t="n">
        <v>0</v>
      </c>
      <c r="K246" s="2" t="inlineStr">
        <is>
          <t>PENDING</t>
        </is>
      </c>
      <c r="L246" s="2" t="inlineStr">
        <is>
          <t>Intraday Scanner (STATE 3: Capitulation Bottom)</t>
        </is>
      </c>
    </row>
    <row r="247" ht="15.75" customHeight="1" s="57">
      <c r="A247" s="2" t="inlineStr">
        <is>
          <t>2026-09-21</t>
        </is>
      </c>
      <c r="B247" s="2" t="inlineStr">
        <is>
          <t>PERSISTENT</t>
        </is>
      </c>
      <c r="C247" s="2" t="inlineStr">
        <is>
          <t>Persistent Systems Limited</t>
        </is>
      </c>
      <c r="D247" s="2" t="inlineStr">
        <is>
          <t>100/100</t>
        </is>
      </c>
      <c r="E247" s="7" t="n">
        <v>5449</v>
      </c>
      <c r="F247" s="7" t="n">
        <v>5336.35</v>
      </c>
      <c r="G247" s="7" t="n">
        <v>5730.6</v>
      </c>
      <c r="H247" s="2" t="inlineStr">
        <is>
          <t>1:2.5</t>
        </is>
      </c>
      <c r="I247" s="2" t="n">
        <v>0</v>
      </c>
      <c r="J247" s="7" t="n">
        <v>0</v>
      </c>
      <c r="K247" s="2" t="inlineStr">
        <is>
          <t>PENDING</t>
        </is>
      </c>
      <c r="L247" s="2" t="inlineStr">
        <is>
          <t>Intraday Scanner (STATE 3: Capitulation Bottom)</t>
        </is>
      </c>
    </row>
    <row r="248" ht="15.75" customHeight="1" s="57">
      <c r="A248" s="2" t="inlineStr">
        <is>
          <t>2026-09-21</t>
        </is>
      </c>
      <c r="B248" s="2" t="inlineStr">
        <is>
          <t>DIXON</t>
        </is>
      </c>
      <c r="C248" s="2" t="inlineStr">
        <is>
          <t>Dixon Technologies (India) Limited</t>
        </is>
      </c>
      <c r="D248" s="2" t="inlineStr">
        <is>
          <t>100/100</t>
        </is>
      </c>
      <c r="E248" s="7" t="n">
        <v>13350</v>
      </c>
      <c r="F248" s="7" t="n">
        <v>13133.1</v>
      </c>
      <c r="G248" s="7" t="n">
        <v>13892.25</v>
      </c>
      <c r="H248" s="2" t="inlineStr">
        <is>
          <t>1:2.5</t>
        </is>
      </c>
      <c r="I248" s="2" t="n">
        <v>0</v>
      </c>
      <c r="J248" s="7" t="n">
        <v>0</v>
      </c>
      <c r="K248" s="2" t="inlineStr">
        <is>
          <t>PENDING</t>
        </is>
      </c>
      <c r="L248" s="2" t="inlineStr">
        <is>
          <t>Intraday Scanner (STATE 3: Capitulation Bottom)</t>
        </is>
      </c>
    </row>
    <row r="249" ht="15.75" customHeight="1" s="57">
      <c r="A249" s="2" t="inlineStr">
        <is>
          <t>2026-09-21</t>
        </is>
      </c>
      <c r="B249" s="2" t="inlineStr">
        <is>
          <t>AARTIIND</t>
        </is>
      </c>
      <c r="C249" s="2" t="inlineStr">
        <is>
          <t>Aarti Industries Limited</t>
        </is>
      </c>
      <c r="D249" s="2" t="inlineStr">
        <is>
          <t>98/100</t>
        </is>
      </c>
      <c r="E249" s="7" t="n">
        <v>499.8</v>
      </c>
      <c r="F249" s="7" t="n">
        <v>487.05</v>
      </c>
      <c r="G249" s="7" t="n">
        <v>531.65</v>
      </c>
      <c r="H249" s="2" t="inlineStr">
        <is>
          <t>1:2.5</t>
        </is>
      </c>
      <c r="I249" s="2" t="n">
        <v>0</v>
      </c>
      <c r="J249" s="7" t="n">
        <v>0</v>
      </c>
      <c r="K249" s="2" t="inlineStr">
        <is>
          <t>PENDING</t>
        </is>
      </c>
      <c r="L249" s="2" t="inlineStr">
        <is>
          <t>Intraday Scanner (STATE 3: Capitulation Bottom)</t>
        </is>
      </c>
    </row>
    <row r="250" ht="15.75" customHeight="1" s="57">
      <c r="A250" s="2" t="inlineStr">
        <is>
          <t>2026-09-22</t>
        </is>
      </c>
      <c r="B250" s="2" t="inlineStr">
        <is>
          <t>APLLTD</t>
        </is>
      </c>
      <c r="C250" s="2" t="inlineStr">
        <is>
          <t>Alembic Pharmaceuticals Limited</t>
        </is>
      </c>
      <c r="D250" s="2" t="inlineStr">
        <is>
          <t>98/100</t>
        </is>
      </c>
      <c r="E250" s="7" t="n">
        <v>848.75</v>
      </c>
      <c r="F250" s="7" t="n">
        <v>798.0857107979911</v>
      </c>
      <c r="G250" s="7" t="n">
        <v>975.4107230050223</v>
      </c>
      <c r="H250" s="2" t="inlineStr">
        <is>
          <t>1:2.5</t>
        </is>
      </c>
      <c r="I250" s="2" t="n">
        <v>0</v>
      </c>
      <c r="J250" s="7" t="n">
        <v>0</v>
      </c>
      <c r="K250" s="2" t="inlineStr">
        <is>
          <t>PENDING</t>
        </is>
      </c>
      <c r="L250" s="2" t="inlineStr">
        <is>
          <t>Swing Scanner (STATE 3: Capitulation Bottom)</t>
        </is>
      </c>
    </row>
    <row r="251" ht="15.75" customHeight="1" s="57">
      <c r="A251" s="2" t="inlineStr">
        <is>
          <t>2026-09-22</t>
        </is>
      </c>
      <c r="B251" s="2" t="inlineStr">
        <is>
          <t>ASHIANA</t>
        </is>
      </c>
      <c r="C251" s="2" t="inlineStr">
        <is>
          <t>Ashiana Housing Limited</t>
        </is>
      </c>
      <c r="D251" s="2" t="inlineStr">
        <is>
          <t>98/100</t>
        </is>
      </c>
      <c r="E251" s="7" t="n">
        <v>404.0499877929688</v>
      </c>
      <c r="F251" s="7" t="n">
        <v>376.8082657094379</v>
      </c>
      <c r="G251" s="7" t="n">
        <v>472.154293001796</v>
      </c>
      <c r="H251" s="2" t="inlineStr">
        <is>
          <t>1:2.5</t>
        </is>
      </c>
      <c r="I251" s="2" t="n">
        <v>0</v>
      </c>
      <c r="J251" s="7" t="n">
        <v>0</v>
      </c>
      <c r="K251" s="2" t="inlineStr">
        <is>
          <t>PENDING</t>
        </is>
      </c>
      <c r="L251" s="2" t="inlineStr">
        <is>
          <t>Swing Scanner (STATE 3: Capitulation Bottom)</t>
        </is>
      </c>
    </row>
    <row r="252" ht="15.75" customHeight="1" s="57">
      <c r="A252" s="2" t="inlineStr">
        <is>
          <t>2026-09-22</t>
        </is>
      </c>
      <c r="B252" s="2" t="inlineStr">
        <is>
          <t>CONCORDBIO</t>
        </is>
      </c>
      <c r="C252" s="2" t="inlineStr">
        <is>
          <t>Concord Biotech Limited</t>
        </is>
      </c>
      <c r="D252" s="2" t="inlineStr">
        <is>
          <t>98/100</t>
        </is>
      </c>
      <c r="E252" s="7" t="n">
        <v>1579.400024414062</v>
      </c>
      <c r="F252" s="7" t="n">
        <v>1480.657156808036</v>
      </c>
      <c r="G252" s="7" t="n">
        <v>1826.25719342913</v>
      </c>
      <c r="H252" s="2" t="inlineStr">
        <is>
          <t>1:2.5</t>
        </is>
      </c>
      <c r="I252" s="2" t="n">
        <v>0</v>
      </c>
      <c r="J252" s="7" t="n">
        <v>0</v>
      </c>
      <c r="K252" s="2" t="inlineStr">
        <is>
          <t>PENDING</t>
        </is>
      </c>
      <c r="L252" s="2" t="inlineStr">
        <is>
          <t>Swing Scanner (STATE 3: Capitulation Bottom)</t>
        </is>
      </c>
    </row>
    <row r="253" ht="15.75" customHeight="1" s="57">
      <c r="A253" s="2" t="inlineStr">
        <is>
          <t>2026-09-22</t>
        </is>
      </c>
      <c r="B253" s="2" t="inlineStr">
        <is>
          <t>EMMVEE</t>
        </is>
      </c>
      <c r="C253" s="2" t="inlineStr">
        <is>
          <t>EMMVEE</t>
        </is>
      </c>
      <c r="D253" s="2" t="inlineStr">
        <is>
          <t>98/100</t>
        </is>
      </c>
      <c r="E253" s="7" t="n">
        <v>340.6000061035156</v>
      </c>
      <c r="F253" s="7" t="n">
        <v>315.5758625887497</v>
      </c>
      <c r="G253" s="7" t="n">
        <v>403.1603648904304</v>
      </c>
      <c r="H253" s="2" t="inlineStr">
        <is>
          <t>1:2.5</t>
        </is>
      </c>
      <c r="I253" s="2" t="n">
        <v>0</v>
      </c>
      <c r="J253" s="7" t="n">
        <v>0</v>
      </c>
      <c r="K253" s="2" t="inlineStr">
        <is>
          <t>PENDING</t>
        </is>
      </c>
      <c r="L253" s="2" t="inlineStr">
        <is>
          <t>Swing Scanner (STATE 3: Capitulation Bottom)</t>
        </is>
      </c>
    </row>
    <row r="254" ht="15.75" customHeight="1" s="57">
      <c r="A254" s="2" t="inlineStr">
        <is>
          <t>2026-09-22</t>
        </is>
      </c>
      <c r="B254" s="2" t="inlineStr">
        <is>
          <t>JYOTICNC</t>
        </is>
      </c>
      <c r="C254" s="2" t="inlineStr">
        <is>
          <t>Jyoti CNC Automation Limited</t>
        </is>
      </c>
      <c r="D254" s="2" t="inlineStr">
        <is>
          <t>98/100</t>
        </is>
      </c>
      <c r="E254" s="7" t="n">
        <v>1113.849975585938</v>
      </c>
      <c r="F254" s="7" t="n">
        <v>1020.95711844308</v>
      </c>
      <c r="G254" s="7" t="n">
        <v>1346.08211844308</v>
      </c>
      <c r="H254" s="2" t="inlineStr">
        <is>
          <t>1:2.5</t>
        </is>
      </c>
      <c r="I254" s="2" t="n">
        <v>0</v>
      </c>
      <c r="J254" s="7" t="n">
        <v>0</v>
      </c>
      <c r="K254" s="2" t="inlineStr">
        <is>
          <t>PENDING</t>
        </is>
      </c>
      <c r="L254" s="2" t="inlineStr">
        <is>
          <t>Swing Scanner (STATE 3: Capitulation Bottom)</t>
        </is>
      </c>
    </row>
    <row r="255" ht="15.75" customHeight="1" s="57">
      <c r="A255" s="2" t="inlineStr">
        <is>
          <t>2026-09-22</t>
        </is>
      </c>
      <c r="B255" s="2" t="inlineStr">
        <is>
          <t>BOSCHLTD</t>
        </is>
      </c>
      <c r="C255" s="2" t="inlineStr">
        <is>
          <t>Bosch Limited</t>
        </is>
      </c>
      <c r="D255" s="2" t="inlineStr">
        <is>
          <t>100/100</t>
        </is>
      </c>
      <c r="E255" s="7" t="n">
        <v>48290</v>
      </c>
      <c r="F255" s="7" t="n">
        <v>47757.5</v>
      </c>
      <c r="G255" s="7" t="n">
        <v>49621.25</v>
      </c>
      <c r="H255" s="2" t="inlineStr">
        <is>
          <t>1:2.5</t>
        </is>
      </c>
      <c r="I255" s="2" t="n">
        <v>0</v>
      </c>
      <c r="J255" s="7" t="n">
        <v>0</v>
      </c>
      <c r="K255" s="2" t="inlineStr">
        <is>
          <t>PENDING</t>
        </is>
      </c>
      <c r="L255" s="2" t="inlineStr">
        <is>
          <t>Intraday Scanner (STATE 3: Capitulation Bottom)</t>
        </is>
      </c>
    </row>
    <row r="256" ht="15.75" customHeight="1" s="57">
      <c r="A256" s="2" t="inlineStr">
        <is>
          <t>2026-09-22</t>
        </is>
      </c>
      <c r="B256" s="2" t="inlineStr">
        <is>
          <t>DLF</t>
        </is>
      </c>
      <c r="C256" s="2" t="inlineStr">
        <is>
          <t>DLF Limited</t>
        </is>
      </c>
      <c r="D256" s="2" t="inlineStr">
        <is>
          <t>100/100</t>
        </is>
      </c>
      <c r="E256" s="7" t="n">
        <v>669.5</v>
      </c>
      <c r="F256" s="7" t="n">
        <v>651.4</v>
      </c>
      <c r="G256" s="7" t="n">
        <v>714.75</v>
      </c>
      <c r="H256" s="2" t="inlineStr">
        <is>
          <t>1:2.5</t>
        </is>
      </c>
      <c r="I256" s="2" t="n">
        <v>0</v>
      </c>
      <c r="J256" s="7" t="n">
        <v>0</v>
      </c>
      <c r="K256" s="2" t="inlineStr">
        <is>
          <t>PENDING</t>
        </is>
      </c>
      <c r="L256" s="2" t="inlineStr">
        <is>
          <t>Intraday Scanner (STATE 3: Capitulation Bottom)</t>
        </is>
      </c>
    </row>
    <row r="257" ht="15.75" customHeight="1" s="57">
      <c r="A257" s="2" t="inlineStr">
        <is>
          <t>2026-09-22</t>
        </is>
      </c>
      <c r="B257" s="2" t="inlineStr">
        <is>
          <t>LUPIN</t>
        </is>
      </c>
      <c r="C257" s="2" t="inlineStr">
        <is>
          <t>Lupin Limited</t>
        </is>
      </c>
      <c r="D257" s="2" t="inlineStr">
        <is>
          <t>100/100</t>
        </is>
      </c>
      <c r="E257" s="7" t="n">
        <v>2135</v>
      </c>
      <c r="F257" s="7" t="n">
        <v>2104.7</v>
      </c>
      <c r="G257" s="7" t="n">
        <v>2210.75</v>
      </c>
      <c r="H257" s="2" t="inlineStr">
        <is>
          <t>1:2.5</t>
        </is>
      </c>
      <c r="I257" s="2" t="n">
        <v>0</v>
      </c>
      <c r="J257" s="7" t="n">
        <v>0</v>
      </c>
      <c r="K257" s="2" t="inlineStr">
        <is>
          <t>PENDING</t>
        </is>
      </c>
      <c r="L257" s="2" t="inlineStr">
        <is>
          <t>Intraday Scanner (STATE 3: Capitulation Bottom)</t>
        </is>
      </c>
    </row>
    <row r="258" ht="15.75" customHeight="1" s="57">
      <c r="A258" s="2" t="inlineStr">
        <is>
          <t>2026-09-22</t>
        </is>
      </c>
      <c r="B258" s="2" t="inlineStr">
        <is>
          <t>CYIENT</t>
        </is>
      </c>
      <c r="C258" s="2" t="inlineStr">
        <is>
          <t>Cyient Limited</t>
        </is>
      </c>
      <c r="D258" s="2" t="inlineStr">
        <is>
          <t>100/100</t>
        </is>
      </c>
      <c r="E258" s="7" t="n">
        <v>1074.7</v>
      </c>
      <c r="F258" s="7" t="n">
        <v>1058.75</v>
      </c>
      <c r="G258" s="7" t="n">
        <v>1114.5</v>
      </c>
      <c r="H258" s="2" t="inlineStr">
        <is>
          <t>1:2.5</t>
        </is>
      </c>
      <c r="I258" s="2" t="n">
        <v>0</v>
      </c>
      <c r="J258" s="7" t="n">
        <v>0</v>
      </c>
      <c r="K258" s="2" t="inlineStr">
        <is>
          <t>PENDING</t>
        </is>
      </c>
      <c r="L258" s="2" t="inlineStr">
        <is>
          <t>Intraday Scanner (STATE 3: Capitulation Bottom)</t>
        </is>
      </c>
    </row>
    <row r="259" ht="15.75" customHeight="1" s="57">
      <c r="A259" s="2" t="inlineStr">
        <is>
          <t>2026-09-22</t>
        </is>
      </c>
      <c r="B259" s="2" t="inlineStr">
        <is>
          <t>BRIGADE</t>
        </is>
      </c>
      <c r="C259" s="2" t="inlineStr">
        <is>
          <t>Brigade Enterprises Limited</t>
        </is>
      </c>
      <c r="D259" s="2" t="inlineStr">
        <is>
          <t>100/100</t>
        </is>
      </c>
      <c r="E259" s="7" t="n">
        <v>616.55</v>
      </c>
      <c r="F259" s="7" t="n">
        <v>605.55</v>
      </c>
      <c r="G259" s="7" t="n">
        <v>644</v>
      </c>
      <c r="H259" s="2" t="inlineStr">
        <is>
          <t>1:2.5</t>
        </is>
      </c>
      <c r="I259" s="2" t="n">
        <v>0</v>
      </c>
      <c r="J259" s="7" t="n">
        <v>0</v>
      </c>
      <c r="K259" s="2" t="inlineStr">
        <is>
          <t>PENDING</t>
        </is>
      </c>
      <c r="L259" s="2" t="inlineStr">
        <is>
          <t>Intraday Scanner (STATE 3: Capitulation Bottom)</t>
        </is>
      </c>
    </row>
    <row r="260" ht="15.75" customHeight="1" s="57">
      <c r="A260" s="2" t="inlineStr">
        <is>
          <t>2026-09-23</t>
        </is>
      </c>
      <c r="B260" s="2" t="inlineStr">
        <is>
          <t>MANKIND</t>
        </is>
      </c>
      <c r="C260" s="2" t="inlineStr">
        <is>
          <t>Mankind Pharma Limited</t>
        </is>
      </c>
      <c r="D260" s="2" t="inlineStr">
        <is>
          <t>98/100</t>
        </is>
      </c>
      <c r="E260" s="7" t="n">
        <v>2480</v>
      </c>
      <c r="F260" s="7" t="n">
        <v>2372.885707310268</v>
      </c>
      <c r="G260" s="7" t="n">
        <v>2747.78573172433</v>
      </c>
      <c r="H260" s="2" t="inlineStr">
        <is>
          <t>1:2.5</t>
        </is>
      </c>
      <c r="I260" s="2" t="n">
        <v>0</v>
      </c>
      <c r="J260" s="7" t="n">
        <v>0</v>
      </c>
      <c r="K260" s="2" t="inlineStr">
        <is>
          <t>PENDING</t>
        </is>
      </c>
      <c r="L260" s="2" t="inlineStr">
        <is>
          <t>Swing Scanner (STATE 3: Capitulation Bottom)</t>
        </is>
      </c>
    </row>
    <row r="261" ht="15.75" customHeight="1" s="57">
      <c r="A261" s="2" t="inlineStr">
        <is>
          <t>2026-09-23</t>
        </is>
      </c>
      <c r="B261" s="2" t="inlineStr">
        <is>
          <t>HARSHA</t>
        </is>
      </c>
      <c r="C261" s="2" t="inlineStr">
        <is>
          <t>Harsha Engineers International Limited</t>
        </is>
      </c>
      <c r="D261" s="2" t="inlineStr">
        <is>
          <t>98/100</t>
        </is>
      </c>
      <c r="E261" s="7" t="n">
        <v>465.1000061035156</v>
      </c>
      <c r="F261" s="7" t="n">
        <v>433.8142874581473</v>
      </c>
      <c r="G261" s="7" t="n">
        <v>543.3143027169364</v>
      </c>
      <c r="H261" s="2" t="inlineStr">
        <is>
          <t>1:2.5</t>
        </is>
      </c>
      <c r="I261" s="2" t="n">
        <v>0</v>
      </c>
      <c r="J261" s="7" t="n">
        <v>0</v>
      </c>
      <c r="K261" s="2" t="inlineStr">
        <is>
          <t>PENDING</t>
        </is>
      </c>
      <c r="L261" s="2" t="inlineStr">
        <is>
          <t>Swing Scanner (STATE 3: Capitulation Bottom)</t>
        </is>
      </c>
    </row>
    <row r="262" ht="15.75" customHeight="1" s="57">
      <c r="A262" s="2" t="inlineStr">
        <is>
          <t>2026-09-23</t>
        </is>
      </c>
      <c r="B262" s="2" t="inlineStr">
        <is>
          <t>IKS</t>
        </is>
      </c>
      <c r="C262" s="2" t="inlineStr">
        <is>
          <t>IKS</t>
        </is>
      </c>
      <c r="D262" s="2" t="inlineStr">
        <is>
          <t>98/100</t>
        </is>
      </c>
      <c r="E262" s="7" t="n">
        <v>1869.199951171875</v>
      </c>
      <c r="F262" s="7" t="n">
        <v>1761.785679408482</v>
      </c>
      <c r="G262" s="7" t="n">
        <v>2137.735630580357</v>
      </c>
      <c r="H262" s="2" t="inlineStr">
        <is>
          <t>1:2.5</t>
        </is>
      </c>
      <c r="I262" s="2" t="n">
        <v>0</v>
      </c>
      <c r="J262" s="7" t="n">
        <v>0</v>
      </c>
      <c r="K262" s="2" t="inlineStr">
        <is>
          <t>PENDING</t>
        </is>
      </c>
      <c r="L262" s="2" t="inlineStr">
        <is>
          <t>Swing Scanner (STATE 3: Capitulation Bottom)</t>
        </is>
      </c>
    </row>
    <row r="263" ht="15.75" customHeight="1" s="57">
      <c r="A263" s="2" t="inlineStr">
        <is>
          <t>2026-09-23</t>
        </is>
      </c>
      <c r="B263" s="2" t="inlineStr">
        <is>
          <t>BLUESTONE</t>
        </is>
      </c>
      <c r="C263" s="2" t="inlineStr">
        <is>
          <t>BLUESTONE</t>
        </is>
      </c>
      <c r="D263" s="2" t="inlineStr">
        <is>
          <t>98/100</t>
        </is>
      </c>
      <c r="E263" s="7" t="n">
        <v>930.4000244140625</v>
      </c>
      <c r="F263" s="7" t="n">
        <v>836.8357282366071</v>
      </c>
      <c r="G263" s="7" t="n">
        <v>1164.310764857701</v>
      </c>
      <c r="H263" s="2" t="inlineStr">
        <is>
          <t>1:2.5</t>
        </is>
      </c>
      <c r="I263" s="2" t="n">
        <v>0</v>
      </c>
      <c r="J263" s="7" t="n">
        <v>0</v>
      </c>
      <c r="K263" s="2" t="inlineStr">
        <is>
          <t>PENDING</t>
        </is>
      </c>
      <c r="L263" s="2" t="inlineStr">
        <is>
          <t>Swing Scanner (STATE 3: Capitulation Bottom)</t>
        </is>
      </c>
    </row>
    <row r="264" ht="15.75" customHeight="1" s="57">
      <c r="A264" s="2" t="inlineStr">
        <is>
          <t>2026-09-23</t>
        </is>
      </c>
      <c r="B264" s="2" t="inlineStr">
        <is>
          <t>FINCABLES</t>
        </is>
      </c>
      <c r="C264" s="2" t="inlineStr">
        <is>
          <t>Finolex Cables Limited</t>
        </is>
      </c>
      <c r="D264" s="2" t="inlineStr">
        <is>
          <t>95/100</t>
        </is>
      </c>
      <c r="E264" s="7" t="n">
        <v>1468.099975585938</v>
      </c>
      <c r="F264" s="7" t="n">
        <v>1323.775123086164</v>
      </c>
      <c r="G264" s="7" t="n">
        <v>1828.912106835371</v>
      </c>
      <c r="H264" s="2" t="inlineStr">
        <is>
          <t>1:2.5</t>
        </is>
      </c>
      <c r="I264" s="2" t="n">
        <v>0</v>
      </c>
      <c r="J264" s="7" t="n">
        <v>0</v>
      </c>
      <c r="K264" s="2" t="inlineStr">
        <is>
          <t>PENDING</t>
        </is>
      </c>
      <c r="L264" s="2" t="inlineStr">
        <is>
          <t>Swing Scanner (STATE 3: Capitulation Bottom)</t>
        </is>
      </c>
    </row>
    <row r="265" ht="15.75" customHeight="1" s="57">
      <c r="A265" s="2" t="inlineStr">
        <is>
          <t>2026-09-23</t>
        </is>
      </c>
      <c r="B265" s="2" t="inlineStr">
        <is>
          <t>GRASIM</t>
        </is>
      </c>
      <c r="C265" s="2" t="inlineStr">
        <is>
          <t>Grasim Industries Limited</t>
        </is>
      </c>
      <c r="D265" s="2" t="inlineStr">
        <is>
          <t>100/100</t>
        </is>
      </c>
      <c r="E265" s="7" t="n">
        <v>3188.5</v>
      </c>
      <c r="F265" s="7" t="n">
        <v>3160.8</v>
      </c>
      <c r="G265" s="7" t="n">
        <v>3257.75</v>
      </c>
      <c r="H265" s="2" t="inlineStr">
        <is>
          <t>1:2.5</t>
        </is>
      </c>
      <c r="I265" s="2" t="n">
        <v>0</v>
      </c>
      <c r="J265" s="7" t="n">
        <v>0</v>
      </c>
      <c r="K265" s="2" t="inlineStr">
        <is>
          <t>PENDING</t>
        </is>
      </c>
      <c r="L265" s="2" t="inlineStr">
        <is>
          <t>Intraday Scanner (STATE 3: Capitulation Bottom)</t>
        </is>
      </c>
    </row>
    <row r="266" ht="15.75" customHeight="1" s="57">
      <c r="A266" s="2" t="inlineStr">
        <is>
          <t>2026-09-23</t>
        </is>
      </c>
      <c r="B266" s="2" t="inlineStr">
        <is>
          <t>APOLLOHOSP</t>
        </is>
      </c>
      <c r="C266" s="2" t="inlineStr">
        <is>
          <t>Apollo Hospitals Enterprise Limited</t>
        </is>
      </c>
      <c r="D266" s="2" t="inlineStr">
        <is>
          <t>100/100</t>
        </is>
      </c>
      <c r="E266" s="7" t="n">
        <v>9069</v>
      </c>
      <c r="F266" s="7" t="n">
        <v>8954.4</v>
      </c>
      <c r="G266" s="7" t="n">
        <v>9355.5</v>
      </c>
      <c r="H266" s="2" t="inlineStr">
        <is>
          <t>1:2.5</t>
        </is>
      </c>
      <c r="I266" s="2" t="n">
        <v>0</v>
      </c>
      <c r="J266" s="7" t="n">
        <v>0</v>
      </c>
      <c r="K266" s="2" t="inlineStr">
        <is>
          <t>PENDING</t>
        </is>
      </c>
      <c r="L266" s="2" t="inlineStr">
        <is>
          <t>Intraday Scanner (STATE 3: Capitulation Bottom)</t>
        </is>
      </c>
    </row>
    <row r="267" ht="15.75" customHeight="1" s="57">
      <c r="A267" s="2" t="inlineStr">
        <is>
          <t>2026-09-23</t>
        </is>
      </c>
      <c r="B267" s="2" t="inlineStr">
        <is>
          <t>DIVISLAB</t>
        </is>
      </c>
      <c r="C267" s="2" t="inlineStr">
        <is>
          <t>Divi's Laboratories Limited</t>
        </is>
      </c>
      <c r="D267" s="2" t="inlineStr">
        <is>
          <t>100/100</t>
        </is>
      </c>
      <c r="E267" s="7" t="n">
        <v>9624</v>
      </c>
      <c r="F267" s="7" t="n">
        <v>9479.4</v>
      </c>
      <c r="G267" s="7" t="n">
        <v>9985.5</v>
      </c>
      <c r="H267" s="2" t="inlineStr">
        <is>
          <t>1:2.5</t>
        </is>
      </c>
      <c r="I267" s="2" t="n">
        <v>0</v>
      </c>
      <c r="J267" s="7" t="n">
        <v>0</v>
      </c>
      <c r="K267" s="2" t="inlineStr">
        <is>
          <t>PENDING</t>
        </is>
      </c>
      <c r="L267" s="2" t="inlineStr">
        <is>
          <t>Intraday Scanner (STATE 3: Capitulation Bottom)</t>
        </is>
      </c>
    </row>
    <row r="268" ht="15.75" customHeight="1" s="57">
      <c r="A268" s="2" t="inlineStr">
        <is>
          <t>2026-09-23</t>
        </is>
      </c>
      <c r="B268" s="2" t="inlineStr">
        <is>
          <t>HINDALCO</t>
        </is>
      </c>
      <c r="C268" s="2" t="inlineStr">
        <is>
          <t>Hindalco Industries Limited</t>
        </is>
      </c>
      <c r="D268" s="2" t="inlineStr">
        <is>
          <t>100/100</t>
        </is>
      </c>
      <c r="E268" s="7" t="n">
        <v>1003.8</v>
      </c>
      <c r="F268" s="7" t="n">
        <v>992.8</v>
      </c>
      <c r="G268" s="7" t="n">
        <v>1031.35</v>
      </c>
      <c r="H268" s="2" t="inlineStr">
        <is>
          <t>1:2.5</t>
        </is>
      </c>
      <c r="I268" s="2" t="n">
        <v>0</v>
      </c>
      <c r="J268" s="7" t="n">
        <v>0</v>
      </c>
      <c r="K268" s="2" t="inlineStr">
        <is>
          <t>PENDING</t>
        </is>
      </c>
      <c r="L268" s="2" t="inlineStr">
        <is>
          <t>Intraday Scanner (STATE 3: Capitulation Bottom)</t>
        </is>
      </c>
    </row>
    <row r="269" ht="15.75" customHeight="1" s="57">
      <c r="A269" s="2" t="inlineStr">
        <is>
          <t>2026-09-23</t>
        </is>
      </c>
      <c r="B269" s="2" t="inlineStr">
        <is>
          <t>TORNTPHARM</t>
        </is>
      </c>
      <c r="C269" s="2" t="inlineStr">
        <is>
          <t>Torrent Pharmaceuticals Limited</t>
        </is>
      </c>
      <c r="D269" s="2" t="inlineStr">
        <is>
          <t>100/100</t>
        </is>
      </c>
      <c r="E269" s="7" t="n">
        <v>4985</v>
      </c>
      <c r="F269" s="7" t="n">
        <v>4925.9</v>
      </c>
      <c r="G269" s="7" t="n">
        <v>5132.75</v>
      </c>
      <c r="H269" s="2" t="inlineStr">
        <is>
          <t>1:2.5</t>
        </is>
      </c>
      <c r="I269" s="2" t="n">
        <v>0</v>
      </c>
      <c r="J269" s="7" t="n">
        <v>0</v>
      </c>
      <c r="K269" s="2" t="inlineStr">
        <is>
          <t>PENDING</t>
        </is>
      </c>
      <c r="L269" s="2" t="inlineStr">
        <is>
          <t>Intraday Scanner (STATE 3: Capitulation Bottom)</t>
        </is>
      </c>
    </row>
    <row r="270" ht="15.75" customHeight="1" s="57">
      <c r="A270" s="2" t="inlineStr">
        <is>
          <t>2026-09-24</t>
        </is>
      </c>
      <c r="B270" s="2" t="inlineStr">
        <is>
          <t>JYOTICNC</t>
        </is>
      </c>
      <c r="C270" s="2" t="inlineStr">
        <is>
          <t>Jyoti CNC Automation Limited</t>
        </is>
      </c>
      <c r="D270" s="2" t="inlineStr">
        <is>
          <t>100/100</t>
        </is>
      </c>
      <c r="E270" s="7" t="n">
        <v>1100.800048828125</v>
      </c>
      <c r="F270" s="7" t="n">
        <v>1014.042907714844</v>
      </c>
      <c r="G270" s="7" t="n">
        <v>1317.692901611328</v>
      </c>
      <c r="H270" s="2" t="inlineStr">
        <is>
          <t>1:2.5</t>
        </is>
      </c>
      <c r="I270" s="2" t="n">
        <v>0</v>
      </c>
      <c r="J270" s="7" t="n">
        <v>0</v>
      </c>
      <c r="K270" s="2" t="inlineStr">
        <is>
          <t>PENDING</t>
        </is>
      </c>
      <c r="L270" s="2" t="inlineStr">
        <is>
          <t>Swing Scanner (STATE 3: Capitulation Bottom)</t>
        </is>
      </c>
    </row>
    <row r="271" ht="15.75" customHeight="1" s="57">
      <c r="A271" s="2" t="inlineStr">
        <is>
          <t>2026-09-24</t>
        </is>
      </c>
      <c r="B271" s="2" t="inlineStr">
        <is>
          <t>ICIL</t>
        </is>
      </c>
      <c r="C271" s="2" t="inlineStr">
        <is>
          <t>Indo Count Industries Limited</t>
        </is>
      </c>
      <c r="D271" s="2" t="inlineStr">
        <is>
          <t>98/100</t>
        </is>
      </c>
      <c r="E271" s="7" t="n">
        <v>476.5499877929688</v>
      </c>
      <c r="F271" s="7" t="n">
        <v>435.9356951032366</v>
      </c>
      <c r="G271" s="7" t="n">
        <v>578.0857195172991</v>
      </c>
      <c r="H271" s="2" t="inlineStr">
        <is>
          <t>1:2.5</t>
        </is>
      </c>
      <c r="I271" s="2" t="n">
        <v>0</v>
      </c>
      <c r="J271" s="7" t="n">
        <v>0</v>
      </c>
      <c r="K271" s="2" t="inlineStr">
        <is>
          <t>PENDING</t>
        </is>
      </c>
      <c r="L271" s="2" t="inlineStr">
        <is>
          <t>Swing Scanner (STATE 3: Capitulation Bottom)</t>
        </is>
      </c>
    </row>
    <row r="272" ht="15.75" customHeight="1" s="57">
      <c r="A272" s="2" t="inlineStr">
        <is>
          <t>2026-09-24</t>
        </is>
      </c>
      <c r="B272" s="2" t="inlineStr">
        <is>
          <t>AXISCADES</t>
        </is>
      </c>
      <c r="C272" s="2" t="inlineStr">
        <is>
          <t>AXISCADES Technologies Limited</t>
        </is>
      </c>
      <c r="D272" s="2" t="inlineStr">
        <is>
          <t>98/100</t>
        </is>
      </c>
      <c r="E272" s="7" t="n">
        <v>1940.199951171875</v>
      </c>
      <c r="F272" s="7" t="n">
        <v>1763.014212472098</v>
      </c>
      <c r="G272" s="7" t="n">
        <v>2383.164297921317</v>
      </c>
      <c r="H272" s="2" t="inlineStr">
        <is>
          <t>1:2.5</t>
        </is>
      </c>
      <c r="I272" s="2" t="n">
        <v>0</v>
      </c>
      <c r="J272" s="7" t="n">
        <v>0</v>
      </c>
      <c r="K272" s="2" t="inlineStr">
        <is>
          <t>PENDING</t>
        </is>
      </c>
      <c r="L272" s="2" t="inlineStr">
        <is>
          <t>Swing Scanner (STATE 3: Capitulation Bottom)</t>
        </is>
      </c>
    </row>
    <row r="273" ht="15.75" customHeight="1" s="57">
      <c r="A273" s="2" t="inlineStr">
        <is>
          <t>2026-09-24</t>
        </is>
      </c>
      <c r="B273" s="2" t="inlineStr">
        <is>
          <t>TIMKEN</t>
        </is>
      </c>
      <c r="C273" s="2" t="inlineStr">
        <is>
          <t>Timken India Limited</t>
        </is>
      </c>
      <c r="D273" s="2" t="inlineStr">
        <is>
          <t>98/100</t>
        </is>
      </c>
      <c r="E273" s="7" t="n">
        <v>3287.89990234375</v>
      </c>
      <c r="F273" s="7" t="n">
        <v>3070.385637555803</v>
      </c>
      <c r="G273" s="7" t="n">
        <v>3831.685564313616</v>
      </c>
      <c r="H273" s="2" t="inlineStr">
        <is>
          <t>1:2.5</t>
        </is>
      </c>
      <c r="I273" s="2" t="n">
        <v>0</v>
      </c>
      <c r="J273" s="7" t="n">
        <v>0</v>
      </c>
      <c r="K273" s="2" t="inlineStr">
        <is>
          <t>PENDING</t>
        </is>
      </c>
      <c r="L273" s="2" t="inlineStr">
        <is>
          <t>Swing Scanner (STATE 3: Capitulation Bottom)</t>
        </is>
      </c>
    </row>
    <row r="274" ht="15.75" customHeight="1" s="57">
      <c r="A274" s="2" t="inlineStr">
        <is>
          <t>2026-09-24</t>
        </is>
      </c>
      <c r="B274" s="2" t="inlineStr">
        <is>
          <t>3MINDIA</t>
        </is>
      </c>
      <c r="C274" s="2" t="inlineStr">
        <is>
          <t>3M India Limited</t>
        </is>
      </c>
      <c r="D274" s="2" t="inlineStr">
        <is>
          <t>98/100</t>
        </is>
      </c>
      <c r="E274" s="7" t="n">
        <v>34615</v>
      </c>
      <c r="F274" s="7" t="n">
        <v>32787.85714285714</v>
      </c>
      <c r="G274" s="7" t="n">
        <v>39182.85714285714</v>
      </c>
      <c r="H274" s="2" t="inlineStr">
        <is>
          <t>1:2.5</t>
        </is>
      </c>
      <c r="I274" s="2" t="n">
        <v>0</v>
      </c>
      <c r="J274" s="7" t="n">
        <v>0</v>
      </c>
      <c r="K274" s="2" t="inlineStr">
        <is>
          <t>PENDING</t>
        </is>
      </c>
      <c r="L274" s="2" t="inlineStr">
        <is>
          <t>Swing Scanner (STATE 3: Capitulation Bottom)</t>
        </is>
      </c>
    </row>
    <row r="275" ht="15.75" customHeight="1" s="57">
      <c r="A275" s="2" t="inlineStr">
        <is>
          <t>2026-09-24</t>
        </is>
      </c>
      <c r="B275" s="2" t="inlineStr">
        <is>
          <t>ONGC</t>
        </is>
      </c>
      <c r="C275" s="2" t="inlineStr">
        <is>
          <t>Oil and Natural Gas Corporation Limited</t>
        </is>
      </c>
      <c r="D275" s="2" t="inlineStr">
        <is>
          <t>100/100</t>
        </is>
      </c>
      <c r="E275" s="7" t="n">
        <v>239</v>
      </c>
      <c r="F275" s="7" t="n">
        <v>236.85</v>
      </c>
      <c r="G275" s="7" t="n">
        <v>244.35</v>
      </c>
      <c r="H275" s="2" t="inlineStr">
        <is>
          <t>1:2.5</t>
        </is>
      </c>
      <c r="I275" s="2" t="n">
        <v>0</v>
      </c>
      <c r="J275" s="7" t="n">
        <v>0</v>
      </c>
      <c r="K275" s="2" t="inlineStr">
        <is>
          <t>PENDING</t>
        </is>
      </c>
      <c r="L275" s="2" t="inlineStr">
        <is>
          <t>Intraday Scanner (STATE 3: Capitulation Bottom)</t>
        </is>
      </c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6" t="inlineStr">
        <is>
          <t>Date</t>
        </is>
      </c>
      <c r="B1" s="6" t="inlineStr">
        <is>
          <t>Type</t>
        </is>
      </c>
      <c r="C1" s="6" t="inlineStr">
        <is>
          <t>Amount</t>
        </is>
      </c>
      <c r="D1" s="6" t="inlineStr">
        <is>
          <t>Notes</t>
        </is>
      </c>
      <c r="E1" s="2" t="n"/>
      <c r="F1" s="2" t="n"/>
    </row>
    <row r="2">
      <c r="A2" s="6" t="inlineStr">
        <is>
          <t>21-7-2026</t>
        </is>
      </c>
      <c r="B2" s="6" t="inlineStr">
        <is>
          <t>DEPOSIT</t>
        </is>
      </c>
      <c r="C2" s="7" t="n">
        <v>10000</v>
      </c>
      <c r="D2" s="2" t="n"/>
      <c r="E2" s="2" t="n"/>
      <c r="F2" s="2" t="n"/>
    </row>
    <row r="3">
      <c r="A3" s="6" t="inlineStr">
        <is>
          <t>2026-07-22</t>
        </is>
      </c>
      <c r="B3" s="6" t="inlineStr">
        <is>
          <t>WITHDRAWAL</t>
        </is>
      </c>
      <c r="C3" s="7" t="n">
        <v>1.76</v>
      </c>
      <c r="D3" s="6" t="inlineStr">
        <is>
          <t>Brokerage &amp; taxes on SONACOMS BUY (2 qty @ 734.70)</t>
        </is>
      </c>
      <c r="E3" s="2" t="n"/>
      <c r="F3" s="2" t="n"/>
    </row>
    <row r="4">
      <c r="A4" s="6" t="inlineStr">
        <is>
          <t>2026-07-22</t>
        </is>
      </c>
      <c r="B4" s="6" t="inlineStr">
        <is>
          <t>WITHDRAWAL</t>
        </is>
      </c>
      <c r="C4" s="7" t="n">
        <v>1.52</v>
      </c>
      <c r="D4" s="6" t="inlineStr">
        <is>
          <t>Brokerage &amp; taxes on JSWSTEEL BUY (1 qty @ 1265.10)</t>
        </is>
      </c>
      <c r="E4" s="2" t="n"/>
      <c r="F4" s="2" t="n"/>
    </row>
    <row r="5">
      <c r="A5" s="6" t="inlineStr">
        <is>
          <t>2026-07-24</t>
        </is>
      </c>
      <c r="B5" s="6" t="inlineStr">
        <is>
          <t>WITHDRAWAL</t>
        </is>
      </c>
      <c r="C5" s="7" t="n">
        <v>181.62</v>
      </c>
      <c r="D5" s="6" t="inlineStr">
        <is>
          <t>Adjustment: Brokerage &amp; taxes on past completed trades (SUNPHARMA, JSWSTEEL, TECHM)</t>
        </is>
      </c>
      <c r="E5" s="2" t="n"/>
      <c r="F5" s="2" t="n"/>
    </row>
    <row r="6">
      <c r="A6" s="6" t="inlineStr">
        <is>
          <t>2026-07-27</t>
        </is>
      </c>
      <c r="B6" s="6" t="inlineStr">
        <is>
          <t>WITHDRAWAL</t>
        </is>
      </c>
      <c r="C6" s="7" t="n">
        <v>1.89</v>
      </c>
      <c r="D6" s="6" t="inlineStr">
        <is>
          <t>Brokerage &amp; taxes on TECHM BUY (1 qty @ 1579.00)</t>
        </is>
      </c>
      <c r="E6" s="2" t="n"/>
      <c r="F6" s="2" t="n"/>
    </row>
    <row r="7">
      <c r="A7" s="6" t="inlineStr">
        <is>
          <t>2026-07-31</t>
        </is>
      </c>
      <c r="B7" s="6" t="inlineStr">
        <is>
          <t>WITHDRAWAL</t>
        </is>
      </c>
      <c r="C7" s="7" t="n">
        <v>1.76</v>
      </c>
      <c r="D7" s="6" t="inlineStr">
        <is>
          <t>Brokerage &amp; taxes on BERGEPAINT BUY</t>
        </is>
      </c>
      <c r="E7" s="2" t="n"/>
      <c r="F7" s="2" t="n"/>
    </row>
    <row r="8">
      <c r="A8" s="6" t="inlineStr">
        <is>
          <t>2026-08-03</t>
        </is>
      </c>
      <c r="B8" s="6" t="inlineStr">
        <is>
          <t>WITHDRAWAL</t>
        </is>
      </c>
      <c r="C8" s="7" t="n">
        <v>0.61</v>
      </c>
      <c r="D8" s="6" t="inlineStr">
        <is>
          <t>Brokerage &amp; taxes on ADVANCE BUY (4 qty @ 127.80)</t>
        </is>
      </c>
      <c r="E8" s="2" t="n"/>
      <c r="F8" s="2" t="n"/>
    </row>
    <row r="9">
      <c r="A9" s="6" t="inlineStr">
        <is>
          <t>2026-08-03</t>
        </is>
      </c>
      <c r="B9" s="6" t="inlineStr">
        <is>
          <t>WITHDRAWAL</t>
        </is>
      </c>
      <c r="C9" s="7" t="n">
        <v>0.12</v>
      </c>
      <c r="D9" s="6" t="inlineStr">
        <is>
          <t>Brokerage &amp; taxes on ADVANCE BUY (1 qty @ 100.00)</t>
        </is>
      </c>
      <c r="E9" s="2" t="n"/>
      <c r="F9" s="2" t="n"/>
    </row>
    <row r="10">
      <c r="A10" s="6" t="inlineStr">
        <is>
          <t>2026-08-04</t>
        </is>
      </c>
      <c r="B10" s="6" t="inlineStr">
        <is>
          <t>WITHDRAWAL</t>
        </is>
      </c>
      <c r="C10" s="7" t="n">
        <v>1.84</v>
      </c>
      <c r="D10" s="6" t="inlineStr">
        <is>
          <t>Brokerage &amp; taxes on NESTLEIND BUY (1 qty @ 1530.00)</t>
        </is>
      </c>
      <c r="E10" s="2" t="n"/>
      <c r="F10" s="2" t="n"/>
    </row>
    <row r="11">
      <c r="A11" s="6" t="inlineStr">
        <is>
          <t>2026-08-04</t>
        </is>
      </c>
      <c r="B11" s="6" t="inlineStr">
        <is>
          <t>WITHDRAWAL</t>
        </is>
      </c>
      <c r="C11" s="7" t="n">
        <v>1.97</v>
      </c>
      <c r="D11" s="6" t="inlineStr">
        <is>
          <t>Brokerage &amp; taxes on PIDILITIND BUY (1 qty @ 1642.50)</t>
        </is>
      </c>
      <c r="E11" s="2" t="n"/>
      <c r="F11" s="2" t="n"/>
    </row>
    <row r="12">
      <c r="A12" s="6" t="inlineStr">
        <is>
          <t>2026-08-04</t>
        </is>
      </c>
      <c r="B12" s="6" t="inlineStr">
        <is>
          <t>WITHDRAWAL</t>
        </is>
      </c>
      <c r="C12" s="7" t="n">
        <v>1.83</v>
      </c>
      <c r="D12" s="6" t="inlineStr">
        <is>
          <t>Brokerage &amp; taxes on NESTLEIND SELL (1 qty @ 1520.10)</t>
        </is>
      </c>
      <c r="E12" s="2" t="n"/>
      <c r="F12" s="2" t="n"/>
    </row>
    <row r="13">
      <c r="A13" s="6" t="inlineStr">
        <is>
          <t>2026-08-04</t>
        </is>
      </c>
      <c r="B13" s="6" t="inlineStr">
        <is>
          <t>WITHDRAWAL</t>
        </is>
      </c>
      <c r="C13" s="7" t="n">
        <v>1.96</v>
      </c>
      <c r="D13" s="6" t="inlineStr">
        <is>
          <t>Brokerage &amp; taxes on PIDILITIND SELL (1 qty @ 1634.50)</t>
        </is>
      </c>
      <c r="E13" s="2" t="n"/>
      <c r="F13" s="2" t="n"/>
    </row>
    <row r="14">
      <c r="A14" s="6" t="inlineStr">
        <is>
          <t>2026-08-05</t>
        </is>
      </c>
      <c r="B14" s="6" t="inlineStr">
        <is>
          <t>WITHDRAWAL</t>
        </is>
      </c>
      <c r="C14" s="7" t="n">
        <v>0.84</v>
      </c>
      <c r="D14" s="6" t="inlineStr">
        <is>
          <t>Brokerage &amp; taxes on VISAKAIND BUY (8 qty @ 86.99)</t>
        </is>
      </c>
      <c r="E14" s="2" t="n"/>
      <c r="F14" s="2" t="n"/>
    </row>
    <row r="15">
      <c r="A15" s="6" t="inlineStr">
        <is>
          <t>2026-08-05</t>
        </is>
      </c>
      <c r="B15" s="6" t="inlineStr">
        <is>
          <t>WITHDRAWAL</t>
        </is>
      </c>
      <c r="C15" s="7" t="n">
        <v>0.8</v>
      </c>
      <c r="D15" s="6" t="inlineStr">
        <is>
          <t>Brokerage &amp; taxes on EXCELSOFT BUY (8 qty @ 82.99)</t>
        </is>
      </c>
      <c r="E15" s="2" t="n"/>
      <c r="F15" s="2" t="n"/>
    </row>
    <row r="16">
      <c r="A16" s="6" t="inlineStr">
        <is>
          <t>2026-08-05</t>
        </is>
      </c>
      <c r="B16" s="6" t="inlineStr">
        <is>
          <t>WITHDRAWAL</t>
        </is>
      </c>
      <c r="C16" s="7" t="n">
        <v>0.79</v>
      </c>
      <c r="D16" s="6" t="inlineStr">
        <is>
          <t>Brokerage &amp; taxes on EXCELSOFT BUY (8 qty @ 82.50)</t>
        </is>
      </c>
      <c r="E16" s="2" t="n"/>
      <c r="F16" s="2" t="n"/>
    </row>
    <row r="17">
      <c r="A17" s="6" t="inlineStr">
        <is>
          <t>2026-08-05</t>
        </is>
      </c>
      <c r="B17" s="6" t="inlineStr">
        <is>
          <t>WITHDRAWAL</t>
        </is>
      </c>
      <c r="C17" s="7" t="n">
        <v>17.59</v>
      </c>
      <c r="D17" s="6" t="inlineStr">
        <is>
          <t>Brokerage &amp; taxes on SONACOMS SELL (2 qty @ 798.25)</t>
        </is>
      </c>
      <c r="E17" s="2" t="n"/>
      <c r="F17" s="2" t="n"/>
    </row>
    <row r="18">
      <c r="A18" s="6" t="inlineStr">
        <is>
          <t>2026-08-05</t>
        </is>
      </c>
      <c r="B18" s="6" t="inlineStr">
        <is>
          <t>WITHDRAWAL</t>
        </is>
      </c>
      <c r="C18" s="7" t="n">
        <v>1.23</v>
      </c>
      <c r="D18" s="6" t="inlineStr">
        <is>
          <t>Brokerage &amp; taxes on SONATSOFTW BUY (3 qty @ 341.20)</t>
        </is>
      </c>
      <c r="E18" s="2" t="n"/>
      <c r="F18" s="2" t="n"/>
    </row>
    <row r="19">
      <c r="A19" s="6" t="inlineStr">
        <is>
          <t>2026-08-05</t>
        </is>
      </c>
      <c r="B19" s="6" t="inlineStr">
        <is>
          <t>WITHDRAWAL</t>
        </is>
      </c>
      <c r="C19" s="7" t="n">
        <v>1.23</v>
      </c>
      <c r="D19" s="6" t="inlineStr">
        <is>
          <t>Brokerage &amp; taxes on SONATSOFTW BUY (3 qty @ 341.15)</t>
        </is>
      </c>
      <c r="E19" s="2" t="n"/>
      <c r="F19" s="2" t="n"/>
    </row>
    <row r="20">
      <c r="A20" s="6" t="inlineStr">
        <is>
          <t>2026-08-05</t>
        </is>
      </c>
      <c r="B20" s="6" t="inlineStr">
        <is>
          <t>WITHDRAWAL</t>
        </is>
      </c>
      <c r="C20" s="7" t="n">
        <v>1.05</v>
      </c>
      <c r="D20" s="6" t="inlineStr">
        <is>
          <t>Brokerage &amp; taxes on IFGLEXPOR BUY (4 qty @ 219.60)</t>
        </is>
      </c>
      <c r="E20" s="2" t="n"/>
      <c r="F20" s="2" t="n"/>
    </row>
    <row r="21" ht="15.75" customHeight="1" s="57">
      <c r="A21" s="6" t="inlineStr">
        <is>
          <t>2026-08-05</t>
        </is>
      </c>
      <c r="B21" s="6" t="inlineStr">
        <is>
          <t>WITHDRAWAL</t>
        </is>
      </c>
      <c r="C21" s="7" t="n">
        <v>0.97</v>
      </c>
      <c r="D21" s="6" t="inlineStr">
        <is>
          <t>Brokerage &amp; taxes on SAPPHIRE BUY (4 qty @ 202.50)</t>
        </is>
      </c>
      <c r="E21" s="2" t="n"/>
      <c r="F21" s="2" t="n"/>
    </row>
    <row r="22" ht="15.75" customHeight="1" s="57">
      <c r="A22" s="6" t="inlineStr">
        <is>
          <t>2026-08-05</t>
        </is>
      </c>
      <c r="B22" s="6" t="inlineStr">
        <is>
          <t>WITHDRAWAL</t>
        </is>
      </c>
      <c r="C22" s="7" t="n">
        <v>1.27</v>
      </c>
      <c r="D22" s="6" t="inlineStr">
        <is>
          <t>Brokerage &amp; taxes on AEROENTER BUY (8 qty @ 132.15)</t>
        </is>
      </c>
      <c r="E22" s="2" t="n"/>
      <c r="F22" s="2" t="n"/>
    </row>
    <row r="23" ht="15.75" customHeight="1" s="57">
      <c r="A23" s="6" t="inlineStr">
        <is>
          <t>2026-08-05</t>
        </is>
      </c>
      <c r="B23" s="6" t="inlineStr">
        <is>
          <t>WITHDRAWAL</t>
        </is>
      </c>
      <c r="C23" s="7" t="n">
        <v>0.6899999999999999</v>
      </c>
      <c r="D23" s="6" t="inlineStr">
        <is>
          <t>Brokerage &amp; taxes on TATASTEEL BUY (3 qty @ 193.00)</t>
        </is>
      </c>
      <c r="E23" s="2" t="n"/>
      <c r="F23" s="2" t="n"/>
    </row>
    <row r="24" ht="15.75" customHeight="1" s="57">
      <c r="A24" s="6" t="inlineStr">
        <is>
          <t>2026-08-06</t>
        </is>
      </c>
      <c r="B24" s="6" t="inlineStr">
        <is>
          <t>WITHDRAWAL</t>
        </is>
      </c>
      <c r="C24" s="7" t="n">
        <v>1.27</v>
      </c>
      <c r="D24" s="6" t="inlineStr">
        <is>
          <t>Brokerage &amp; taxes on AEROENTER BUY (8 qty @ 132.01)</t>
        </is>
      </c>
      <c r="E24" s="2" t="n"/>
      <c r="F24" s="2" t="n"/>
    </row>
    <row r="25" ht="15.75" customHeight="1" s="57">
      <c r="A25" s="6" t="inlineStr">
        <is>
          <t>2026-08-06</t>
        </is>
      </c>
      <c r="B25" s="6" t="inlineStr">
        <is>
          <t>WITHDRAWAL</t>
        </is>
      </c>
      <c r="C25" s="7" t="n">
        <v>0.23</v>
      </c>
      <c r="D25" s="6" t="inlineStr">
        <is>
          <t>Brokerage &amp; taxes on TATASTEEL BUY (1 qty @ 192.60)</t>
        </is>
      </c>
      <c r="E25" s="2" t="n"/>
      <c r="F25" s="2" t="n"/>
    </row>
    <row r="26" ht="15.75" customHeight="1" s="57">
      <c r="A26" s="6" t="inlineStr">
        <is>
          <t>2026-08-06</t>
        </is>
      </c>
      <c r="B26" s="6" t="inlineStr">
        <is>
          <t>WITHDRAWAL</t>
        </is>
      </c>
      <c r="C26" s="7" t="n">
        <v>16.13</v>
      </c>
      <c r="D26" s="6" t="inlineStr">
        <is>
          <t>Brokerage &amp; taxes on TATASTEEL SELL (1 qty @ 191.65)</t>
        </is>
      </c>
      <c r="E26" s="2" t="n"/>
      <c r="F26" s="2" t="n"/>
    </row>
    <row r="27" ht="15.75" customHeight="1" s="57">
      <c r="A27" s="6" t="inlineStr">
        <is>
          <t>2026-08-10</t>
        </is>
      </c>
      <c r="B27" s="6" t="inlineStr">
        <is>
          <t>WITHDRAWAL</t>
        </is>
      </c>
      <c r="C27" s="7" t="n">
        <v>16.79</v>
      </c>
      <c r="D27" s="6" t="inlineStr">
        <is>
          <t>Brokerage &amp; taxes on VISAKAIND SELL (8 qty @ 103.24)</t>
        </is>
      </c>
      <c r="E27" s="2" t="n"/>
      <c r="F27" s="2" t="n"/>
    </row>
    <row r="28" ht="15.75" customHeight="1" s="57">
      <c r="A28" s="6" t="inlineStr">
        <is>
          <t>2026-08-10</t>
        </is>
      </c>
      <c r="B28" s="6" t="inlineStr">
        <is>
          <t>WITHDRAWAL</t>
        </is>
      </c>
      <c r="C28" s="7" t="n">
        <v>16.92</v>
      </c>
      <c r="D28" s="6" t="inlineStr">
        <is>
          <t>Brokerage &amp; taxes on SONATSOFTW SELL (3 qty @ 316.20)</t>
        </is>
      </c>
      <c r="E28" s="2" t="n"/>
      <c r="F28" s="2" t="n"/>
    </row>
    <row r="29" ht="15.75" customHeight="1" s="57">
      <c r="A29" s="6" t="inlineStr">
        <is>
          <t>2026-08-10</t>
        </is>
      </c>
      <c r="B29" s="6" t="inlineStr">
        <is>
          <t>WITHDRAWAL</t>
        </is>
      </c>
      <c r="C29" s="7" t="n">
        <v>16.58</v>
      </c>
      <c r="D29" s="6" t="inlineStr">
        <is>
          <t>Brokerage &amp; taxes on EXCELSOFT SELL (8 qty @ 77.58)</t>
        </is>
      </c>
      <c r="E29" s="2" t="n"/>
      <c r="F29" s="2" t="n"/>
    </row>
    <row r="30" ht="15.75" customHeight="1" s="57">
      <c r="A30" s="6" t="inlineStr">
        <is>
          <t>2026-08-11</t>
        </is>
      </c>
      <c r="B30" s="6" t="inlineStr">
        <is>
          <t>WITHDRAWAL</t>
        </is>
      </c>
      <c r="C30" s="7" t="n">
        <v>1.56</v>
      </c>
      <c r="D30" s="6" t="inlineStr">
        <is>
          <t>Brokerage &amp; taxes on HARSHA BUY (3 qty @ 432.60)</t>
        </is>
      </c>
      <c r="E30" s="2" t="n"/>
      <c r="F30" s="2" t="n"/>
    </row>
    <row r="31" ht="15.75" customHeight="1" s="57">
      <c r="A31" s="6" t="inlineStr">
        <is>
          <t>2026-08-11</t>
        </is>
      </c>
      <c r="B31" s="6" t="inlineStr">
        <is>
          <t>WITHDRAWAL</t>
        </is>
      </c>
      <c r="C31" s="7" t="n">
        <v>0.99</v>
      </c>
      <c r="D31" s="6" t="inlineStr">
        <is>
          <t>Brokerage &amp; taxes on CONFIPET BUY (10 qty @ 82.74)</t>
        </is>
      </c>
      <c r="E31" s="2" t="n"/>
      <c r="F31" s="2" t="n"/>
    </row>
    <row r="32" ht="15.75" customHeight="1" s="57">
      <c r="A32" s="2" t="inlineStr">
        <is>
          <t>2026-08-12</t>
        </is>
      </c>
      <c r="B32" s="2" t="inlineStr">
        <is>
          <t>WITHDRAWAL</t>
        </is>
      </c>
      <c r="C32" s="7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57">
      <c r="A33" s="2" t="inlineStr">
        <is>
          <t>2026-08-12</t>
        </is>
      </c>
      <c r="B33" s="2" t="inlineStr">
        <is>
          <t>WITHDRAWAL</t>
        </is>
      </c>
      <c r="C33" s="7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57">
      <c r="A34" s="2" t="inlineStr">
        <is>
          <t>2026-08-12</t>
        </is>
      </c>
      <c r="B34" s="2" t="inlineStr">
        <is>
          <t>WITHDRAWAL</t>
        </is>
      </c>
      <c r="C34" s="7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57">
      <c r="A35" s="2" t="inlineStr">
        <is>
          <t>2026-08-12</t>
        </is>
      </c>
      <c r="B35" s="2" t="inlineStr">
        <is>
          <t>WITHDRAWAL</t>
        </is>
      </c>
      <c r="C35" s="7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57">
      <c r="A36" s="2" t="n"/>
      <c r="B36" s="2" t="n"/>
      <c r="C36" s="2" t="n"/>
      <c r="D36" s="2" t="n"/>
      <c r="E36" s="2" t="n"/>
      <c r="F36" s="2" t="n"/>
    </row>
    <row r="37" ht="15.75" customHeight="1" s="57">
      <c r="A37" s="2" t="n"/>
      <c r="B37" s="2" t="n"/>
      <c r="C37" s="2" t="n"/>
      <c r="D37" s="2" t="n"/>
      <c r="E37" s="2" t="n"/>
      <c r="F37" s="2" t="n"/>
    </row>
    <row r="38" ht="15.75" customHeight="1" s="57">
      <c r="A38" s="2" t="n"/>
      <c r="B38" s="2" t="n"/>
      <c r="C38" s="2" t="n"/>
      <c r="D38" s="2" t="n"/>
      <c r="E38" s="2" t="n"/>
      <c r="F38" s="2" t="n"/>
    </row>
    <row r="39" ht="15.75" customHeight="1" s="57">
      <c r="A39" s="2" t="n"/>
      <c r="B39" s="2" t="n"/>
      <c r="C39" s="2" t="n"/>
      <c r="D39" s="2" t="n"/>
      <c r="E39" s="2" t="n"/>
      <c r="F39" s="2" t="n"/>
    </row>
    <row r="40" ht="15.75" customHeight="1" s="57">
      <c r="A40" s="2" t="n"/>
      <c r="B40" s="2" t="n"/>
      <c r="C40" s="2" t="n"/>
      <c r="D40" s="2" t="n"/>
      <c r="E40" s="2" t="n"/>
      <c r="F40" s="2" t="n"/>
    </row>
    <row r="41" ht="15.75" customHeight="1" s="57">
      <c r="A41" s="2" t="n"/>
      <c r="B41" s="2" t="n"/>
      <c r="C41" s="2" t="n"/>
      <c r="D41" s="2" t="n"/>
      <c r="E41" s="2" t="n"/>
      <c r="F41" s="2" t="n"/>
    </row>
    <row r="42" ht="15.75" customHeight="1" s="57">
      <c r="A42" s="2" t="n"/>
      <c r="B42" s="2" t="n"/>
      <c r="C42" s="2" t="n"/>
      <c r="D42" s="2" t="n"/>
      <c r="E42" s="2" t="n"/>
      <c r="F42" s="2" t="n"/>
    </row>
    <row r="43" ht="15.75" customHeight="1" s="57">
      <c r="A43" s="2" t="n"/>
      <c r="B43" s="2" t="n"/>
      <c r="C43" s="2" t="n"/>
      <c r="D43" s="2" t="n"/>
      <c r="E43" s="2" t="n"/>
      <c r="F43" s="2" t="n"/>
    </row>
    <row r="44" ht="15.75" customHeight="1" s="57">
      <c r="A44" s="2" t="n"/>
      <c r="B44" s="2" t="n"/>
      <c r="C44" s="2" t="n"/>
      <c r="D44" s="2" t="n"/>
      <c r="E44" s="2" t="n"/>
      <c r="F44" s="2" t="n"/>
    </row>
    <row r="45" ht="15.75" customHeight="1" s="57">
      <c r="A45" s="2" t="n"/>
      <c r="B45" s="2" t="n"/>
      <c r="C45" s="2" t="n"/>
      <c r="D45" s="2" t="n"/>
      <c r="E45" s="2" t="n"/>
      <c r="F45" s="2" t="n"/>
    </row>
    <row r="46" ht="15.75" customHeight="1" s="57">
      <c r="A46" s="2" t="n"/>
      <c r="B46" s="2" t="n"/>
      <c r="C46" s="2" t="n"/>
      <c r="D46" s="2" t="n"/>
      <c r="E46" s="2" t="n"/>
      <c r="F46" s="2" t="n"/>
    </row>
    <row r="47" ht="15.75" customHeight="1" s="57">
      <c r="A47" s="2" t="n"/>
      <c r="B47" s="2" t="n"/>
      <c r="C47" s="2" t="n"/>
      <c r="D47" s="2" t="n"/>
      <c r="E47" s="2" t="n"/>
      <c r="F47" s="2" t="n"/>
    </row>
    <row r="48" ht="15.75" customHeight="1" s="57">
      <c r="A48" s="2" t="n"/>
      <c r="B48" s="2" t="n"/>
      <c r="C48" s="2" t="n"/>
      <c r="D48" s="2" t="n"/>
      <c r="E48" s="2" t="n"/>
      <c r="F48" s="2" t="n"/>
    </row>
    <row r="49" ht="15.75" customHeight="1" s="57">
      <c r="A49" s="2" t="n"/>
      <c r="B49" s="2" t="n"/>
      <c r="C49" s="2" t="n"/>
      <c r="D49" s="2" t="n"/>
      <c r="E49" s="2" t="n"/>
      <c r="F49" s="2" t="n"/>
    </row>
    <row r="50" ht="15.75" customHeight="1" s="57">
      <c r="A50" s="2" t="n"/>
      <c r="B50" s="2" t="n"/>
      <c r="C50" s="2" t="n"/>
      <c r="D50" s="2" t="n"/>
      <c r="E50" s="2" t="n"/>
      <c r="F50" s="2" t="n"/>
    </row>
    <row r="51" ht="15.75" customHeight="1" s="57">
      <c r="A51" s="2" t="n"/>
      <c r="B51" s="2" t="n"/>
      <c r="C51" s="2" t="n"/>
      <c r="D51" s="2" t="n"/>
      <c r="E51" s="2" t="n"/>
      <c r="F51" s="2" t="n"/>
    </row>
    <row r="52" ht="15.75" customHeight="1" s="57">
      <c r="A52" s="2" t="n"/>
      <c r="B52" s="2" t="n"/>
      <c r="C52" s="2" t="n"/>
      <c r="D52" s="2" t="n"/>
      <c r="E52" s="2" t="n"/>
      <c r="F52" s="2" t="n"/>
    </row>
    <row r="53" ht="15.75" customHeight="1" s="57">
      <c r="A53" s="2" t="n"/>
      <c r="B53" s="2" t="n"/>
      <c r="C53" s="2" t="n"/>
      <c r="D53" s="2" t="n"/>
      <c r="E53" s="2" t="n"/>
      <c r="F53" s="2" t="n"/>
    </row>
    <row r="54" ht="15.75" customHeight="1" s="57">
      <c r="A54" s="2" t="n"/>
      <c r="B54" s="2" t="n"/>
      <c r="C54" s="2" t="n"/>
      <c r="D54" s="2" t="n"/>
      <c r="E54" s="2" t="n"/>
      <c r="F54" s="2" t="n"/>
    </row>
    <row r="55" ht="15.75" customHeight="1" s="57">
      <c r="A55" s="2" t="n"/>
      <c r="B55" s="2" t="n"/>
      <c r="C55" s="2" t="n"/>
      <c r="D55" s="2" t="n"/>
      <c r="E55" s="2" t="n"/>
      <c r="F55" s="2" t="n"/>
    </row>
    <row r="56" ht="15.75" customHeight="1" s="57">
      <c r="A56" s="2" t="n"/>
      <c r="B56" s="2" t="n"/>
      <c r="C56" s="2" t="n"/>
      <c r="D56" s="2" t="n"/>
      <c r="E56" s="2" t="n"/>
      <c r="F56" s="2" t="n"/>
    </row>
    <row r="57" ht="15.75" customHeight="1" s="57">
      <c r="A57" s="2" t="n"/>
      <c r="B57" s="2" t="n"/>
      <c r="C57" s="2" t="n"/>
      <c r="D57" s="2" t="n"/>
      <c r="E57" s="2" t="n"/>
      <c r="F57" s="2" t="n"/>
    </row>
    <row r="58" ht="15.75" customHeight="1" s="57">
      <c r="A58" s="2" t="n"/>
      <c r="B58" s="2" t="n"/>
      <c r="C58" s="2" t="n"/>
      <c r="D58" s="2" t="n"/>
      <c r="E58" s="2" t="n"/>
      <c r="F58" s="2" t="n"/>
    </row>
    <row r="59" ht="15.75" customHeight="1" s="57">
      <c r="A59" s="2" t="n"/>
      <c r="B59" s="2" t="n"/>
      <c r="C59" s="2" t="n"/>
      <c r="D59" s="2" t="n"/>
      <c r="E59" s="2" t="n"/>
      <c r="F59" s="2" t="n"/>
    </row>
    <row r="60" ht="15.75" customHeight="1" s="57">
      <c r="A60" s="2" t="n"/>
      <c r="B60" s="2" t="n"/>
      <c r="C60" s="2" t="n"/>
      <c r="D60" s="2" t="n"/>
      <c r="E60" s="2" t="n"/>
      <c r="F60" s="2" t="n"/>
    </row>
    <row r="61" ht="15.75" customHeight="1" s="57">
      <c r="A61" s="2" t="n"/>
      <c r="B61" s="2" t="n"/>
      <c r="C61" s="2" t="n"/>
      <c r="D61" s="2" t="n"/>
      <c r="E61" s="2" t="n"/>
      <c r="F61" s="2" t="n"/>
    </row>
    <row r="62" ht="15.75" customHeight="1" s="57">
      <c r="A62" s="2" t="n"/>
      <c r="B62" s="2" t="n"/>
      <c r="C62" s="2" t="n"/>
      <c r="D62" s="2" t="n"/>
      <c r="E62" s="2" t="n"/>
      <c r="F62" s="2" t="n"/>
    </row>
    <row r="63" ht="15.75" customHeight="1" s="57">
      <c r="A63" s="2" t="n"/>
      <c r="B63" s="2" t="n"/>
      <c r="C63" s="2" t="n"/>
      <c r="D63" s="2" t="n"/>
      <c r="E63" s="2" t="n"/>
      <c r="F63" s="2" t="n"/>
    </row>
    <row r="64" ht="15.75" customHeight="1" s="57">
      <c r="A64" s="2" t="n"/>
      <c r="B64" s="2" t="n"/>
      <c r="C64" s="2" t="n"/>
      <c r="D64" s="2" t="n"/>
      <c r="E64" s="2" t="n"/>
      <c r="F64" s="2" t="n"/>
    </row>
    <row r="65" ht="15.75" customHeight="1" s="57">
      <c r="A65" s="2" t="n"/>
      <c r="B65" s="2" t="n"/>
      <c r="C65" s="2" t="n"/>
      <c r="D65" s="2" t="n"/>
      <c r="E65" s="2" t="n"/>
      <c r="F65" s="2" t="n"/>
    </row>
    <row r="66" ht="15.75" customHeight="1" s="57">
      <c r="A66" s="2" t="n"/>
      <c r="B66" s="2" t="n"/>
      <c r="C66" s="2" t="n"/>
      <c r="D66" s="2" t="n"/>
      <c r="E66" s="2" t="n"/>
      <c r="F66" s="2" t="n"/>
    </row>
    <row r="67" ht="15.75" customHeight="1" s="57">
      <c r="A67" s="2" t="n"/>
      <c r="B67" s="2" t="n"/>
      <c r="C67" s="2" t="n"/>
      <c r="D67" s="2" t="n"/>
      <c r="E67" s="2" t="n"/>
      <c r="F67" s="2" t="n"/>
    </row>
    <row r="68" ht="15.75" customHeight="1" s="57">
      <c r="A68" s="2" t="n"/>
      <c r="B68" s="2" t="n"/>
      <c r="C68" s="2" t="n"/>
      <c r="D68" s="2" t="n"/>
      <c r="E68" s="2" t="n"/>
      <c r="F68" s="2" t="n"/>
    </row>
    <row r="69" ht="15.75" customHeight="1" s="57">
      <c r="A69" s="2" t="n"/>
      <c r="B69" s="2" t="n"/>
      <c r="C69" s="2" t="n"/>
      <c r="D69" s="2" t="n"/>
      <c r="E69" s="2" t="n"/>
      <c r="F69" s="2" t="n"/>
    </row>
    <row r="70" ht="15.75" customHeight="1" s="57">
      <c r="A70" s="2" t="n"/>
      <c r="B70" s="2" t="n"/>
      <c r="C70" s="2" t="n"/>
      <c r="D70" s="2" t="n"/>
      <c r="E70" s="2" t="n"/>
      <c r="F70" s="2" t="n"/>
    </row>
    <row r="71" ht="15.75" customHeight="1" s="57">
      <c r="A71" s="2" t="n"/>
      <c r="B71" s="2" t="n"/>
      <c r="C71" s="2" t="n"/>
      <c r="D71" s="2" t="n"/>
      <c r="E71" s="2" t="n"/>
      <c r="F71" s="2" t="n"/>
    </row>
    <row r="72" ht="15.75" customHeight="1" s="57">
      <c r="A72" s="2" t="n"/>
      <c r="B72" s="2" t="n"/>
      <c r="C72" s="2" t="n"/>
      <c r="D72" s="2" t="n"/>
      <c r="E72" s="2" t="n"/>
      <c r="F72" s="2" t="n"/>
    </row>
    <row r="73" ht="15.75" customHeight="1" s="57">
      <c r="A73" s="2" t="n"/>
      <c r="B73" s="2" t="n"/>
      <c r="C73" s="2" t="n"/>
      <c r="D73" s="2" t="n"/>
      <c r="E73" s="2" t="n"/>
      <c r="F73" s="2" t="n"/>
    </row>
    <row r="74" ht="15.75" customHeight="1" s="57">
      <c r="A74" s="2" t="n"/>
      <c r="B74" s="2" t="n"/>
      <c r="C74" s="2" t="n"/>
      <c r="D74" s="2" t="n"/>
      <c r="E74" s="2" t="n"/>
      <c r="F74" s="2" t="n"/>
    </row>
    <row r="75" ht="15.75" customHeight="1" s="57">
      <c r="A75" s="2" t="n"/>
      <c r="B75" s="2" t="n"/>
      <c r="C75" s="2" t="n"/>
      <c r="D75" s="2" t="n"/>
      <c r="E75" s="2" t="n"/>
      <c r="F75" s="2" t="n"/>
    </row>
    <row r="76" ht="15.75" customHeight="1" s="57">
      <c r="A76" s="2" t="n"/>
      <c r="B76" s="2" t="n"/>
      <c r="C76" s="2" t="n"/>
      <c r="D76" s="2" t="n"/>
      <c r="E76" s="2" t="n"/>
      <c r="F76" s="2" t="n"/>
    </row>
    <row r="77" ht="15.75" customHeight="1" s="57">
      <c r="A77" s="2" t="n"/>
      <c r="B77" s="2" t="n"/>
      <c r="C77" s="2" t="n"/>
      <c r="D77" s="2" t="n"/>
      <c r="E77" s="2" t="n"/>
      <c r="F77" s="2" t="n"/>
    </row>
    <row r="78" ht="15.75" customHeight="1" s="57">
      <c r="A78" s="2" t="n"/>
      <c r="B78" s="2" t="n"/>
      <c r="C78" s="2" t="n"/>
      <c r="D78" s="2" t="n"/>
      <c r="E78" s="2" t="n"/>
      <c r="F78" s="2" t="n"/>
    </row>
    <row r="79" ht="15.75" customHeight="1" s="57">
      <c r="A79" s="2" t="n"/>
      <c r="B79" s="2" t="n"/>
      <c r="C79" s="2" t="n"/>
      <c r="D79" s="2" t="n"/>
      <c r="E79" s="2" t="n"/>
      <c r="F79" s="2" t="n"/>
    </row>
    <row r="80" ht="15.75" customHeight="1" s="57">
      <c r="A80" s="2" t="n"/>
      <c r="B80" s="2" t="n"/>
      <c r="C80" s="2" t="n"/>
      <c r="D80" s="2" t="n"/>
      <c r="E80" s="2" t="n"/>
      <c r="F80" s="2" t="n"/>
    </row>
    <row r="81" ht="15.75" customHeight="1" s="57">
      <c r="A81" s="2" t="n"/>
      <c r="B81" s="2" t="n"/>
      <c r="C81" s="2" t="n"/>
      <c r="D81" s="2" t="n"/>
      <c r="E81" s="2" t="n"/>
      <c r="F81" s="2" t="n"/>
    </row>
    <row r="82" ht="15.75" customHeight="1" s="57">
      <c r="A82" s="2" t="n"/>
      <c r="B82" s="2" t="n"/>
      <c r="C82" s="2" t="n"/>
      <c r="D82" s="2" t="n"/>
      <c r="E82" s="2" t="n"/>
      <c r="F82" s="2" t="n"/>
    </row>
    <row r="83" ht="15.75" customHeight="1" s="57">
      <c r="A83" s="2" t="n"/>
      <c r="B83" s="2" t="n"/>
      <c r="C83" s="2" t="n"/>
      <c r="D83" s="2" t="n"/>
      <c r="E83" s="2" t="n"/>
      <c r="F83" s="2" t="n"/>
    </row>
    <row r="84" ht="15.75" customHeight="1" s="57">
      <c r="A84" s="2" t="n"/>
      <c r="B84" s="2" t="n"/>
      <c r="C84" s="2" t="n"/>
      <c r="D84" s="2" t="n"/>
      <c r="E84" s="2" t="n"/>
      <c r="F84" s="2" t="n"/>
    </row>
    <row r="85" ht="15.75" customHeight="1" s="57">
      <c r="A85" s="2" t="n"/>
      <c r="B85" s="2" t="n"/>
      <c r="C85" s="2" t="n"/>
      <c r="D85" s="2" t="n"/>
      <c r="E85" s="2" t="n"/>
      <c r="F85" s="2" t="n"/>
    </row>
    <row r="86" ht="15.75" customHeight="1" s="57">
      <c r="A86" s="2" t="n"/>
      <c r="B86" s="2" t="n"/>
      <c r="C86" s="2" t="n"/>
      <c r="D86" s="2" t="n"/>
      <c r="E86" s="2" t="n"/>
      <c r="F86" s="2" t="n"/>
    </row>
    <row r="87" ht="15.75" customHeight="1" s="57">
      <c r="A87" s="2" t="n"/>
      <c r="B87" s="2" t="n"/>
      <c r="C87" s="2" t="n"/>
      <c r="D87" s="2" t="n"/>
      <c r="E87" s="2" t="n"/>
      <c r="F87" s="2" t="n"/>
    </row>
    <row r="88" ht="15.75" customHeight="1" s="57">
      <c r="A88" s="2" t="n"/>
      <c r="B88" s="2" t="n"/>
      <c r="C88" s="2" t="n"/>
      <c r="D88" s="2" t="n"/>
      <c r="E88" s="2" t="n"/>
      <c r="F88" s="2" t="n"/>
    </row>
    <row r="89" ht="15.75" customHeight="1" s="57">
      <c r="A89" s="2" t="n"/>
      <c r="B89" s="2" t="n"/>
      <c r="C89" s="2" t="n"/>
      <c r="D89" s="2" t="n"/>
      <c r="E89" s="2" t="n"/>
      <c r="F89" s="2" t="n"/>
    </row>
    <row r="90" ht="15.75" customHeight="1" s="57">
      <c r="A90" s="2" t="n"/>
      <c r="B90" s="2" t="n"/>
      <c r="C90" s="2" t="n"/>
      <c r="D90" s="2" t="n"/>
      <c r="E90" s="2" t="n"/>
      <c r="F90" s="2" t="n"/>
    </row>
    <row r="91" ht="15.75" customHeight="1" s="57">
      <c r="A91" s="2" t="n"/>
      <c r="B91" s="2" t="n"/>
      <c r="C91" s="2" t="n"/>
      <c r="D91" s="2" t="n"/>
      <c r="E91" s="2" t="n"/>
      <c r="F91" s="2" t="n"/>
    </row>
    <row r="92" ht="15.75" customHeight="1" s="57">
      <c r="A92" s="2" t="n"/>
      <c r="B92" s="2" t="n"/>
      <c r="C92" s="2" t="n"/>
      <c r="D92" s="2" t="n"/>
      <c r="E92" s="2" t="n"/>
      <c r="F92" s="2" t="n"/>
    </row>
    <row r="93" ht="15.75" customHeight="1" s="57">
      <c r="A93" s="2" t="n"/>
      <c r="B93" s="2" t="n"/>
      <c r="C93" s="2" t="n"/>
      <c r="D93" s="2" t="n"/>
      <c r="E93" s="2" t="n"/>
      <c r="F93" s="2" t="n"/>
    </row>
    <row r="94" ht="15.75" customHeight="1" s="57">
      <c r="A94" s="2" t="n"/>
      <c r="B94" s="2" t="n"/>
      <c r="C94" s="2" t="n"/>
      <c r="D94" s="2" t="n"/>
      <c r="E94" s="2" t="n"/>
      <c r="F94" s="2" t="n"/>
    </row>
    <row r="95" ht="15.75" customHeight="1" s="57">
      <c r="A95" s="2" t="n"/>
      <c r="B95" s="2" t="n"/>
      <c r="C95" s="2" t="n"/>
      <c r="D95" s="2" t="n"/>
      <c r="E95" s="2" t="n"/>
      <c r="F95" s="2" t="n"/>
    </row>
    <row r="96" ht="15.75" customHeight="1" s="57">
      <c r="A96" s="2" t="n"/>
      <c r="B96" s="2" t="n"/>
      <c r="C96" s="2" t="n"/>
      <c r="D96" s="2" t="n"/>
      <c r="E96" s="2" t="n"/>
      <c r="F96" s="2" t="n"/>
    </row>
    <row r="97" ht="15.75" customHeight="1" s="57">
      <c r="A97" s="2" t="n"/>
      <c r="B97" s="2" t="n"/>
      <c r="C97" s="2" t="n"/>
      <c r="D97" s="2" t="n"/>
      <c r="E97" s="2" t="n"/>
      <c r="F97" s="2" t="n"/>
    </row>
    <row r="98" ht="15.75" customHeight="1" s="57">
      <c r="A98" s="2" t="n"/>
      <c r="B98" s="2" t="n"/>
      <c r="C98" s="2" t="n"/>
      <c r="D98" s="2" t="n"/>
      <c r="E98" s="2" t="n"/>
      <c r="F98" s="2" t="n"/>
    </row>
    <row r="99" ht="15.75" customHeight="1" s="57">
      <c r="A99" s="2" t="n"/>
      <c r="B99" s="2" t="n"/>
      <c r="C99" s="2" t="n"/>
      <c r="D99" s="2" t="n"/>
      <c r="E99" s="2" t="n"/>
      <c r="F99" s="2" t="n"/>
    </row>
    <row r="100" ht="15.75" customHeight="1" s="57">
      <c r="A100" s="2" t="n"/>
      <c r="B100" s="2" t="n"/>
      <c r="C100" s="2" t="n"/>
      <c r="D100" s="2" t="n"/>
      <c r="E100" s="2" t="n"/>
      <c r="F100" s="2" t="n"/>
    </row>
    <row r="101" ht="15.75" customHeight="1" s="57">
      <c r="A101" s="2" t="n"/>
      <c r="B101" s="2" t="n"/>
      <c r="C101" s="2" t="n"/>
      <c r="D101" s="2" t="n"/>
      <c r="E101" s="2" t="n"/>
      <c r="F101" s="2" t="n"/>
    </row>
    <row r="102" ht="15.75" customHeight="1" s="57">
      <c r="A102" s="2" t="n"/>
      <c r="B102" s="2" t="n"/>
      <c r="C102" s="2" t="n"/>
      <c r="D102" s="2" t="n"/>
      <c r="E102" s="2" t="n"/>
      <c r="F102" s="2" t="n"/>
    </row>
    <row r="103" ht="15.75" customHeight="1" s="57">
      <c r="A103" s="2" t="n"/>
      <c r="B103" s="2" t="n"/>
      <c r="C103" s="2" t="n"/>
      <c r="D103" s="2" t="n"/>
      <c r="E103" s="2" t="n"/>
      <c r="F103" s="2" t="n"/>
    </row>
    <row r="104" ht="15.75" customHeight="1" s="57">
      <c r="A104" s="2" t="n"/>
      <c r="B104" s="2" t="n"/>
      <c r="C104" s="2" t="n"/>
      <c r="D104" s="2" t="n"/>
      <c r="E104" s="2" t="n"/>
      <c r="F104" s="2" t="n"/>
    </row>
    <row r="105" ht="15.75" customHeight="1" s="57">
      <c r="A105" s="2" t="n"/>
      <c r="B105" s="2" t="n"/>
      <c r="C105" s="2" t="n"/>
      <c r="D105" s="2" t="n"/>
      <c r="E105" s="2" t="n"/>
      <c r="F105" s="2" t="n"/>
    </row>
    <row r="106" ht="15.75" customHeight="1" s="57">
      <c r="A106" s="2" t="n"/>
      <c r="B106" s="2" t="n"/>
      <c r="C106" s="2" t="n"/>
      <c r="D106" s="2" t="n"/>
      <c r="E106" s="2" t="n"/>
      <c r="F106" s="2" t="n"/>
    </row>
    <row r="107" ht="15.75" customHeight="1" s="57">
      <c r="A107" s="2" t="n"/>
      <c r="B107" s="2" t="n"/>
      <c r="C107" s="2" t="n"/>
      <c r="D107" s="2" t="n"/>
      <c r="E107" s="2" t="n"/>
      <c r="F107" s="2" t="n"/>
    </row>
    <row r="108" ht="15.75" customHeight="1" s="57">
      <c r="A108" s="2" t="n"/>
      <c r="B108" s="2" t="n"/>
      <c r="C108" s="2" t="n"/>
      <c r="D108" s="2" t="n"/>
      <c r="E108" s="2" t="n"/>
      <c r="F108" s="2" t="n"/>
    </row>
    <row r="109" ht="15.75" customHeight="1" s="57">
      <c r="A109" s="2" t="n"/>
      <c r="B109" s="2" t="n"/>
      <c r="C109" s="2" t="n"/>
      <c r="D109" s="2" t="n"/>
      <c r="E109" s="2" t="n"/>
      <c r="F109" s="2" t="n"/>
    </row>
    <row r="110" ht="15.75" customHeight="1" s="57">
      <c r="A110" s="2" t="n"/>
      <c r="B110" s="2" t="n"/>
      <c r="C110" s="2" t="n"/>
      <c r="D110" s="2" t="n"/>
      <c r="E110" s="2" t="n"/>
      <c r="F110" s="2" t="n"/>
    </row>
    <row r="111" ht="15.75" customHeight="1" s="57">
      <c r="A111" s="2" t="n"/>
      <c r="B111" s="2" t="n"/>
      <c r="C111" s="2" t="n"/>
      <c r="D111" s="2" t="n"/>
      <c r="E111" s="2" t="n"/>
      <c r="F111" s="2" t="n"/>
    </row>
    <row r="112" ht="15.75" customHeight="1" s="57">
      <c r="A112" s="2" t="n"/>
      <c r="B112" s="2" t="n"/>
      <c r="C112" s="2" t="n"/>
      <c r="D112" s="2" t="n"/>
      <c r="E112" s="2" t="n"/>
      <c r="F112" s="2" t="n"/>
    </row>
    <row r="113" ht="15.75" customHeight="1" s="57">
      <c r="A113" s="2" t="n"/>
      <c r="B113" s="2" t="n"/>
      <c r="C113" s="2" t="n"/>
      <c r="D113" s="2" t="n"/>
      <c r="E113" s="2" t="n"/>
      <c r="F113" s="2" t="n"/>
    </row>
    <row r="114" ht="15.75" customHeight="1" s="57">
      <c r="A114" s="2" t="n"/>
      <c r="B114" s="2" t="n"/>
      <c r="C114" s="2" t="n"/>
      <c r="D114" s="2" t="n"/>
      <c r="E114" s="2" t="n"/>
      <c r="F114" s="2" t="n"/>
    </row>
    <row r="115" ht="15.75" customHeight="1" s="57">
      <c r="A115" s="2" t="n"/>
      <c r="B115" s="2" t="n"/>
      <c r="C115" s="2" t="n"/>
      <c r="D115" s="2" t="n"/>
      <c r="E115" s="2" t="n"/>
      <c r="F115" s="2" t="n"/>
    </row>
    <row r="116" ht="15.75" customHeight="1" s="57">
      <c r="A116" s="2" t="n"/>
      <c r="B116" s="2" t="n"/>
      <c r="C116" s="2" t="n"/>
      <c r="D116" s="2" t="n"/>
      <c r="E116" s="2" t="n"/>
      <c r="F116" s="2" t="n"/>
    </row>
    <row r="117" ht="15.75" customHeight="1" s="57">
      <c r="A117" s="2" t="n"/>
      <c r="B117" s="2" t="n"/>
      <c r="C117" s="2" t="n"/>
      <c r="D117" s="2" t="n"/>
      <c r="E117" s="2" t="n"/>
      <c r="F117" s="2" t="n"/>
    </row>
    <row r="118" ht="15.75" customHeight="1" s="57">
      <c r="A118" s="2" t="n"/>
      <c r="B118" s="2" t="n"/>
      <c r="C118" s="2" t="n"/>
      <c r="D118" s="2" t="n"/>
      <c r="E118" s="2" t="n"/>
      <c r="F118" s="2" t="n"/>
    </row>
    <row r="119" ht="15.75" customHeight="1" s="57">
      <c r="A119" s="2" t="n"/>
      <c r="B119" s="2" t="n"/>
      <c r="C119" s="2" t="n"/>
      <c r="D119" s="2" t="n"/>
      <c r="E119" s="2" t="n"/>
      <c r="F119" s="2" t="n"/>
    </row>
    <row r="120" ht="15.75" customHeight="1" s="57">
      <c r="A120" s="2" t="n"/>
      <c r="B120" s="2" t="n"/>
      <c r="C120" s="2" t="n"/>
      <c r="D120" s="2" t="n"/>
      <c r="E120" s="2" t="n"/>
      <c r="F120" s="2" t="n"/>
    </row>
    <row r="121" ht="15.75" customHeight="1" s="57">
      <c r="A121" s="2" t="n"/>
      <c r="B121" s="2" t="n"/>
      <c r="C121" s="2" t="n"/>
      <c r="D121" s="2" t="n"/>
      <c r="E121" s="2" t="n"/>
      <c r="F121" s="2" t="n"/>
    </row>
    <row r="122" ht="15.75" customHeight="1" s="57">
      <c r="A122" s="2" t="n"/>
      <c r="B122" s="2" t="n"/>
      <c r="C122" s="2" t="n"/>
      <c r="D122" s="2" t="n"/>
      <c r="E122" s="2" t="n"/>
      <c r="F122" s="2" t="n"/>
    </row>
    <row r="123" ht="15.75" customHeight="1" s="57">
      <c r="A123" s="2" t="n"/>
      <c r="B123" s="2" t="n"/>
      <c r="C123" s="2" t="n"/>
      <c r="D123" s="2" t="n"/>
      <c r="E123" s="2" t="n"/>
      <c r="F123" s="2" t="n"/>
    </row>
    <row r="124" ht="15.75" customHeight="1" s="57">
      <c r="A124" s="2" t="n"/>
      <c r="B124" s="2" t="n"/>
      <c r="C124" s="2" t="n"/>
      <c r="D124" s="2" t="n"/>
      <c r="E124" s="2" t="n"/>
      <c r="F124" s="2" t="n"/>
    </row>
    <row r="125" ht="15.75" customHeight="1" s="57">
      <c r="A125" s="2" t="n"/>
      <c r="B125" s="2" t="n"/>
      <c r="C125" s="2" t="n"/>
      <c r="D125" s="2" t="n"/>
      <c r="E125" s="2" t="n"/>
      <c r="F125" s="2" t="n"/>
    </row>
    <row r="126" ht="15.75" customHeight="1" s="57">
      <c r="A126" s="2" t="n"/>
      <c r="B126" s="2" t="n"/>
      <c r="C126" s="2" t="n"/>
      <c r="D126" s="2" t="n"/>
      <c r="E126" s="2" t="n"/>
      <c r="F126" s="2" t="n"/>
    </row>
    <row r="127" ht="15.75" customHeight="1" s="57">
      <c r="A127" s="2" t="n"/>
      <c r="B127" s="2" t="n"/>
      <c r="C127" s="2" t="n"/>
      <c r="D127" s="2" t="n"/>
      <c r="E127" s="2" t="n"/>
      <c r="F127" s="2" t="n"/>
    </row>
    <row r="128" ht="15.75" customHeight="1" s="57">
      <c r="A128" s="2" t="n"/>
      <c r="B128" s="2" t="n"/>
      <c r="C128" s="2" t="n"/>
      <c r="D128" s="2" t="n"/>
      <c r="E128" s="2" t="n"/>
      <c r="F128" s="2" t="n"/>
    </row>
    <row r="129" ht="15.75" customHeight="1" s="57">
      <c r="A129" s="2" t="n"/>
      <c r="B129" s="2" t="n"/>
      <c r="C129" s="2" t="n"/>
      <c r="D129" s="2" t="n"/>
      <c r="E129" s="2" t="n"/>
      <c r="F129" s="2" t="n"/>
    </row>
    <row r="130" ht="15.75" customHeight="1" s="57">
      <c r="A130" s="2" t="n"/>
      <c r="B130" s="2" t="n"/>
      <c r="C130" s="2" t="n"/>
      <c r="D130" s="2" t="n"/>
      <c r="E130" s="2" t="n"/>
      <c r="F130" s="2" t="n"/>
    </row>
    <row r="131" ht="15.75" customHeight="1" s="57">
      <c r="A131" s="2" t="n"/>
      <c r="B131" s="2" t="n"/>
      <c r="C131" s="2" t="n"/>
      <c r="D131" s="2" t="n"/>
      <c r="E131" s="2" t="n"/>
      <c r="F131" s="2" t="n"/>
    </row>
    <row r="132" ht="15.75" customHeight="1" s="57">
      <c r="A132" s="2" t="n"/>
      <c r="B132" s="2" t="n"/>
      <c r="C132" s="2" t="n"/>
      <c r="D132" s="2" t="n"/>
      <c r="E132" s="2" t="n"/>
      <c r="F132" s="2" t="n"/>
    </row>
    <row r="133" ht="15.75" customHeight="1" s="57">
      <c r="A133" s="2" t="n"/>
      <c r="B133" s="2" t="n"/>
      <c r="C133" s="2" t="n"/>
      <c r="D133" s="2" t="n"/>
      <c r="E133" s="2" t="n"/>
      <c r="F133" s="2" t="n"/>
    </row>
    <row r="134" ht="15.75" customHeight="1" s="57">
      <c r="A134" s="2" t="n"/>
      <c r="B134" s="2" t="n"/>
      <c r="C134" s="2" t="n"/>
      <c r="D134" s="2" t="n"/>
      <c r="E134" s="2" t="n"/>
      <c r="F134" s="2" t="n"/>
    </row>
    <row r="135" ht="15.75" customHeight="1" s="57">
      <c r="A135" s="2" t="n"/>
      <c r="B135" s="2" t="n"/>
      <c r="C135" s="2" t="n"/>
      <c r="D135" s="2" t="n"/>
      <c r="E135" s="2" t="n"/>
      <c r="F135" s="2" t="n"/>
    </row>
    <row r="136" ht="15.75" customHeight="1" s="57">
      <c r="A136" s="2" t="n"/>
      <c r="B136" s="2" t="n"/>
      <c r="C136" s="2" t="n"/>
      <c r="D136" s="2" t="n"/>
      <c r="E136" s="2" t="n"/>
      <c r="F136" s="2" t="n"/>
    </row>
    <row r="137" ht="15.75" customHeight="1" s="57">
      <c r="A137" s="2" t="n"/>
      <c r="B137" s="2" t="n"/>
      <c r="C137" s="2" t="n"/>
      <c r="D137" s="2" t="n"/>
      <c r="E137" s="2" t="n"/>
      <c r="F137" s="2" t="n"/>
    </row>
    <row r="138" ht="15.75" customHeight="1" s="57">
      <c r="A138" s="2" t="n"/>
      <c r="B138" s="2" t="n"/>
      <c r="C138" s="2" t="n"/>
      <c r="D138" s="2" t="n"/>
      <c r="E138" s="2" t="n"/>
      <c r="F138" s="2" t="n"/>
    </row>
    <row r="139" ht="15.75" customHeight="1" s="57">
      <c r="A139" s="2" t="n"/>
      <c r="B139" s="2" t="n"/>
      <c r="C139" s="2" t="n"/>
      <c r="D139" s="2" t="n"/>
      <c r="E139" s="2" t="n"/>
      <c r="F139" s="2" t="n"/>
    </row>
    <row r="140" ht="15.75" customHeight="1" s="57">
      <c r="A140" s="2" t="n"/>
      <c r="B140" s="2" t="n"/>
      <c r="C140" s="2" t="n"/>
      <c r="D140" s="2" t="n"/>
      <c r="E140" s="2" t="n"/>
      <c r="F140" s="2" t="n"/>
    </row>
    <row r="141" ht="15.75" customHeight="1" s="57">
      <c r="A141" s="2" t="n"/>
      <c r="B141" s="2" t="n"/>
      <c r="C141" s="2" t="n"/>
      <c r="D141" s="2" t="n"/>
      <c r="E141" s="2" t="n"/>
      <c r="F141" s="2" t="n"/>
    </row>
    <row r="142" ht="15.75" customHeight="1" s="57">
      <c r="A142" s="2" t="n"/>
      <c r="B142" s="2" t="n"/>
      <c r="C142" s="2" t="n"/>
      <c r="D142" s="2" t="n"/>
      <c r="E142" s="2" t="n"/>
      <c r="F142" s="2" t="n"/>
    </row>
    <row r="143" ht="15.75" customHeight="1" s="57">
      <c r="A143" s="2" t="n"/>
      <c r="B143" s="2" t="n"/>
      <c r="C143" s="2" t="n"/>
      <c r="D143" s="2" t="n"/>
      <c r="E143" s="2" t="n"/>
      <c r="F143" s="2" t="n"/>
    </row>
    <row r="144" ht="15.75" customHeight="1" s="57">
      <c r="A144" s="2" t="n"/>
      <c r="B144" s="2" t="n"/>
      <c r="C144" s="2" t="n"/>
      <c r="D144" s="2" t="n"/>
      <c r="E144" s="2" t="n"/>
      <c r="F144" s="2" t="n"/>
    </row>
    <row r="145" ht="15.75" customHeight="1" s="57">
      <c r="A145" s="2" t="n"/>
      <c r="B145" s="2" t="n"/>
      <c r="C145" s="2" t="n"/>
      <c r="D145" s="2" t="n"/>
      <c r="E145" s="2" t="n"/>
      <c r="F145" s="2" t="n"/>
    </row>
    <row r="146" ht="15.75" customHeight="1" s="57">
      <c r="A146" s="2" t="n"/>
      <c r="B146" s="2" t="n"/>
      <c r="C146" s="2" t="n"/>
      <c r="D146" s="2" t="n"/>
      <c r="E146" s="2" t="n"/>
      <c r="F146" s="2" t="n"/>
    </row>
    <row r="147" ht="15.75" customHeight="1" s="57">
      <c r="A147" s="2" t="n"/>
      <c r="B147" s="2" t="n"/>
      <c r="C147" s="2" t="n"/>
      <c r="D147" s="2" t="n"/>
      <c r="E147" s="2" t="n"/>
      <c r="F147" s="2" t="n"/>
    </row>
    <row r="148" ht="15.75" customHeight="1" s="57">
      <c r="A148" s="2" t="n"/>
      <c r="B148" s="2" t="n"/>
      <c r="C148" s="2" t="n"/>
      <c r="D148" s="2" t="n"/>
      <c r="E148" s="2" t="n"/>
      <c r="F148" s="2" t="n"/>
    </row>
    <row r="149" ht="15.75" customHeight="1" s="57">
      <c r="A149" s="2" t="n"/>
      <c r="B149" s="2" t="n"/>
      <c r="C149" s="2" t="n"/>
      <c r="D149" s="2" t="n"/>
      <c r="E149" s="2" t="n"/>
      <c r="F149" s="2" t="n"/>
    </row>
    <row r="150" ht="15.75" customHeight="1" s="57">
      <c r="A150" s="2" t="n"/>
      <c r="B150" s="2" t="n"/>
      <c r="C150" s="2" t="n"/>
      <c r="D150" s="2" t="n"/>
      <c r="E150" s="2" t="n"/>
      <c r="F150" s="2" t="n"/>
    </row>
    <row r="151" ht="15.75" customHeight="1" s="57">
      <c r="A151" s="2" t="n"/>
      <c r="B151" s="2" t="n"/>
      <c r="C151" s="2" t="n"/>
      <c r="D151" s="2" t="n"/>
      <c r="E151" s="2" t="n"/>
      <c r="F151" s="2" t="n"/>
    </row>
    <row r="152" ht="15.75" customHeight="1" s="57">
      <c r="A152" s="2" t="n"/>
      <c r="B152" s="2" t="n"/>
      <c r="C152" s="2" t="n"/>
      <c r="D152" s="2" t="n"/>
      <c r="E152" s="2" t="n"/>
      <c r="F152" s="2" t="n"/>
    </row>
    <row r="153" ht="15.75" customHeight="1" s="57">
      <c r="A153" s="2" t="n"/>
      <c r="B153" s="2" t="n"/>
      <c r="C153" s="2" t="n"/>
      <c r="D153" s="2" t="n"/>
      <c r="E153" s="2" t="n"/>
      <c r="F153" s="2" t="n"/>
    </row>
    <row r="154" ht="15.75" customHeight="1" s="57">
      <c r="A154" s="2" t="n"/>
      <c r="B154" s="2" t="n"/>
      <c r="C154" s="2" t="n"/>
      <c r="D154" s="2" t="n"/>
      <c r="E154" s="2" t="n"/>
      <c r="F154" s="2" t="n"/>
    </row>
    <row r="155" ht="15.75" customHeight="1" s="57">
      <c r="A155" s="2" t="n"/>
      <c r="B155" s="2" t="n"/>
      <c r="C155" s="2" t="n"/>
      <c r="D155" s="2" t="n"/>
      <c r="E155" s="2" t="n"/>
      <c r="F155" s="2" t="n"/>
    </row>
    <row r="156" ht="15.75" customHeight="1" s="57">
      <c r="A156" s="2" t="n"/>
      <c r="B156" s="2" t="n"/>
      <c r="C156" s="2" t="n"/>
      <c r="D156" s="2" t="n"/>
      <c r="E156" s="2" t="n"/>
      <c r="F156" s="2" t="n"/>
    </row>
    <row r="157" ht="15.75" customHeight="1" s="57">
      <c r="A157" s="2" t="n"/>
      <c r="B157" s="2" t="n"/>
      <c r="C157" s="2" t="n"/>
      <c r="D157" s="2" t="n"/>
      <c r="E157" s="2" t="n"/>
      <c r="F157" s="2" t="n"/>
    </row>
    <row r="158" ht="15.75" customHeight="1" s="57">
      <c r="A158" s="2" t="n"/>
      <c r="B158" s="2" t="n"/>
      <c r="C158" s="2" t="n"/>
      <c r="D158" s="2" t="n"/>
      <c r="E158" s="2" t="n"/>
      <c r="F158" s="2" t="n"/>
    </row>
    <row r="159" ht="15.75" customHeight="1" s="57">
      <c r="A159" s="2" t="n"/>
      <c r="B159" s="2" t="n"/>
      <c r="C159" s="2" t="n"/>
      <c r="D159" s="2" t="n"/>
      <c r="E159" s="2" t="n"/>
      <c r="F159" s="2" t="n"/>
    </row>
    <row r="160" ht="15.75" customHeight="1" s="57">
      <c r="A160" s="2" t="n"/>
      <c r="B160" s="2" t="n"/>
      <c r="C160" s="2" t="n"/>
      <c r="D160" s="2" t="n"/>
      <c r="E160" s="2" t="n"/>
      <c r="F160" s="2" t="n"/>
    </row>
    <row r="161" ht="15.75" customHeight="1" s="57">
      <c r="A161" s="2" t="n"/>
      <c r="B161" s="2" t="n"/>
      <c r="C161" s="2" t="n"/>
      <c r="D161" s="2" t="n"/>
      <c r="E161" s="2" t="n"/>
      <c r="F161" s="2" t="n"/>
    </row>
    <row r="162" ht="15.75" customHeight="1" s="57">
      <c r="A162" s="2" t="n"/>
      <c r="B162" s="2" t="n"/>
      <c r="C162" s="2" t="n"/>
      <c r="D162" s="2" t="n"/>
      <c r="E162" s="2" t="n"/>
      <c r="F162" s="2" t="n"/>
    </row>
    <row r="163" ht="15.75" customHeight="1" s="57">
      <c r="A163" s="2" t="n"/>
      <c r="B163" s="2" t="n"/>
      <c r="C163" s="2" t="n"/>
      <c r="D163" s="2" t="n"/>
      <c r="E163" s="2" t="n"/>
      <c r="F163" s="2" t="n"/>
    </row>
    <row r="164" ht="15.75" customHeight="1" s="57">
      <c r="A164" s="2" t="n"/>
      <c r="B164" s="2" t="n"/>
      <c r="C164" s="2" t="n"/>
      <c r="D164" s="2" t="n"/>
      <c r="E164" s="2" t="n"/>
      <c r="F164" s="2" t="n"/>
    </row>
    <row r="165" ht="15.75" customHeight="1" s="57">
      <c r="A165" s="2" t="n"/>
      <c r="B165" s="2" t="n"/>
      <c r="C165" s="2" t="n"/>
      <c r="D165" s="2" t="n"/>
      <c r="E165" s="2" t="n"/>
      <c r="F165" s="2" t="n"/>
    </row>
    <row r="166" ht="15.75" customHeight="1" s="57">
      <c r="A166" s="2" t="n"/>
      <c r="B166" s="2" t="n"/>
      <c r="C166" s="2" t="n"/>
      <c r="D166" s="2" t="n"/>
      <c r="E166" s="2" t="n"/>
      <c r="F166" s="2" t="n"/>
    </row>
    <row r="167" ht="15.75" customHeight="1" s="57">
      <c r="A167" s="2" t="n"/>
      <c r="B167" s="2" t="n"/>
      <c r="C167" s="2" t="n"/>
      <c r="D167" s="2" t="n"/>
      <c r="E167" s="2" t="n"/>
      <c r="F167" s="2" t="n"/>
    </row>
    <row r="168" ht="15.75" customHeight="1" s="57">
      <c r="A168" s="2" t="n"/>
      <c r="B168" s="2" t="n"/>
      <c r="C168" s="2" t="n"/>
      <c r="D168" s="2" t="n"/>
      <c r="E168" s="2" t="n"/>
      <c r="F168" s="2" t="n"/>
    </row>
    <row r="169" ht="15.75" customHeight="1" s="57">
      <c r="A169" s="2" t="n"/>
      <c r="B169" s="2" t="n"/>
      <c r="C169" s="2" t="n"/>
      <c r="D169" s="2" t="n"/>
      <c r="E169" s="2" t="n"/>
      <c r="F169" s="2" t="n"/>
    </row>
    <row r="170" ht="15.75" customHeight="1" s="57">
      <c r="A170" s="2" t="n"/>
      <c r="B170" s="2" t="n"/>
      <c r="C170" s="2" t="n"/>
      <c r="D170" s="2" t="n"/>
      <c r="E170" s="2" t="n"/>
      <c r="F170" s="2" t="n"/>
    </row>
    <row r="171" ht="15.75" customHeight="1" s="57">
      <c r="A171" s="2" t="n"/>
      <c r="B171" s="2" t="n"/>
      <c r="C171" s="2" t="n"/>
      <c r="D171" s="2" t="n"/>
      <c r="E171" s="2" t="n"/>
      <c r="F171" s="2" t="n"/>
    </row>
    <row r="172" ht="15.75" customHeight="1" s="57">
      <c r="A172" s="2" t="n"/>
      <c r="B172" s="2" t="n"/>
      <c r="C172" s="2" t="n"/>
      <c r="D172" s="2" t="n"/>
      <c r="E172" s="2" t="n"/>
      <c r="F172" s="2" t="n"/>
    </row>
    <row r="173" ht="15.75" customHeight="1" s="57">
      <c r="A173" s="2" t="n"/>
      <c r="B173" s="2" t="n"/>
      <c r="C173" s="2" t="n"/>
      <c r="D173" s="2" t="n"/>
      <c r="E173" s="2" t="n"/>
      <c r="F173" s="2" t="n"/>
    </row>
    <row r="174" ht="15.75" customHeight="1" s="57">
      <c r="A174" s="2" t="n"/>
      <c r="B174" s="2" t="n"/>
      <c r="C174" s="2" t="n"/>
      <c r="D174" s="2" t="n"/>
      <c r="E174" s="2" t="n"/>
      <c r="F174" s="2" t="n"/>
    </row>
    <row r="175" ht="15.75" customHeight="1" s="57">
      <c r="A175" s="2" t="n"/>
      <c r="B175" s="2" t="n"/>
      <c r="C175" s="2" t="n"/>
      <c r="D175" s="2" t="n"/>
      <c r="E175" s="2" t="n"/>
      <c r="F175" s="2" t="n"/>
    </row>
    <row r="176" ht="15.75" customHeight="1" s="57">
      <c r="A176" s="2" t="n"/>
      <c r="B176" s="2" t="n"/>
      <c r="C176" s="2" t="n"/>
      <c r="D176" s="2" t="n"/>
      <c r="E176" s="2" t="n"/>
      <c r="F176" s="2" t="n"/>
    </row>
    <row r="177" ht="15.75" customHeight="1" s="57">
      <c r="A177" s="2" t="n"/>
      <c r="B177" s="2" t="n"/>
      <c r="C177" s="2" t="n"/>
      <c r="D177" s="2" t="n"/>
      <c r="E177" s="2" t="n"/>
      <c r="F177" s="2" t="n"/>
    </row>
    <row r="178" ht="15.75" customHeight="1" s="57">
      <c r="A178" s="2" t="n"/>
      <c r="B178" s="2" t="n"/>
      <c r="C178" s="2" t="n"/>
      <c r="D178" s="2" t="n"/>
      <c r="E178" s="2" t="n"/>
      <c r="F178" s="2" t="n"/>
    </row>
    <row r="179" ht="15.75" customHeight="1" s="57">
      <c r="A179" s="2" t="n"/>
      <c r="B179" s="2" t="n"/>
      <c r="C179" s="2" t="n"/>
      <c r="D179" s="2" t="n"/>
      <c r="E179" s="2" t="n"/>
      <c r="F179" s="2" t="n"/>
    </row>
    <row r="180" ht="15.75" customHeight="1" s="57">
      <c r="A180" s="2" t="n"/>
      <c r="B180" s="2" t="n"/>
      <c r="C180" s="2" t="n"/>
      <c r="D180" s="2" t="n"/>
      <c r="E180" s="2" t="n"/>
      <c r="F180" s="2" t="n"/>
    </row>
    <row r="181" ht="15.75" customHeight="1" s="57">
      <c r="A181" s="2" t="n"/>
      <c r="B181" s="2" t="n"/>
      <c r="C181" s="2" t="n"/>
      <c r="D181" s="2" t="n"/>
      <c r="E181" s="2" t="n"/>
      <c r="F181" s="2" t="n"/>
    </row>
    <row r="182" ht="15.75" customHeight="1" s="57">
      <c r="A182" s="2" t="n"/>
      <c r="B182" s="2" t="n"/>
      <c r="C182" s="2" t="n"/>
      <c r="D182" s="2" t="n"/>
      <c r="E182" s="2" t="n"/>
      <c r="F182" s="2" t="n"/>
    </row>
    <row r="183" ht="15.75" customHeight="1" s="57">
      <c r="A183" s="2" t="n"/>
      <c r="B183" s="2" t="n"/>
      <c r="C183" s="2" t="n"/>
      <c r="D183" s="2" t="n"/>
      <c r="E183" s="2" t="n"/>
      <c r="F183" s="2" t="n"/>
    </row>
    <row r="184" ht="15.75" customHeight="1" s="57">
      <c r="A184" s="2" t="n"/>
      <c r="B184" s="2" t="n"/>
      <c r="C184" s="2" t="n"/>
      <c r="D184" s="2" t="n"/>
      <c r="E184" s="2" t="n"/>
      <c r="F184" s="2" t="n"/>
    </row>
    <row r="185" ht="15.75" customHeight="1" s="57">
      <c r="A185" s="2" t="n"/>
      <c r="B185" s="2" t="n"/>
      <c r="C185" s="2" t="n"/>
      <c r="D185" s="2" t="n"/>
      <c r="E185" s="2" t="n"/>
      <c r="F185" s="2" t="n"/>
    </row>
    <row r="186" ht="15.75" customHeight="1" s="57">
      <c r="A186" s="2" t="n"/>
      <c r="B186" s="2" t="n"/>
      <c r="C186" s="2" t="n"/>
      <c r="D186" s="2" t="n"/>
      <c r="E186" s="2" t="n"/>
      <c r="F186" s="2" t="n"/>
    </row>
    <row r="187" ht="15.75" customHeight="1" s="57">
      <c r="A187" s="2" t="n"/>
      <c r="B187" s="2" t="n"/>
      <c r="C187" s="2" t="n"/>
      <c r="D187" s="2" t="n"/>
      <c r="E187" s="2" t="n"/>
      <c r="F187" s="2" t="n"/>
    </row>
    <row r="188" ht="15.75" customHeight="1" s="57">
      <c r="A188" s="2" t="n"/>
      <c r="B188" s="2" t="n"/>
      <c r="C188" s="2" t="n"/>
      <c r="D188" s="2" t="n"/>
      <c r="E188" s="2" t="n"/>
      <c r="F188" s="2" t="n"/>
    </row>
    <row r="189" ht="15.75" customHeight="1" s="57">
      <c r="A189" s="2" t="n"/>
      <c r="B189" s="2" t="n"/>
      <c r="C189" s="2" t="n"/>
      <c r="D189" s="2" t="n"/>
      <c r="E189" s="2" t="n"/>
      <c r="F189" s="2" t="n"/>
    </row>
    <row r="190" ht="15.75" customHeight="1" s="57">
      <c r="A190" s="2" t="n"/>
      <c r="B190" s="2" t="n"/>
      <c r="C190" s="2" t="n"/>
      <c r="D190" s="2" t="n"/>
      <c r="E190" s="2" t="n"/>
      <c r="F190" s="2" t="n"/>
    </row>
    <row r="191" ht="15.75" customHeight="1" s="57">
      <c r="A191" s="2" t="n"/>
      <c r="B191" s="2" t="n"/>
      <c r="C191" s="2" t="n"/>
      <c r="D191" s="2" t="n"/>
      <c r="E191" s="2" t="n"/>
      <c r="F191" s="2" t="n"/>
    </row>
    <row r="192" ht="15.75" customHeight="1" s="57">
      <c r="A192" s="2" t="n"/>
      <c r="B192" s="2" t="n"/>
      <c r="C192" s="2" t="n"/>
      <c r="D192" s="2" t="n"/>
      <c r="E192" s="2" t="n"/>
      <c r="F192" s="2" t="n"/>
    </row>
    <row r="193" ht="15.75" customHeight="1" s="57">
      <c r="A193" s="2" t="n"/>
      <c r="B193" s="2" t="n"/>
      <c r="C193" s="2" t="n"/>
      <c r="D193" s="2" t="n"/>
      <c r="E193" s="2" t="n"/>
      <c r="F193" s="2" t="n"/>
    </row>
    <row r="194" ht="15.75" customHeight="1" s="57">
      <c r="A194" s="2" t="n"/>
      <c r="B194" s="2" t="n"/>
      <c r="C194" s="2" t="n"/>
      <c r="D194" s="2" t="n"/>
      <c r="E194" s="2" t="n"/>
      <c r="F194" s="2" t="n"/>
    </row>
    <row r="195" ht="15.75" customHeight="1" s="57">
      <c r="A195" s="2" t="n"/>
      <c r="B195" s="2" t="n"/>
      <c r="C195" s="2" t="n"/>
      <c r="D195" s="2" t="n"/>
      <c r="E195" s="2" t="n"/>
      <c r="F195" s="2" t="n"/>
    </row>
    <row r="196" ht="15.75" customHeight="1" s="57">
      <c r="A196" s="2" t="n"/>
      <c r="B196" s="2" t="n"/>
      <c r="C196" s="2" t="n"/>
      <c r="D196" s="2" t="n"/>
      <c r="E196" s="2" t="n"/>
      <c r="F196" s="2" t="n"/>
    </row>
    <row r="197" ht="15.75" customHeight="1" s="57">
      <c r="A197" s="2" t="n"/>
      <c r="B197" s="2" t="n"/>
      <c r="C197" s="2" t="n"/>
      <c r="D197" s="2" t="n"/>
      <c r="E197" s="2" t="n"/>
      <c r="F197" s="2" t="n"/>
    </row>
    <row r="198" ht="15.75" customHeight="1" s="57">
      <c r="A198" s="2" t="n"/>
      <c r="B198" s="2" t="n"/>
      <c r="C198" s="2" t="n"/>
      <c r="D198" s="2" t="n"/>
      <c r="E198" s="2" t="n"/>
      <c r="F198" s="2" t="n"/>
    </row>
    <row r="199" ht="15.75" customHeight="1" s="57">
      <c r="A199" s="2" t="n"/>
      <c r="B199" s="2" t="n"/>
      <c r="C199" s="2" t="n"/>
      <c r="D199" s="2" t="n"/>
      <c r="E199" s="2" t="n"/>
      <c r="F199" s="2" t="n"/>
    </row>
    <row r="200" ht="15.75" customHeight="1" s="57">
      <c r="A200" s="2" t="n"/>
      <c r="B200" s="2" t="n"/>
      <c r="C200" s="2" t="n"/>
      <c r="D200" s="2" t="n"/>
      <c r="E200" s="2" t="n"/>
      <c r="F200" s="2" t="n"/>
    </row>
    <row r="201" ht="15.75" customHeight="1" s="57">
      <c r="A201" s="2" t="n"/>
      <c r="B201" s="2" t="n"/>
      <c r="C201" s="2" t="n"/>
      <c r="D201" s="2" t="n"/>
      <c r="E201" s="2" t="n"/>
      <c r="F201" s="2" t="n"/>
    </row>
    <row r="202" ht="15.75" customHeight="1" s="57">
      <c r="A202" s="2" t="n"/>
      <c r="B202" s="2" t="n"/>
      <c r="C202" s="2" t="n"/>
      <c r="D202" s="2" t="n"/>
      <c r="E202" s="2" t="n"/>
      <c r="F202" s="2" t="n"/>
    </row>
    <row r="203" ht="15.75" customHeight="1" s="57">
      <c r="A203" s="2" t="n"/>
      <c r="B203" s="2" t="n"/>
      <c r="C203" s="2" t="n"/>
      <c r="D203" s="2" t="n"/>
      <c r="E203" s="2" t="n"/>
      <c r="F203" s="2" t="n"/>
    </row>
    <row r="204" ht="15.75" customHeight="1" s="57">
      <c r="A204" s="2" t="n"/>
      <c r="B204" s="2" t="n"/>
      <c r="C204" s="2" t="n"/>
      <c r="D204" s="2" t="n"/>
      <c r="E204" s="2" t="n"/>
      <c r="F204" s="2" t="n"/>
    </row>
    <row r="205" ht="15.75" customHeight="1" s="57">
      <c r="A205" s="2" t="n"/>
      <c r="B205" s="2" t="n"/>
      <c r="C205" s="2" t="n"/>
      <c r="D205" s="2" t="n"/>
      <c r="E205" s="2" t="n"/>
      <c r="F205" s="2" t="n"/>
    </row>
    <row r="206" ht="15.75" customHeight="1" s="57">
      <c r="A206" s="2" t="n"/>
      <c r="B206" s="2" t="n"/>
      <c r="C206" s="2" t="n"/>
      <c r="D206" s="2" t="n"/>
      <c r="E206" s="2" t="n"/>
      <c r="F206" s="2" t="n"/>
    </row>
    <row r="207" ht="15.75" customHeight="1" s="57">
      <c r="A207" s="2" t="n"/>
      <c r="B207" s="2" t="n"/>
      <c r="C207" s="2" t="n"/>
      <c r="D207" s="2" t="n"/>
      <c r="E207" s="2" t="n"/>
      <c r="F207" s="2" t="n"/>
    </row>
    <row r="208" ht="15.75" customHeight="1" s="57">
      <c r="A208" s="2" t="n"/>
      <c r="B208" s="2" t="n"/>
      <c r="C208" s="2" t="n"/>
      <c r="D208" s="2" t="n"/>
      <c r="E208" s="2" t="n"/>
      <c r="F208" s="2" t="n"/>
    </row>
    <row r="209" ht="15.75" customHeight="1" s="57">
      <c r="A209" s="2" t="n"/>
      <c r="B209" s="2" t="n"/>
      <c r="C209" s="2" t="n"/>
      <c r="D209" s="2" t="n"/>
      <c r="E209" s="2" t="n"/>
      <c r="F209" s="2" t="n"/>
    </row>
    <row r="210" ht="15.75" customHeight="1" s="57">
      <c r="A210" s="2" t="n"/>
      <c r="B210" s="2" t="n"/>
      <c r="C210" s="2" t="n"/>
      <c r="D210" s="2" t="n"/>
      <c r="E210" s="2" t="n"/>
      <c r="F210" s="2" t="n"/>
    </row>
    <row r="211" ht="15.75" customHeight="1" s="57">
      <c r="A211" s="2" t="n"/>
      <c r="B211" s="2" t="n"/>
      <c r="C211" s="2" t="n"/>
      <c r="D211" s="2" t="n"/>
      <c r="E211" s="2" t="n"/>
      <c r="F211" s="2" t="n"/>
    </row>
    <row r="212" ht="15.75" customHeight="1" s="57">
      <c r="A212" s="2" t="n"/>
      <c r="B212" s="2" t="n"/>
      <c r="C212" s="2" t="n"/>
      <c r="D212" s="2" t="n"/>
      <c r="E212" s="2" t="n"/>
      <c r="F212" s="2" t="n"/>
    </row>
    <row r="213" ht="15.75" customHeight="1" s="57">
      <c r="A213" s="2" t="n"/>
      <c r="B213" s="2" t="n"/>
      <c r="C213" s="2" t="n"/>
      <c r="D213" s="2" t="n"/>
      <c r="E213" s="2" t="n"/>
      <c r="F213" s="2" t="n"/>
    </row>
    <row r="214" ht="15.75" customHeight="1" s="57">
      <c r="A214" s="2" t="n"/>
      <c r="B214" s="2" t="n"/>
      <c r="C214" s="2" t="n"/>
      <c r="D214" s="2" t="n"/>
      <c r="E214" s="2" t="n"/>
      <c r="F214" s="2" t="n"/>
    </row>
    <row r="215" ht="15.75" customHeight="1" s="57">
      <c r="A215" s="2" t="n"/>
      <c r="B215" s="2" t="n"/>
      <c r="C215" s="2" t="n"/>
      <c r="D215" s="2" t="n"/>
      <c r="E215" s="2" t="n"/>
      <c r="F215" s="2" t="n"/>
    </row>
    <row r="216" ht="15.75" customHeight="1" s="57">
      <c r="A216" s="2" t="n"/>
      <c r="B216" s="2" t="n"/>
      <c r="C216" s="2" t="n"/>
      <c r="D216" s="2" t="n"/>
      <c r="E216" s="2" t="n"/>
      <c r="F216" s="2" t="n"/>
    </row>
    <row r="217" ht="15.75" customHeight="1" s="57">
      <c r="A217" s="2" t="n"/>
      <c r="B217" s="2" t="n"/>
      <c r="C217" s="2" t="n"/>
      <c r="D217" s="2" t="n"/>
      <c r="E217" s="2" t="n"/>
      <c r="F217" s="2" t="n"/>
    </row>
    <row r="218" ht="15.75" customHeight="1" s="57">
      <c r="A218" s="2" t="n"/>
      <c r="B218" s="2" t="n"/>
      <c r="C218" s="2" t="n"/>
      <c r="D218" s="2" t="n"/>
      <c r="E218" s="2" t="n"/>
      <c r="F218" s="2" t="n"/>
    </row>
    <row r="219" ht="15.75" customHeight="1" s="57">
      <c r="A219" s="2" t="n"/>
      <c r="B219" s="2" t="n"/>
      <c r="C219" s="2" t="n"/>
      <c r="D219" s="2" t="n"/>
      <c r="E219" s="2" t="n"/>
      <c r="F219" s="2" t="n"/>
    </row>
    <row r="220" ht="15.75" customHeight="1" s="57">
      <c r="A220" s="2" t="n"/>
      <c r="B220" s="2" t="n"/>
      <c r="C220" s="2" t="n"/>
      <c r="D220" s="2" t="n"/>
      <c r="E220" s="2" t="n"/>
      <c r="F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  <row r="1001" ht="15.75" customHeight="1" s="57">
      <c r="A1001" s="6" t="inlineStr">
        <is>
          <t>2026-08-12</t>
        </is>
      </c>
      <c r="B1001" s="6" t="inlineStr">
        <is>
          <t>DEPOSIT</t>
        </is>
      </c>
      <c r="C1001" s="6" t="n">
        <v>10000</v>
      </c>
      <c r="D1001" s="6" t="inlineStr">
        <is>
          <t>Zerodha funds addition</t>
        </is>
      </c>
      <c r="E1001" s="2" t="n"/>
      <c r="F1001" s="2" t="n"/>
    </row>
    <row r="1002" ht="15.75" customHeight="1" s="57">
      <c r="A1002" s="6" t="inlineStr">
        <is>
          <t>2026-08-12</t>
        </is>
      </c>
      <c r="B1002" s="6" t="inlineStr">
        <is>
          <t>WITHDRAWAL</t>
        </is>
      </c>
      <c r="C1002" s="7" t="n">
        <v>18.01</v>
      </c>
      <c r="D1002" s="6" t="inlineStr">
        <is>
          <t>Brokerage &amp; taxes on BEL SELL (5 qty @ 399.40)</t>
        </is>
      </c>
      <c r="E1002" s="2" t="n"/>
      <c r="F1002" s="2" t="n"/>
    </row>
    <row r="1003" ht="15.75" customHeight="1" s="57">
      <c r="A1003" s="6" t="inlineStr">
        <is>
          <t>2026-08-12</t>
        </is>
      </c>
      <c r="B1003" s="6" t="inlineStr">
        <is>
          <t>WITHDRAWAL</t>
        </is>
      </c>
      <c r="C1003" s="7" t="n">
        <v>17.1</v>
      </c>
      <c r="D1003" s="6" t="inlineStr">
        <is>
          <t>Brokerage &amp; taxes on BERGEPAINT SELL (2 qty @ 561.20)</t>
        </is>
      </c>
      <c r="E1003" s="2" t="n"/>
      <c r="F1003" s="2" t="n"/>
    </row>
    <row r="1004" ht="15.75" customHeight="1" s="57">
      <c r="A1004" s="6" t="inlineStr">
        <is>
          <t>2026-08-12</t>
        </is>
      </c>
      <c r="B1004" s="6" t="inlineStr">
        <is>
          <t>WITHDRAWAL</t>
        </is>
      </c>
      <c r="C1004" s="7" t="n">
        <v>16.42</v>
      </c>
      <c r="D1004" s="6" t="inlineStr">
        <is>
          <t>Brokerage &amp; taxes on ADVANCE SELL (4 qty @ 118.24)</t>
        </is>
      </c>
      <c r="E1004" s="2" t="n"/>
      <c r="F1004" s="2" t="n"/>
    </row>
    <row r="1005" ht="15.75" customHeight="1" s="57">
      <c r="A1005" s="6" t="inlineStr">
        <is>
          <t>2026-08-13</t>
        </is>
      </c>
      <c r="B1005" s="6" t="inlineStr">
        <is>
          <t>WITHDRAWAL</t>
        </is>
      </c>
      <c r="C1005" s="7" t="n">
        <v>17.25</v>
      </c>
      <c r="D1005" s="6" t="inlineStr">
        <is>
          <t>Brokerage &amp; taxes on JSWSTEEL SELL (1 qty @ 1269.10)</t>
        </is>
      </c>
      <c r="E1005" s="2" t="n"/>
      <c r="F1005" s="2" t="n"/>
    </row>
    <row r="1006" ht="15.75" customHeight="1" s="57">
      <c r="A1006" s="6" t="inlineStr">
        <is>
          <t>2026-08-13</t>
        </is>
      </c>
      <c r="B1006" s="6" t="inlineStr">
        <is>
          <t>WITHDRAWAL</t>
        </is>
      </c>
      <c r="C1006" s="7" t="n">
        <v>2.1</v>
      </c>
      <c r="D1006" s="6" t="inlineStr">
        <is>
          <t>Brokerage &amp; taxes on MRPL BUY (10 qty @ 174.70)</t>
        </is>
      </c>
      <c r="E1006" s="2" t="n"/>
      <c r="F1006" s="2" t="n"/>
    </row>
    <row r="1007" ht="15.75" customHeight="1" s="57">
      <c r="A1007" s="6" t="inlineStr">
        <is>
          <t>2026-08-13</t>
        </is>
      </c>
      <c r="B1007" s="6" t="inlineStr">
        <is>
          <t>WITHDRAWAL</t>
        </is>
      </c>
      <c r="C1007" s="7" t="n">
        <v>2.9</v>
      </c>
      <c r="D1007" s="6" t="inlineStr">
        <is>
          <t>Brokerage &amp; taxes on LENSKART BUY (4 qty @ 605.00)</t>
        </is>
      </c>
      <c r="E1007" s="2" t="n"/>
      <c r="F1007" s="2" t="n"/>
    </row>
    <row r="1008" ht="15.75" customHeight="1" s="57">
      <c r="A1008" s="6" t="inlineStr">
        <is>
          <t>2026-08-13</t>
        </is>
      </c>
      <c r="B1008" s="6" t="inlineStr">
        <is>
          <t>WITHDRAWAL</t>
        </is>
      </c>
      <c r="C1008" s="7" t="n">
        <v>2.57</v>
      </c>
      <c r="D1008" s="6" t="inlineStr">
        <is>
          <t>Brokerage &amp; taxes on AARTIIND BUY (4 qty @ 536.00)</t>
        </is>
      </c>
      <c r="E1008" s="2" t="n"/>
      <c r="F1008" s="2" t="n"/>
    </row>
    <row r="1009" ht="15.75" customHeight="1" s="57">
      <c r="A1009" s="6" t="inlineStr">
        <is>
          <t>2026-08-13</t>
        </is>
      </c>
      <c r="B1009" s="6" t="inlineStr">
        <is>
          <t>WITHDRAWAL</t>
        </is>
      </c>
      <c r="C1009" s="7" t="n">
        <v>2.27</v>
      </c>
      <c r="D1009" s="6" t="inlineStr">
        <is>
          <t>Brokerage &amp; taxes on OIL BUY (4 qty @ 473.00)</t>
        </is>
      </c>
      <c r="E1009" s="2" t="n"/>
      <c r="F1009" s="2" t="n"/>
    </row>
    <row r="1010" ht="15.75" customHeight="1" s="57">
      <c r="A1010" s="6" t="inlineStr">
        <is>
          <t>2026-08-13</t>
        </is>
      </c>
      <c r="B1010" s="6" t="inlineStr">
        <is>
          <t>WITHDRAWAL</t>
        </is>
      </c>
      <c r="C1010" s="7" t="n">
        <v>3.42</v>
      </c>
      <c r="D1010" s="6" t="inlineStr">
        <is>
          <t>Brokerage &amp; taxes on SCHNEIDER BUY (2 qty @ 1425.00)</t>
        </is>
      </c>
      <c r="E1010" s="2" t="n"/>
      <c r="F1010" s="2" t="n"/>
    </row>
    <row r="1011" ht="15.75" customHeight="1" s="57">
      <c r="A1011" s="6" t="inlineStr">
        <is>
          <t>2026-08-13</t>
        </is>
      </c>
      <c r="B1011" s="6" t="inlineStr">
        <is>
          <t>WITHDRAWAL</t>
        </is>
      </c>
      <c r="C1011" s="7" t="n">
        <v>17.63</v>
      </c>
      <c r="D1011" s="6" t="inlineStr">
        <is>
          <t>Brokerage &amp; taxes on TECHM SELL (1 qty @ 1634.70)</t>
        </is>
      </c>
      <c r="E1011" s="2" t="n"/>
      <c r="F1011" s="2" t="n"/>
    </row>
    <row r="1012" ht="15.75" customHeight="1" s="57">
      <c r="A1012" s="6" t="inlineStr">
        <is>
          <t>2026-08-14</t>
        </is>
      </c>
      <c r="B1012" s="6" t="inlineStr">
        <is>
          <t>WITHDRAWAL</t>
        </is>
      </c>
      <c r="C1012" s="7" t="n">
        <v>18.84</v>
      </c>
      <c r="D1012" s="6" t="inlineStr">
        <is>
          <t>Brokerage &amp; taxes on SCHNEIDER SELL (2 qty @ 1401.00)</t>
        </is>
      </c>
      <c r="E1012" s="2" t="n"/>
      <c r="F1012" s="2" t="n"/>
    </row>
    <row r="1013" ht="15.75" customHeight="1" s="57">
      <c r="A1013" s="6" t="inlineStr">
        <is>
          <t>2026-08-14</t>
        </is>
      </c>
      <c r="B1013" s="6" t="inlineStr">
        <is>
          <t>WITHDRAWAL</t>
        </is>
      </c>
      <c r="C1013" s="7" t="n">
        <v>16.49</v>
      </c>
      <c r="D1013" s="6" t="inlineStr">
        <is>
          <t>Brokerage &amp; taxes on AARTIIND SELL (1 qty @ 539.25)</t>
        </is>
      </c>
      <c r="E1013" s="2" t="n"/>
      <c r="F1013" s="2" t="n"/>
    </row>
    <row r="1014" ht="15.75" customHeight="1" s="57">
      <c r="A1014" s="6" t="inlineStr">
        <is>
          <t>2026-08-14</t>
        </is>
      </c>
      <c r="B1014" s="6" t="inlineStr">
        <is>
          <t>WITHDRAWAL</t>
        </is>
      </c>
      <c r="C1014" s="7" t="n">
        <v>17.61</v>
      </c>
      <c r="D1014" s="6" t="inlineStr">
        <is>
          <t>Brokerage &amp; taxes on AARTIIND SELL (3 qty @ 537.55)</t>
        </is>
      </c>
      <c r="E1014" s="2" t="n"/>
      <c r="F1014" s="2" t="n"/>
    </row>
    <row r="1015" ht="15.75" customHeight="1" s="57">
      <c r="A1015" s="6" t="inlineStr">
        <is>
          <t>2026-08-18</t>
        </is>
      </c>
      <c r="B1015" s="6" t="inlineStr">
        <is>
          <t>WITHDRAWAL</t>
        </is>
      </c>
      <c r="C1015" s="7" t="n">
        <v>2.62</v>
      </c>
      <c r="D1015" s="6" t="inlineStr">
        <is>
          <t>Brokerage &amp; taxes on GAYAPROJ-BE BUY (100 qty @ 21.80)</t>
        </is>
      </c>
      <c r="E1015" s="2" t="n"/>
      <c r="F1015" s="2" t="n"/>
    </row>
    <row r="1016" ht="15.75" customHeight="1" s="57">
      <c r="A1016" s="6" t="inlineStr">
        <is>
          <t>2026-08-20</t>
        </is>
      </c>
      <c r="B1016" s="6" t="inlineStr">
        <is>
          <t>WITHDRAWAL</t>
        </is>
      </c>
      <c r="C1016" s="7" t="n">
        <v>2.59</v>
      </c>
      <c r="D1016" s="6" t="inlineStr">
        <is>
          <t>Brokerage &amp; taxes on THELEELA BUY (4 qty @ 539.30)</t>
        </is>
      </c>
      <c r="E1016" s="2" t="n"/>
      <c r="F1016" s="2" t="n"/>
    </row>
    <row r="1017" ht="15.75" customHeight="1" s="57">
      <c r="A1017" s="6" t="inlineStr">
        <is>
          <t>2026-08-21</t>
        </is>
      </c>
      <c r="B1017" s="6" t="inlineStr">
        <is>
          <t>WITHDRAWAL</t>
        </is>
      </c>
      <c r="C1017" s="7" t="n">
        <v>2.31</v>
      </c>
      <c r="D1017" s="6" t="inlineStr">
        <is>
          <t>Brokerage &amp; taxes on KFINTECH BUY (2 qty @ 961.00)</t>
        </is>
      </c>
      <c r="E1017" s="2" t="n"/>
      <c r="F1017" s="2" t="n"/>
    </row>
    <row r="1018" ht="15.75" customHeight="1" s="57">
      <c r="A1018" s="6" t="inlineStr">
        <is>
          <t>2026-08-21</t>
        </is>
      </c>
      <c r="B1018" s="6" t="inlineStr">
        <is>
          <t>WITHDRAWAL</t>
        </is>
      </c>
      <c r="C1018" s="7" t="n">
        <v>2.31</v>
      </c>
      <c r="D1018" s="6" t="inlineStr">
        <is>
          <t>Brokerage &amp; taxes on KFINTECH BUY (2 qty @ 963.00)</t>
        </is>
      </c>
      <c r="E1018" s="2" t="n"/>
      <c r="F1018" s="2" t="n"/>
    </row>
    <row r="1019" ht="15.75" customHeight="1" s="57">
      <c r="A1019" s="6" t="inlineStr">
        <is>
          <t>2026-08-21</t>
        </is>
      </c>
      <c r="B1019" s="6" t="inlineStr">
        <is>
          <t>WITHDRAWAL</t>
        </is>
      </c>
      <c r="C1019" s="7" t="n">
        <v>3.1</v>
      </c>
      <c r="D1019" s="6" t="inlineStr">
        <is>
          <t>Brokerage &amp; taxes on BOROLTD BUY (10 qty @ 258.00)</t>
        </is>
      </c>
      <c r="E1019" s="2" t="n"/>
      <c r="F1019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0" t="inlineStr">
        <is>
          <t>Timestamp</t>
        </is>
      </c>
      <c r="B1" s="50" t="inlineStr">
        <is>
          <t>Level</t>
        </is>
      </c>
      <c r="C1" s="50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 12:48:41</t>
        </is>
      </c>
      <c r="B2" s="6" t="inlineStr">
        <is>
          <t>INFO</t>
        </is>
      </c>
      <c r="C2" s="6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 12:48:42</t>
        </is>
      </c>
      <c r="B3" s="6" t="inlineStr">
        <is>
          <t>INFO</t>
        </is>
      </c>
      <c r="C3" s="6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 12:48:42</t>
        </is>
      </c>
      <c r="B4" s="6" t="inlineStr">
        <is>
          <t>INFO</t>
        </is>
      </c>
      <c r="C4" s="6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 15:33:36</t>
        </is>
      </c>
      <c r="B5" s="6" t="inlineStr">
        <is>
          <t>INFO</t>
        </is>
      </c>
      <c r="C5" s="6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 15:33:37</t>
        </is>
      </c>
      <c r="B6" s="6" t="inlineStr">
        <is>
          <t>INFO</t>
        </is>
      </c>
      <c r="C6" s="6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2026-07-21 15:33:38</t>
        </is>
      </c>
      <c r="B7" s="6" t="inlineStr">
        <is>
          <t>INFO</t>
        </is>
      </c>
      <c r="C7" s="6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 11:27:23</t>
        </is>
      </c>
      <c r="B8" s="6" t="inlineStr">
        <is>
          <t>INFO</t>
        </is>
      </c>
      <c r="C8" s="6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 11:27:25</t>
        </is>
      </c>
      <c r="B9" s="6" t="inlineStr">
        <is>
          <t>INFO</t>
        </is>
      </c>
      <c r="C9" s="6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 11:28:22</t>
        </is>
      </c>
      <c r="B10" s="6" t="inlineStr">
        <is>
          <t>INFO</t>
        </is>
      </c>
      <c r="C10" s="6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 11:28:24</t>
        </is>
      </c>
      <c r="B11" s="6" t="inlineStr">
        <is>
          <t>INFO</t>
        </is>
      </c>
      <c r="C11" s="6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2026-07-28 09:08:00</t>
        </is>
      </c>
      <c r="B14" s="51" t="inlineStr">
        <is>
          <t>ADVISORY</t>
        </is>
      </c>
      <c r="C14" s="52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2026-08-12 16:05:31</t>
        </is>
      </c>
      <c r="B85" s="2" t="inlineStr">
        <is>
          <t>INFO</t>
        </is>
      </c>
      <c r="C85" s="2" t="inlineStr">
        <is>
          <t>Closed SWING trade: BEL exited at 399.4 (LOSS)</t>
        </is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2026-08-12 16:05:39</t>
        </is>
      </c>
      <c r="B86" s="2" t="inlineStr">
        <is>
          <t>INFO</t>
        </is>
      </c>
      <c r="C86" s="2" t="inlineStr">
        <is>
          <t>Capital Transaction: WITHDRAWAL of INR 18.01 logged.</t>
        </is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2026-08-12 16:05:52</t>
        </is>
      </c>
      <c r="B87" s="2" t="inlineStr">
        <is>
          <t>INFO</t>
        </is>
      </c>
      <c r="C87" s="2" t="inlineStr">
        <is>
          <t>Closed SWING trade: BERGEPAINT exited at 561.2 (WIN)</t>
        </is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2026-08-12 16:06:01</t>
        </is>
      </c>
      <c r="B88" s="2" t="inlineStr">
        <is>
          <t>INFO</t>
        </is>
      </c>
      <c r="C88" s="2" t="inlineStr">
        <is>
          <t>Capital Transaction: WITHDRAWAL of INR 17.10 logged.</t>
        </is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2026-08-12 16:06:14</t>
        </is>
      </c>
      <c r="B89" s="2" t="inlineStr">
        <is>
          <t>INFO</t>
        </is>
      </c>
      <c r="C89" s="2" t="inlineStr">
        <is>
          <t>Closed SWING trade: ADVANCE exited at 118.2425 (LOSS)</t>
        </is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2026-08-12 16:06:23</t>
        </is>
      </c>
      <c r="B90" s="2" t="inlineStr">
        <is>
          <t>INFO</t>
        </is>
      </c>
      <c r="C90" s="2" t="inlineStr">
        <is>
          <t>Capital Transaction: WITHDRAWAL of INR 16.42 logged.</t>
        </is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2026-08-13 02:11:46</t>
        </is>
      </c>
      <c r="B91" s="2" t="inlineStr">
        <is>
          <t>INFO</t>
        </is>
      </c>
      <c r="C91" s="2" t="inlineStr">
        <is>
          <t>Recorded buy order: 10 shares of MRPL at 181.14 (SWING)</t>
        </is>
      </c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2026-08-13 02:11:55</t>
        </is>
      </c>
      <c r="B92" s="2" t="inlineStr">
        <is>
          <t>INFO</t>
        </is>
      </c>
      <c r="C92" s="2" t="inlineStr">
        <is>
          <t>Recorded buy order: 4 shares of LENSKART at 589.2 (SWING)</t>
        </is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2026-08-13 02:12:06</t>
        </is>
      </c>
      <c r="B93" s="2" t="inlineStr">
        <is>
          <t>INFO</t>
        </is>
      </c>
      <c r="C93" s="2" t="inlineStr">
        <is>
          <t>Recorded buy order: 4 shares of OIL at 470.35 (SWING)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2026-08-13 02:12:17</t>
        </is>
      </c>
      <c r="B94" s="2" t="inlineStr">
        <is>
          <t>INFO</t>
        </is>
      </c>
      <c r="C94" s="2" t="inlineStr">
        <is>
          <t>Recorded buy order: 4 shares of AARTIIND at 532.3 (INTRADAY)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2026-08-13 10:32:15</t>
        </is>
      </c>
      <c r="B95" s="2" t="inlineStr">
        <is>
          <t>INFO</t>
        </is>
      </c>
      <c r="C95" s="2" t="inlineStr">
        <is>
          <t>Closed SWING trade: JSWSTEEL exited at 1269.1 (WIN)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2026-08-13 10:32:23</t>
        </is>
      </c>
      <c r="B96" s="2" t="inlineStr">
        <is>
          <t>INFO</t>
        </is>
      </c>
      <c r="C96" s="2" t="inlineStr">
        <is>
          <t>Capital Transaction: WITHDRAWAL of INR 17.25 logged.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2026-08-13 10:32:36</t>
        </is>
      </c>
      <c r="B97" s="2" t="inlineStr">
        <is>
          <t>INFO</t>
        </is>
      </c>
      <c r="C97" s="2" t="inlineStr">
        <is>
          <t>Capital Transaction: WITHDRAWAL of INR 2.10 logged.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2026-08-13 10:32:48</t>
        </is>
      </c>
      <c r="B98" s="2" t="inlineStr">
        <is>
          <t>INFO</t>
        </is>
      </c>
      <c r="C98" s="2" t="inlineStr">
        <is>
          <t>Capital Transaction: WITHDRAWAL of INR 2.90 logged.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2026-08-13 10:33:02</t>
        </is>
      </c>
      <c r="B99" s="2" t="inlineStr">
        <is>
          <t>INFO</t>
        </is>
      </c>
      <c r="C99" s="2" t="inlineStr">
        <is>
          <t>Recorded buy order: 4 shares of AARTIIND at 536 (SWING)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2026-08-13 10:33:11</t>
        </is>
      </c>
      <c r="B100" s="2" t="inlineStr">
        <is>
          <t>INFO</t>
        </is>
      </c>
      <c r="C100" s="2" t="inlineStr">
        <is>
          <t>Capital Transaction: WITHDRAWAL of INR 2.57 logged.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2026-08-13 10:33:22</t>
        </is>
      </c>
      <c r="B101" s="2" t="inlineStr">
        <is>
          <t>INFO</t>
        </is>
      </c>
      <c r="C101" s="2" t="inlineStr">
        <is>
          <t>Capital Transaction: WITHDRAWAL of INR 2.27 logged.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2026-08-13 10:33:33</t>
        </is>
      </c>
      <c r="B102" s="2" t="inlineStr">
        <is>
          <t>INFO</t>
        </is>
      </c>
      <c r="C102" s="2" t="inlineStr">
        <is>
          <t>Recorded buy order: 2 shares of SCHNEIDER at 1425 (SWING)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2026-08-13 10:33:41</t>
        </is>
      </c>
      <c r="B103" s="2" t="inlineStr">
        <is>
          <t>INFO</t>
        </is>
      </c>
      <c r="C103" s="2" t="inlineStr">
        <is>
          <t>Capital Transaction: WITHDRAWAL of INR 3.42 logged.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2026-08-13 10:33:54</t>
        </is>
      </c>
      <c r="B104" s="2" t="inlineStr">
        <is>
          <t>INFO</t>
        </is>
      </c>
      <c r="C104" s="2" t="inlineStr">
        <is>
          <t>Closed SWING trade: TECHM exited at 1634.7 (WIN)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2026-08-13 10:34:03</t>
        </is>
      </c>
      <c r="B105" s="2" t="inlineStr">
        <is>
          <t>INFO</t>
        </is>
      </c>
      <c r="C105" s="2" t="inlineStr">
        <is>
          <t>Capital Transaction: WITHDRAWAL of INR 17.63 logged.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2026-08-14 03:23:59</t>
        </is>
      </c>
      <c r="B106" s="2" t="inlineStr">
        <is>
          <t>INFO</t>
        </is>
      </c>
      <c r="C106" s="2" t="inlineStr">
        <is>
          <t>Recorded buy order: 10 shares of MRPL at 174.7 (SWING)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2026-08-14 03:24:13</t>
        </is>
      </c>
      <c r="B107" s="2" t="inlineStr">
        <is>
          <t>INFO</t>
        </is>
      </c>
      <c r="C107" s="2" t="inlineStr">
        <is>
          <t>Recorded buy order: 4 shares of LENSKART at 605 (SWING)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2026-08-14 03:24:27</t>
        </is>
      </c>
      <c r="B108" s="2" t="inlineStr">
        <is>
          <t>INFO</t>
        </is>
      </c>
      <c r="C108" s="2" t="inlineStr">
        <is>
          <t>Recorded buy order: 4 shares of AARTIIND at 536 (SWING)</t>
        </is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2026-08-14 03:24:51</t>
        </is>
      </c>
      <c r="B109" s="2" t="inlineStr">
        <is>
          <t>INFO</t>
        </is>
      </c>
      <c r="C109" s="2" t="inlineStr">
        <is>
          <t>Recorded buy order: 4 shares of OIL at 473 (SWING)</t>
        </is>
      </c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2026-08-14 03:25:06</t>
        </is>
      </c>
      <c r="B110" s="2" t="inlineStr">
        <is>
          <t>INFO</t>
        </is>
      </c>
      <c r="C110" s="2" t="inlineStr">
        <is>
          <t>Recorded buy order: 2 shares of SCHNEIDER at 1425 (SWING)</t>
        </is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2026-08-14 03:25:28</t>
        </is>
      </c>
      <c r="B111" s="2" t="inlineStr">
        <is>
          <t>INFO</t>
        </is>
      </c>
      <c r="C111" s="2" t="inlineStr">
        <is>
          <t>Closed SWING trade: SCHNEIDER exited at 1401 (LOSS)</t>
        </is>
      </c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2026-08-14 03:25:38</t>
        </is>
      </c>
      <c r="B112" s="2" t="inlineStr">
        <is>
          <t>INFO</t>
        </is>
      </c>
      <c r="C112" s="2" t="inlineStr">
        <is>
          <t>Capital Transaction: WITHDRAWAL of INR 18.84 logged.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2026-08-14 03:25:52</t>
        </is>
      </c>
      <c r="B113" s="2" t="inlineStr">
        <is>
          <t>INFO</t>
        </is>
      </c>
      <c r="C113" s="2" t="inlineStr">
        <is>
          <t>Closed SWING trade: AARTIIND exited at 539.25 (WIN)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2026-08-14 03:26:02</t>
        </is>
      </c>
      <c r="B114" s="2" t="inlineStr">
        <is>
          <t>INFO</t>
        </is>
      </c>
      <c r="C114" s="2" t="inlineStr">
        <is>
          <t>Capital Transaction: WITHDRAWAL of INR 16.49 logged.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2026-08-14 03:26:16</t>
        </is>
      </c>
      <c r="B115" s="2" t="inlineStr">
        <is>
          <t>INFO</t>
        </is>
      </c>
      <c r="C115" s="2" t="inlineStr">
        <is>
          <t>Capital Transaction: WITHDRAWAL of INR 17.61 logged.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2026-08-14 03:40:34</t>
        </is>
      </c>
      <c r="B116" s="2" t="inlineStr">
        <is>
          <t>INFO</t>
        </is>
      </c>
      <c r="C116" s="2" t="inlineStr">
        <is>
          <t>Updated OPEN trade: MRPL execution price to 174.7 and date to 2026-08-13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2026-08-14 03:40:43</t>
        </is>
      </c>
      <c r="B117" s="2" t="inlineStr">
        <is>
          <t>INFO</t>
        </is>
      </c>
      <c r="C117" s="2" t="inlineStr">
        <is>
          <t>Updated OPEN trade: LENSKART execution price to 605 and date to 2026-08-13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2026-08-14 03:40:59</t>
        </is>
      </c>
      <c r="B118" s="2" t="inlineStr">
        <is>
          <t>INFO</t>
        </is>
      </c>
      <c r="C118" s="2" t="inlineStr">
        <is>
          <t>Recorded buy order: 4 shares of AARTIIND at 536 (SWING)</t>
        </is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2026-08-14 03:41:08</t>
        </is>
      </c>
      <c r="B119" s="2" t="inlineStr">
        <is>
          <t>INFO</t>
        </is>
      </c>
      <c r="C119" s="2" t="inlineStr">
        <is>
          <t>Updated OPEN trade: OIL execution price to 473 and date to 2026-08-13</t>
        </is>
      </c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2026-08-14 03:41:25</t>
        </is>
      </c>
      <c r="B120" s="2" t="inlineStr">
        <is>
          <t>INFO</t>
        </is>
      </c>
      <c r="C120" s="2" t="inlineStr">
        <is>
          <t>Recorded buy order: 2 shares of SCHNEIDER at 1425 (SWING)</t>
        </is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2026-08-14 03:41:45</t>
        </is>
      </c>
      <c r="B121" s="2" t="inlineStr">
        <is>
          <t>INFO</t>
        </is>
      </c>
      <c r="C121" s="2" t="inlineStr">
        <is>
          <t>Closed trade: SCHNEIDER exited at 1401 (LOSS)</t>
        </is>
      </c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2026-08-14 03:42:00</t>
        </is>
      </c>
      <c r="B122" s="2" t="inlineStr">
        <is>
          <t>INFO</t>
        </is>
      </c>
      <c r="C122" s="2" t="inlineStr">
        <is>
          <t>Closed trade: AARTIIND exited at 539.25 (WIN)</t>
        </is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2026-08-14 08:10:33</t>
        </is>
      </c>
      <c r="B123" s="2" t="inlineStr">
        <is>
          <t>INFO</t>
        </is>
      </c>
      <c r="C123" s="2" t="inlineStr">
        <is>
          <t>Recorded buy order: 8 shares of JAIBALAJI at 68.87 (SWING)</t>
        </is>
      </c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2026-08-14 08:10:44</t>
        </is>
      </c>
      <c r="B124" s="2" t="inlineStr">
        <is>
          <t>INFO</t>
        </is>
      </c>
      <c r="C124" s="2" t="inlineStr">
        <is>
          <t>Recorded buy order: 10 shares of IOLCP at 166.02 (SWING)</t>
        </is>
      </c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2026-08-14 08:10:55</t>
        </is>
      </c>
      <c r="B125" s="2" t="inlineStr">
        <is>
          <t>INFO</t>
        </is>
      </c>
      <c r="C125" s="2" t="inlineStr">
        <is>
          <t>Recorded buy order: 6 shares of BHARATSE at 245.25 (SWING)</t>
        </is>
      </c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2026-08-18 09:10:44</t>
        </is>
      </c>
      <c r="B126" s="2" t="inlineStr">
        <is>
          <t>INFO</t>
        </is>
      </c>
      <c r="C126" s="2" t="inlineStr">
        <is>
          <t>Updated OPEN trade: GAYAPROJ-BE execution price to 21.8 and date to 2026-08-18</t>
        </is>
      </c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2026-08-18 09:10:54</t>
        </is>
      </c>
      <c r="B127" s="2" t="inlineStr">
        <is>
          <t>INFO</t>
        </is>
      </c>
      <c r="C127" s="2" t="inlineStr">
        <is>
          <t>Capital Transaction: WITHDRAWAL of INR 2.62 logged.</t>
        </is>
      </c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2026-08-20 12:52:56</t>
        </is>
      </c>
      <c r="B128" s="2" t="inlineStr">
        <is>
          <t>INFO</t>
        </is>
      </c>
      <c r="C128" s="2" t="inlineStr">
        <is>
          <t>Recorded buy order: 4 shares of THELEELA at 539.3 (SWING)</t>
        </is>
      </c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2026-08-20 12:53:08</t>
        </is>
      </c>
      <c r="B129" s="2" t="inlineStr">
        <is>
          <t>INFO</t>
        </is>
      </c>
      <c r="C129" s="2" t="inlineStr">
        <is>
          <t>Capital Transaction: WITHDRAWAL of INR 2.59 logged.</t>
        </is>
      </c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2026-08-21 08:34:35</t>
        </is>
      </c>
      <c r="B130" s="2" t="inlineStr">
        <is>
          <t>INFO</t>
        </is>
      </c>
      <c r="C130" s="2" t="inlineStr">
        <is>
          <t>Closed trade: BHARATSE exited at 230.26 (loss)</t>
        </is>
      </c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2026-08-21 08:46:54</t>
        </is>
      </c>
      <c r="B131" s="2" t="inlineStr">
        <is>
          <t>INFO</t>
        </is>
      </c>
      <c r="C131" s="2" t="inlineStr">
        <is>
          <t>Recorded buy order: 2 shares of KFINTECH at 961.0 (SWING)</t>
        </is>
      </c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2026-08-21 08:47:02</t>
        </is>
      </c>
      <c r="B132" s="2" t="inlineStr">
        <is>
          <t>INFO</t>
        </is>
      </c>
      <c r="C132" s="2" t="inlineStr">
        <is>
          <t>Capital Transaction: WITHDRAWAL of INR 2.31 logged.</t>
        </is>
      </c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2026-08-21 08:47:18</t>
        </is>
      </c>
      <c r="B133" s="2" t="inlineStr">
        <is>
          <t>INFO</t>
        </is>
      </c>
      <c r="C133" s="2" t="inlineStr">
        <is>
          <t>Recorded buy order: 10 shares of BOROLTD at 248.11 (SWING)</t>
        </is>
      </c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2026-08-21 15:48:27</t>
        </is>
      </c>
      <c r="B134" s="2" t="inlineStr">
        <is>
          <t>INFO</t>
        </is>
      </c>
      <c r="C134" s="2" t="inlineStr">
        <is>
          <t>Updated OPEN trade: KFINTECH execution price to 963 and date to 2026-08-21</t>
        </is>
      </c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2026-08-21 15:48:38</t>
        </is>
      </c>
      <c r="B135" s="2" t="inlineStr">
        <is>
          <t>INFO</t>
        </is>
      </c>
      <c r="C135" s="2" t="inlineStr">
        <is>
          <t>Capital Transaction: WITHDRAWAL of INR 2.31 logged.</t>
        </is>
      </c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2026-08-21 15:48:45</t>
        </is>
      </c>
      <c r="B136" s="2" t="inlineStr">
        <is>
          <t>INFO</t>
        </is>
      </c>
      <c r="C136" s="2" t="inlineStr">
        <is>
          <t>Updated OPEN trade: BOROLTD execution price to 258 and date to 2026-08-21</t>
        </is>
      </c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2026-08-21 15:48:54</t>
        </is>
      </c>
      <c r="B137" s="2" t="inlineStr">
        <is>
          <t>INFO</t>
        </is>
      </c>
      <c r="C137" s="2" t="inlineStr">
        <is>
          <t>Capital Transaction: WITHDRAWAL of INR 3.10 logged.</t>
        </is>
      </c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2026-08-21 16:03:28</t>
        </is>
      </c>
      <c r="B138" s="2" t="inlineStr">
        <is>
          <t>INFO</t>
        </is>
      </c>
      <c r="C138" s="2" t="inlineStr">
        <is>
          <t>Updated MTM prices for 9 open trades.</t>
        </is>
      </c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3" t="inlineStr">
        <is>
          <t>Date</t>
        </is>
      </c>
      <c r="B1" s="53" t="inlineStr">
        <is>
          <t>Symbol</t>
        </is>
      </c>
      <c r="C1" s="53" t="inlineStr">
        <is>
          <t>Company Name</t>
        </is>
      </c>
      <c r="D1" s="53" t="inlineStr">
        <is>
          <t>Entry Price</t>
        </is>
      </c>
      <c r="E1" s="53" t="inlineStr">
        <is>
          <t>Stop Loss</t>
        </is>
      </c>
      <c r="F1" s="53" t="inlineStr">
        <is>
          <t>Target</t>
        </is>
      </c>
      <c r="G1" s="53" t="inlineStr">
        <is>
          <t>Initial Alloc</t>
        </is>
      </c>
      <c r="H1" s="53" t="inlineStr">
        <is>
          <t>Status</t>
        </is>
      </c>
      <c r="I1" s="53" t="inlineStr">
        <is>
          <t>Current Price</t>
        </is>
      </c>
      <c r="J1" s="53" t="inlineStr">
        <is>
          <t>P&amp;L (INR)</t>
        </is>
      </c>
      <c r="K1" s="53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57">
      <c r="A2" s="54" t="inlineStr">
        <is>
          <t>2026-07-24</t>
        </is>
      </c>
      <c r="B2" s="54" t="inlineStr">
        <is>
          <t>SUNPHARMA</t>
        </is>
      </c>
      <c r="C2" s="55" t="inlineStr">
        <is>
          <t>Sun Pharmaceutical</t>
        </is>
      </c>
      <c r="D2" s="56" t="n">
        <v>1954</v>
      </c>
      <c r="E2" s="56" t="n">
        <v>1890.88</v>
      </c>
      <c r="F2" s="56" t="n">
        <v>2080.24</v>
      </c>
      <c r="G2" s="56" t="n">
        <v>2000</v>
      </c>
      <c r="H2" s="54" t="inlineStr">
        <is>
          <t>MONITORING</t>
        </is>
      </c>
      <c r="I2" s="56" t="n">
        <v>1954</v>
      </c>
      <c r="J2" s="56" t="n">
        <v>0</v>
      </c>
      <c r="K2" s="55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57">
      <c r="A3" s="54" t="inlineStr">
        <is>
          <t>2026-07-24</t>
        </is>
      </c>
      <c r="B3" s="54" t="inlineStr">
        <is>
          <t>BAJAJ-AUTO</t>
        </is>
      </c>
      <c r="C3" s="55" t="inlineStr">
        <is>
          <t>Bajaj Auto Limited</t>
        </is>
      </c>
      <c r="D3" s="56" t="n">
        <v>11283.5</v>
      </c>
      <c r="E3" s="56" t="n">
        <v>10780.43</v>
      </c>
      <c r="F3" s="56" t="n">
        <v>12289.64</v>
      </c>
      <c r="G3" s="56" t="n">
        <v>2000</v>
      </c>
      <c r="H3" s="54" t="inlineStr">
        <is>
          <t>MONITORING</t>
        </is>
      </c>
      <c r="I3" s="56" t="n">
        <v>11283.5</v>
      </c>
      <c r="J3" s="56" t="n">
        <v>0</v>
      </c>
      <c r="K3" s="55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54" t="inlineStr">
        <is>
          <t>2026-07-24</t>
        </is>
      </c>
      <c r="B4" s="54" t="inlineStr">
        <is>
          <t>HEROMOTOCO</t>
        </is>
      </c>
      <c r="C4" s="55" t="inlineStr">
        <is>
          <t>Hero MotoCorp</t>
        </is>
      </c>
      <c r="D4" s="56" t="n">
        <v>5098.8</v>
      </c>
      <c r="E4" s="56" t="n">
        <v>4900.54</v>
      </c>
      <c r="F4" s="56" t="n">
        <v>5495.31</v>
      </c>
      <c r="G4" s="56" t="n">
        <v>2000</v>
      </c>
      <c r="H4" s="54" t="inlineStr">
        <is>
          <t>MONITORING</t>
        </is>
      </c>
      <c r="I4" s="56" t="n">
        <v>5098.8</v>
      </c>
      <c r="J4" s="56" t="n">
        <v>0</v>
      </c>
      <c r="K4" s="55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54" t="inlineStr">
        <is>
          <t>2026-07-24</t>
        </is>
      </c>
      <c r="B5" s="54" t="inlineStr">
        <is>
          <t>SIEMENS</t>
        </is>
      </c>
      <c r="C5" s="55" t="inlineStr">
        <is>
          <t>Siemens Limited</t>
        </is>
      </c>
      <c r="D5" s="56" t="n">
        <v>3686.3</v>
      </c>
      <c r="E5" s="56" t="n">
        <v>3491.06</v>
      </c>
      <c r="F5" s="56" t="n">
        <v>4076.79</v>
      </c>
      <c r="G5" s="56" t="n">
        <v>2000</v>
      </c>
      <c r="H5" s="54" t="inlineStr">
        <is>
          <t>MONITORING</t>
        </is>
      </c>
      <c r="I5" s="56" t="n">
        <v>3686.3</v>
      </c>
      <c r="J5" s="56" t="n">
        <v>0</v>
      </c>
      <c r="K5" s="55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54" t="inlineStr">
        <is>
          <t>2026-07-24</t>
        </is>
      </c>
      <c r="B6" s="54" t="inlineStr">
        <is>
          <t>HAL</t>
        </is>
      </c>
      <c r="C6" s="55" t="inlineStr">
        <is>
          <t>Hindustan Aeronautics</t>
        </is>
      </c>
      <c r="D6" s="56" t="n">
        <v>4592.5</v>
      </c>
      <c r="E6" s="56" t="n">
        <v>4418.04</v>
      </c>
      <c r="F6" s="56" t="n">
        <v>4941.41</v>
      </c>
      <c r="G6" s="56" t="n">
        <v>2000</v>
      </c>
      <c r="H6" s="54" t="inlineStr">
        <is>
          <t>MONITORING</t>
        </is>
      </c>
      <c r="I6" s="56" t="n">
        <v>4592.5</v>
      </c>
      <c r="J6" s="56" t="n">
        <v>0</v>
      </c>
      <c r="K6" s="55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1" workbookViewId="0">
      <selection activeCell="A1" sqref="A1"/>
    </sheetView>
  </sheetViews>
  <sheetFormatPr baseColWidth="8" defaultRowHeight="15"/>
  <sheetData>
    <row r="1">
      <c r="A1" s="0" t="inlineStr">
        <is>
          <t>Date</t>
        </is>
      </c>
      <c r="B1" s="0" t="inlineStr">
        <is>
          <t>Cumulative PnL</t>
        </is>
      </c>
    </row>
    <row r="2">
      <c r="A2" s="0" t="inlineStr">
        <is>
          <t>2026-07-21</t>
        </is>
      </c>
      <c r="B2" s="0" t="n">
        <v>-4.400000000000091</v>
      </c>
    </row>
    <row r="3">
      <c r="A3" s="0" t="inlineStr">
        <is>
          <t>2026-08-04</t>
        </is>
      </c>
      <c r="B3" s="0" t="n">
        <v>-22.30000000000018</v>
      </c>
    </row>
    <row r="4">
      <c r="A4" s="0" t="inlineStr">
        <is>
          <t>2026-08-05</t>
        </is>
      </c>
      <c r="B4" s="0" t="n">
        <v>104.7999999999997</v>
      </c>
    </row>
    <row r="5">
      <c r="A5" s="0" t="inlineStr">
        <is>
          <t>2026-08-06</t>
        </is>
      </c>
      <c r="B5" s="0" t="n">
        <v>103.8499999999997</v>
      </c>
    </row>
    <row r="6">
      <c r="A6" s="0" t="inlineStr">
        <is>
          <t>2026-08-10</t>
        </is>
      </c>
      <c r="B6" s="0" t="n">
        <v>119.6399999999998</v>
      </c>
    </row>
    <row r="7">
      <c r="A7" s="0" t="inlineStr">
        <is>
          <t>2026-08-12</t>
        </is>
      </c>
      <c r="B7" s="0" t="n">
        <v>120.9499999999996</v>
      </c>
    </row>
    <row r="8">
      <c r="A8" s="0" t="inlineStr">
        <is>
          <t>2026-08-13</t>
        </is>
      </c>
      <c r="B8" s="0" t="n">
        <v>180.6499999999997</v>
      </c>
    </row>
    <row r="9">
      <c r="A9" s="0" t="inlineStr">
        <is>
          <t>2026-08-14</t>
        </is>
      </c>
      <c r="B9" s="0" t="n">
        <v>145.6499999999997</v>
      </c>
    </row>
    <row r="10">
      <c r="A10" s="0" t="inlineStr">
        <is>
          <t>2026-08-18</t>
        </is>
      </c>
      <c r="B10" s="0" t="n">
        <v>92.88999999999982</v>
      </c>
    </row>
    <row r="11">
      <c r="A11" s="0" t="inlineStr">
        <is>
          <t>2026-08-20</t>
        </is>
      </c>
      <c r="B11" s="0" t="n">
        <v>96.93999999999977</v>
      </c>
    </row>
    <row r="12">
      <c r="A12" s="0" t="inlineStr">
        <is>
          <t>2026-08-21</t>
        </is>
      </c>
      <c r="B12" s="0" t="n">
        <v>6.999999999999716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2026-09-24T20:08:22Z</dcterms:modified>
</cp:coreProperties>
</file>