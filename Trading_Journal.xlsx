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0" fontId="24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2026-08-18 08:57:04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840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H4/H15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MRPL</t>
        </is>
      </c>
      <c r="E5" s="88" t="n">
        <v>10</v>
      </c>
      <c r="F5" s="89" t="n">
        <v>174.7</v>
      </c>
      <c r="G5" s="89" t="n">
        <v>177.1499938964844</v>
      </c>
      <c r="H5" s="89">
        <f>E5*G5</f>
        <v/>
      </c>
      <c r="I5" s="94">
        <f>H5-(E5*F5)</f>
        <v/>
      </c>
      <c r="J5" s="95">
        <f>IF(F5&gt;0, I5/(E5*F5), 0)</f>
        <v/>
      </c>
      <c r="K5" s="92">
        <f>H5/H15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LENSKART</t>
        </is>
      </c>
      <c r="E6" s="88" t="n">
        <v>4</v>
      </c>
      <c r="F6" s="89" t="n">
        <v>605</v>
      </c>
      <c r="G6" s="89" t="n">
        <v>607.5999755859375</v>
      </c>
      <c r="H6" s="89">
        <f>E6*G6</f>
        <v/>
      </c>
      <c r="I6" s="94">
        <f>H6-(E6*F6)</f>
        <v/>
      </c>
      <c r="J6" s="95">
        <f>IF(F6&gt;0, I6/(E6*F6), 0)</f>
        <v/>
      </c>
      <c r="K6" s="92">
        <f>H6/H15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OIL</t>
        </is>
      </c>
      <c r="E7" s="88" t="n">
        <v>4</v>
      </c>
      <c r="F7" s="89" t="n">
        <v>473</v>
      </c>
      <c r="G7" s="89" t="n">
        <v>474.6499938964844</v>
      </c>
      <c r="H7" s="89">
        <f>E7*G7</f>
        <v/>
      </c>
      <c r="I7" s="94">
        <f>H7-(E7*F7)</f>
        <v/>
      </c>
      <c r="J7" s="95">
        <f>IF(F7&gt;0, I7/(E7*F7), 0)</f>
        <v/>
      </c>
      <c r="K7" s="92">
        <f>H7/H15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JAIBALAJI</t>
        </is>
      </c>
      <c r="E8" s="88" t="n">
        <v>8</v>
      </c>
      <c r="F8" s="89" t="n">
        <v>68.87</v>
      </c>
      <c r="G8" s="89" t="n">
        <v>69.95999908447266</v>
      </c>
      <c r="H8" s="89">
        <f>E8*G8</f>
        <v/>
      </c>
      <c r="I8" s="94">
        <f>H8-(E8*F8)</f>
        <v/>
      </c>
      <c r="J8" s="95">
        <f>IF(F8&gt;0, I8/(E8*F8), 0)</f>
        <v/>
      </c>
      <c r="K8" s="92">
        <f>H8/H15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IOLCP</t>
        </is>
      </c>
      <c r="E9" s="88" t="n">
        <v>10</v>
      </c>
      <c r="F9" s="89" t="n">
        <v>166.02</v>
      </c>
      <c r="G9" s="89" t="n">
        <v>161.2799987792969</v>
      </c>
      <c r="H9" s="89">
        <f>E9*G9</f>
        <v/>
      </c>
      <c r="I9" s="90">
        <f>H9-(E9*F9)</f>
        <v/>
      </c>
      <c r="J9" s="91">
        <f>IF(F9&gt;0, I9/(E9*F9), 0)</f>
        <v/>
      </c>
      <c r="K9" s="92">
        <f>H9/H15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BHARATSE</t>
        </is>
      </c>
      <c r="E10" s="88" t="n">
        <v>6</v>
      </c>
      <c r="F10" s="89" t="n">
        <v>245.25</v>
      </c>
      <c r="G10" s="89" t="n">
        <v>238.4400024414062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H10/H15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HAPPSTMNDS</t>
        </is>
      </c>
      <c r="E11" s="88" t="n">
        <v>3</v>
      </c>
      <c r="F11" s="89" t="n">
        <v>426.8</v>
      </c>
      <c r="G11" s="89" t="n">
        <v>426.7999877929688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H11/H15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3" t="n">
        <v>19286.6697101593</v>
      </c>
      <c r="C12" s="85" t="n"/>
      <c r="D12" s="87" t="inlineStr">
        <is>
          <t>ZEEMEDIA</t>
        </is>
      </c>
      <c r="E12" s="88" t="n">
        <v>150</v>
      </c>
      <c r="F12" s="89" t="n">
        <v>9.699999999999999</v>
      </c>
      <c r="G12" s="89" t="n">
        <v>9.699999809265137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H12/H15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2534.6</v>
      </c>
      <c r="C13" s="85" t="n"/>
      <c r="D13" s="87" t="inlineStr">
        <is>
          <t>APEX</t>
        </is>
      </c>
      <c r="E13" s="88" t="n">
        <v>3</v>
      </c>
      <c r="F13" s="89" t="n">
        <v>422.55</v>
      </c>
      <c r="G13" s="89" t="n">
        <v>422.5499877929688</v>
      </c>
      <c r="H13" s="89">
        <f>E13*G13</f>
        <v/>
      </c>
      <c r="I13" s="90">
        <f>H13-(E13*F13)</f>
        <v/>
      </c>
      <c r="J13" s="91">
        <f>IF(F13&gt;0, I13/(E13*F13), 0)</f>
        <v/>
      </c>
      <c r="K13" s="92">
        <f>H13/H15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87" t="inlineStr">
        <is>
          <t>GAYAPROJ-BE</t>
        </is>
      </c>
      <c r="E14" s="88" t="n">
        <v>100</v>
      </c>
      <c r="F14" s="89" t="n">
        <v>22.2</v>
      </c>
      <c r="G14" s="89" t="n">
        <v>22.2</v>
      </c>
      <c r="H14" s="89">
        <f>E14*G14</f>
        <v/>
      </c>
      <c r="I14" s="94">
        <f>H14-(E14*F14)</f>
        <v/>
      </c>
      <c r="J14" s="95">
        <f>IF(F14&gt;0, I14/(E14*F14), 0)</f>
        <v/>
      </c>
      <c r="K14" s="9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97" t="inlineStr">
        <is>
          <t>Total Portfolio</t>
        </is>
      </c>
      <c r="E15" s="106" t="inlineStr"/>
      <c r="F15" s="106" t="inlineStr"/>
      <c r="G15" s="106" t="inlineStr"/>
      <c r="H15" s="100">
        <f>SUM(H4:H14)</f>
        <v/>
      </c>
      <c r="I15" s="100">
        <f>SUM(I4:I14)</f>
        <v/>
      </c>
      <c r="J15" s="101">
        <f>IF((H15-I15)&gt;0, I15/(H15-I15), 0)</f>
        <v/>
      </c>
      <c r="K15" s="101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4.727272727272728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2.538461538461538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6.619047619047619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-0.03594414797372594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1439.29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7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10" t="n">
        <v>174.7</v>
      </c>
      <c r="F23" s="10" t="n">
        <v>181.14</v>
      </c>
      <c r="G23" s="10" t="n">
        <v>-6.439999999999998</v>
      </c>
      <c r="H23" s="10" t="n">
        <v>213.09</v>
      </c>
      <c r="I23" s="10" t="n">
        <v>165.17</v>
      </c>
      <c r="J23" s="4" t="inlineStr">
        <is>
          <t>1:2.0</t>
        </is>
      </c>
      <c r="K23" s="4" t="n"/>
      <c r="L23" s="4" t="n"/>
      <c r="M23" s="10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0" t="n">
        <v>605</v>
      </c>
      <c r="F24" s="10" t="n">
        <v>589.2</v>
      </c>
      <c r="G24" s="10" t="n">
        <v>15.79999999999995</v>
      </c>
      <c r="H24" s="10" t="n">
        <v>646.8099999999999</v>
      </c>
      <c r="I24" s="10" t="n">
        <v>560.39</v>
      </c>
      <c r="J24" s="4" t="inlineStr">
        <is>
          <t>1:2.0</t>
        </is>
      </c>
      <c r="K24" s="4" t="n"/>
      <c r="L24" s="4" t="n"/>
      <c r="M24" s="10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inlineStr">
        <is>
          <t>2026-08-16</t>
        </is>
      </c>
      <c r="B1001" s="60" t="inlineStr">
        <is>
          <t>HAPPSTMNDS</t>
        </is>
      </c>
      <c r="C1001" s="60" t="n">
        <v>3</v>
      </c>
      <c r="D1001" s="60" t="n">
        <v>420.2</v>
      </c>
      <c r="F1001" s="60" t="n">
        <v>388.7</v>
      </c>
      <c r="G1001" s="60" t="n">
        <v>483.15</v>
      </c>
      <c r="M1001" s="60" t="inlineStr">
        <is>
          <t>HSTS Regime 2 manual override</t>
        </is>
      </c>
      <c r="N1001" s="4" t="n"/>
      <c r="O1001" s="4" t="n"/>
      <c r="P1001" s="4" t="n"/>
    </row>
    <row r="1002" ht="15.75" customHeight="1" s="61">
      <c r="A1002" s="60" t="inlineStr">
        <is>
          <t>2026-08-16</t>
        </is>
      </c>
      <c r="B1002" s="60" t="inlineStr">
        <is>
          <t>ZEEMEDIA</t>
        </is>
      </c>
      <c r="C1002" s="60" t="n">
        <v>150</v>
      </c>
      <c r="D1002" s="60" t="n">
        <v>9.630000000000001</v>
      </c>
      <c r="F1002" s="60" t="n">
        <v>8.619999999999999</v>
      </c>
      <c r="G1002" s="60" t="n">
        <v>11.65</v>
      </c>
      <c r="M1002" s="60" t="inlineStr">
        <is>
          <t>HSTS Regime 2 manual override</t>
        </is>
      </c>
      <c r="N1002" s="4" t="n"/>
      <c r="O1002" s="4" t="n"/>
      <c r="P1002" s="4" t="n"/>
    </row>
    <row r="1003" ht="15.75" customHeight="1" s="61">
      <c r="A1003" s="60" t="inlineStr">
        <is>
          <t>2026-08-16</t>
        </is>
      </c>
      <c r="B1003" s="60" t="inlineStr">
        <is>
          <t>APEX</t>
        </is>
      </c>
      <c r="C1003" s="60" t="n">
        <v>3</v>
      </c>
      <c r="D1003" s="60" t="n">
        <v>426.35</v>
      </c>
      <c r="F1003" s="60" t="n">
        <v>396.35</v>
      </c>
      <c r="G1003" s="60" t="n">
        <v>486.4</v>
      </c>
      <c r="M1003" s="60" t="inlineStr">
        <is>
          <t>HSTS Regime 2 manual override</t>
        </is>
      </c>
      <c r="N1003" s="4" t="n"/>
      <c r="O1003" s="4" t="n"/>
      <c r="P1003" s="4" t="n"/>
    </row>
    <row r="1004">
      <c r="A1004" s="0" t="inlineStr">
        <is>
          <t>HAPPSTMNDS</t>
        </is>
      </c>
      <c r="B1004" s="0" t="inlineStr">
        <is>
          <t>Happiest Minds</t>
        </is>
      </c>
      <c r="C1004" s="0" t="inlineStr">
        <is>
          <t>2026-08-18</t>
        </is>
      </c>
      <c r="D1004" s="0" t="n">
        <v>3</v>
      </c>
      <c r="E1004" s="0" t="n">
        <v>426.8</v>
      </c>
      <c r="F1004" s="0" t="n">
        <v>426.8</v>
      </c>
      <c r="G1004" s="0" t="inlineStr">
        <is>
          <t>HSTS</t>
        </is>
      </c>
      <c r="H1004" s="0" t="n">
        <v>500</v>
      </c>
      <c r="I1004" s="0" t="n">
        <v>400</v>
      </c>
      <c r="N1004" s="0" t="inlineStr">
        <is>
          <t>OPEN</t>
        </is>
      </c>
      <c r="P1004" s="0" t="inlineStr">
        <is>
          <t>SWING</t>
        </is>
      </c>
    </row>
    <row r="1005">
      <c r="A1005" s="0" t="inlineStr">
        <is>
          <t>ZEEMEDIA</t>
        </is>
      </c>
      <c r="B1005" s="0" t="inlineStr">
        <is>
          <t>Zee Media</t>
        </is>
      </c>
      <c r="C1005" s="0" t="inlineStr">
        <is>
          <t>2026-08-18</t>
        </is>
      </c>
      <c r="D1005" s="0" t="n">
        <v>150</v>
      </c>
      <c r="E1005" s="0" t="n">
        <v>9.699999999999999</v>
      </c>
      <c r="F1005" s="0" t="n">
        <v>9.699999999999999</v>
      </c>
      <c r="G1005" s="0" t="inlineStr">
        <is>
          <t>HSTS</t>
        </is>
      </c>
      <c r="H1005" s="0" t="n">
        <v>15</v>
      </c>
      <c r="I1005" s="0" t="n">
        <v>8</v>
      </c>
      <c r="N1005" s="0" t="inlineStr">
        <is>
          <t>OPEN</t>
        </is>
      </c>
      <c r="P1005" s="0" t="inlineStr">
        <is>
          <t>SWING</t>
        </is>
      </c>
    </row>
    <row r="1006">
      <c r="A1006" s="0" t="inlineStr">
        <is>
          <t>APEX</t>
        </is>
      </c>
      <c r="B1006" s="0" t="inlineStr">
        <is>
          <t>Apex Frozen</t>
        </is>
      </c>
      <c r="C1006" s="0" t="inlineStr">
        <is>
          <t>2026-08-18</t>
        </is>
      </c>
      <c r="D1006" s="0" t="n">
        <v>3</v>
      </c>
      <c r="E1006" s="0" t="n">
        <v>422.55</v>
      </c>
      <c r="F1006" s="0" t="n">
        <v>422.55</v>
      </c>
      <c r="G1006" s="0" t="inlineStr">
        <is>
          <t>HSTS</t>
        </is>
      </c>
      <c r="H1006" s="0" t="n">
        <v>500</v>
      </c>
      <c r="I1006" s="0" t="n">
        <v>400</v>
      </c>
      <c r="N1006" s="0" t="inlineStr">
        <is>
          <t>OPEN</t>
        </is>
      </c>
      <c r="P1006" s="0" t="inlineStr">
        <is>
          <t>SWING</t>
        </is>
      </c>
    </row>
    <row r="1007">
      <c r="A1007" s="0" t="inlineStr">
        <is>
          <t>GAYAPROJ-BE</t>
        </is>
      </c>
      <c r="B1007" s="0" t="inlineStr">
        <is>
          <t>Gayatri Projects</t>
        </is>
      </c>
      <c r="C1007" s="0" t="inlineStr">
        <is>
          <t>2026-08-18</t>
        </is>
      </c>
      <c r="D1007" s="0" t="n">
        <v>100</v>
      </c>
      <c r="E1007" s="0" t="n">
        <v>22.2</v>
      </c>
      <c r="F1007" s="0" t="n">
        <v>22.2</v>
      </c>
      <c r="G1007" s="0" t="inlineStr">
        <is>
          <t>HSTS</t>
        </is>
      </c>
      <c r="H1007" s="0" t="n">
        <v>26.55</v>
      </c>
      <c r="I1007" s="0" t="n">
        <v>20</v>
      </c>
      <c r="N1007" s="0" t="inlineStr">
        <is>
          <t>OPEN</t>
        </is>
      </c>
      <c r="P1007" s="0" t="inlineStr">
        <is>
          <t>SWING</t>
        </is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2026-08-18T03:27:04Z</dcterms:modified>
</cp:coreProperties>
</file>