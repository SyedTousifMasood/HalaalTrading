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5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1"/>
    </font>
    <font>
      <name val="Quattrocento Sans"/>
      <b val="1"/>
      <color theme="1"/>
      <sz val="11"/>
    </font>
    <font>
      <name val="Quattrocento Sans"/>
      <color theme="1"/>
      <sz val="11"/>
    </font>
    <font>
      <name val="Calibri"/>
      <color theme="1"/>
      <scheme val="minor"/>
    </font>
    <font>
      <name val="Calibri"/>
      <color theme="1"/>
      <sz val="11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  <font>
      <name val="Segoe UI"/>
      <b val="1"/>
      <color rgb="00FFFFFF"/>
      <sz val="16"/>
    </font>
    <font>
      <name val="Segoe UI"/>
      <b val="1"/>
      <color rgb="001A365D"/>
      <sz val="12"/>
    </font>
    <font>
      <name val="Segoe UI"/>
      <b val="1"/>
      <color rgb="002D3748"/>
      <sz val="10"/>
    </font>
    <font>
      <name val="Segoe UI"/>
      <color rgb="002D3748"/>
      <sz val="10"/>
    </font>
  </fonts>
  <fills count="10">
    <fill>
      <patternFill/>
    </fill>
    <fill>
      <patternFill patternType="lightGray"/>
    </fill>
    <fill>
      <patternFill patternType="solid">
        <fgColor rgb="FF1B365D"/>
        <bgColor rgb="FF1B365D"/>
      </patternFill>
    </fill>
    <fill>
      <patternFill patternType="solid">
        <fgColor rgb="FFF2F4F7"/>
        <bgColor rgb="FFF2F4F7"/>
      </patternFill>
    </fill>
    <fill>
      <patternFill patternType="solid">
        <fgColor rgb="FF2B6CB0"/>
        <bgColor rgb="FF2B6CB0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7">
    <border/>
    <border>
      <left/>
      <right/>
      <top/>
      <bottom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  <border>
      <top style="thin">
        <color rgb="00CBD5E0"/>
      </top>
    </border>
    <border>
      <right style="thin">
        <color rgb="00CBD5E0"/>
      </right>
      <top style="thin">
        <color rgb="00CBD5E0"/>
      </top>
    </border>
    <border>
      <top style="thin">
        <color rgb="00CBD5E0"/>
      </top>
      <bottom style="thin">
        <color rgb="00CBD5E0"/>
      </bottom>
    </border>
    <border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6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8" fillId="6" borderId="1" applyAlignment="1" pivotButton="0" quotePrefix="0" xfId="0">
      <alignment horizontal="center" vertical="center"/>
    </xf>
    <xf numFmtId="0" fontId="9" fillId="7" borderId="1" pivotButton="0" quotePrefix="0" xfId="0"/>
    <xf numFmtId="164" fontId="10" fillId="0" borderId="0" pivotButton="0" quotePrefix="0" xfId="0"/>
    <xf numFmtId="165" fontId="10" fillId="0" borderId="0" pivotButton="0" quotePrefix="0" xfId="0"/>
    <xf numFmtId="0" fontId="10" fillId="0" borderId="0" pivotButton="0" quotePrefix="0" xfId="0"/>
    <xf numFmtId="0" fontId="9" fillId="7" borderId="0" pivotButton="0" quotePrefix="0" xfId="0"/>
    <xf numFmtId="164" fontId="0" fillId="0" borderId="0" pivotButton="0" quotePrefix="0" xfId="0"/>
    <xf numFmtId="0" fontId="11" fillId="8" borderId="0" applyAlignment="1" pivotButton="0" quotePrefix="0" xfId="0">
      <alignment horizontal="center" vertical="center"/>
    </xf>
    <xf numFmtId="0" fontId="12" fillId="0" borderId="0" pivotButton="0" quotePrefix="0" xfId="0"/>
    <xf numFmtId="0" fontId="13" fillId="9" borderId="2" applyAlignment="1" pivotButton="0" quotePrefix="0" xfId="0">
      <alignment horizontal="left" vertical="center" wrapText="1"/>
    </xf>
    <xf numFmtId="0" fontId="14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1" workbookViewId="0">
      <selection activeCell="A1" sqref="A1"/>
    </sheetView>
  </sheetViews>
  <sheetFormatPr baseColWidth="8" defaultRowHeight="15"/>
  <cols>
    <col width="24" customWidth="1" style="12" min="1" max="1"/>
    <col width="24" customWidth="1" style="12" min="2" max="2"/>
    <col width="24" customWidth="1" style="12" min="3" max="3"/>
    <col width="32" customWidth="1" style="12" min="4" max="4"/>
  </cols>
  <sheetData>
    <row r="1" ht="40" customHeight="1" s="12">
      <c r="A1" s="21" t="inlineStr">
        <is>
          <t>HSTS - HALAL SWING TRADING SYSTEM PLAYBOOK</t>
        </is>
      </c>
    </row>
    <row r="3" ht="24" customHeight="1" s="12">
      <c r="A3" s="22" t="inlineStr">
        <is>
          <t>1. SYSTEM OVERVIEW</t>
        </is>
      </c>
    </row>
    <row r="4" ht="20" customHeight="1" s="12">
      <c r="A4" s="23" t="inlineStr">
        <is>
          <t>System Type</t>
        </is>
      </c>
      <c r="B4" s="24" t="inlineStr">
        <is>
          <t>Rule-based quantitative Swing Trading system optimized for momentum setups.</t>
        </is>
      </c>
      <c r="C4" s="26" t="n"/>
      <c r="D4" s="27" t="n"/>
    </row>
    <row r="5" ht="20" customHeight="1" s="12">
      <c r="A5" s="23" t="inlineStr">
        <is>
          <t>Asset Class</t>
        </is>
      </c>
      <c r="B5" s="24" t="inlineStr">
        <is>
          <t>Indian Equities listed on NSE and BSE.</t>
        </is>
      </c>
      <c r="C5" s="26" t="n"/>
      <c r="D5" s="27" t="n"/>
    </row>
    <row r="6" ht="20" customHeight="1" s="12">
      <c r="A6" s="23" t="inlineStr">
        <is>
          <t>Target Universe</t>
        </is>
      </c>
      <c r="B6" s="24" t="inlineStr">
        <is>
          <t>Sharia-compliant stocks with high liquidity (Market Cap &gt; ₹500 Cr, Average Daily Volume &gt; 100,000).</t>
        </is>
      </c>
      <c r="C6" s="26" t="n"/>
      <c r="D6" s="27" t="n"/>
    </row>
    <row r="7" ht="20" customHeight="1" s="12">
      <c r="A7" s="23" t="inlineStr">
        <is>
          <t>Trading Regime</t>
        </is>
      </c>
      <c r="B7" s="24" t="inlineStr">
        <is>
          <t>Adaptive momentum filters powered by custom trend, volatility, volume, and levels weights.</t>
        </is>
      </c>
      <c r="C7" s="26" t="n"/>
      <c r="D7" s="27" t="n"/>
    </row>
    <row r="9" ht="24" customHeight="1" s="12">
      <c r="A9" s="22" t="inlineStr">
        <is>
          <t>2. SHARIA COMPLIANCE RULES (AAOIFI STANDARDS)</t>
        </is>
      </c>
    </row>
    <row r="10" ht="20" customHeight="1" s="12">
      <c r="A10" s="23" t="inlineStr">
        <is>
          <t>Sector Exclusions</t>
        </is>
      </c>
      <c r="B10" s="24" t="inlineStr">
        <is>
          <t>Conventional Financial Services (Banks, Credit Services, Insurance), Tobacco, Alcohol, Brewers/Wineries, Gambling.</t>
        </is>
      </c>
      <c r="C10" s="26" t="n"/>
      <c r="D10" s="27" t="n"/>
    </row>
    <row r="11" ht="20" customHeight="1" s="12">
      <c r="A11" s="23" t="inlineStr">
        <is>
          <t>Debt Ratio Limit</t>
        </is>
      </c>
      <c r="B11" s="24" t="inlineStr">
        <is>
          <t>Total Long Term &amp; Short Term Debt / Total Assets must be strictly less than 33%.</t>
        </is>
      </c>
      <c r="C11" s="26" t="n"/>
      <c r="D11" s="27" t="n"/>
    </row>
    <row r="12" ht="20" customHeight="1" s="12">
      <c r="A12" s="23" t="inlineStr">
        <is>
          <t>Cash Ratio Limit</t>
        </is>
      </c>
      <c r="B12" s="24" t="inlineStr">
        <is>
          <t>Cash And Cash Equivalents &amp; Short Term Investments / Total Assets must be strictly less than 33%.</t>
        </is>
      </c>
      <c r="C12" s="26" t="n"/>
      <c r="D12" s="27" t="n"/>
    </row>
    <row r="13" ht="20" customHeight="1" s="12">
      <c r="A13" s="23" t="inlineStr">
        <is>
          <t>Receivables Ratio</t>
        </is>
      </c>
      <c r="B13" s="24" t="inlineStr">
        <is>
          <t>Net Receivables / Total Assets must be strictly less than 49%.</t>
        </is>
      </c>
      <c r="C13" s="26" t="n"/>
      <c r="D13" s="27" t="n"/>
    </row>
    <row r="14" ht="20" customHeight="1" s="12">
      <c r="A14" s="23" t="inlineStr">
        <is>
          <t>Non-Permissible Income</t>
        </is>
      </c>
      <c r="B14" s="24" t="inlineStr">
        <is>
          <t>Interest and Haram non-operating income / Total Revenue must be strictly less than 5%.</t>
        </is>
      </c>
      <c r="C14" s="26" t="n"/>
      <c r="D14" s="27" t="n"/>
    </row>
    <row r="16" ht="24" customHeight="1" s="12">
      <c r="A16" s="22" t="inlineStr">
        <is>
          <t>3. RISK &amp; POSITION SIZING CONTROLS</t>
        </is>
      </c>
    </row>
    <row r="17" ht="20" customHeight="1" s="12">
      <c r="A17" s="23" t="inlineStr">
        <is>
          <t>Capital Control</t>
        </is>
      </c>
      <c r="B17" s="24" t="inlineStr">
        <is>
          <t>Position sizing is dynamically calculated based on the actual Capital Available for Trading in this journal.</t>
        </is>
      </c>
      <c r="C17" s="26" t="n"/>
      <c r="D17" s="27" t="n"/>
    </row>
    <row r="18" ht="20" customHeight="1" s="12">
      <c r="A18" s="23" t="inlineStr">
        <is>
          <t>Allocation Cap</t>
        </is>
      </c>
      <c r="B18" s="24" t="inlineStr">
        <is>
          <t>Maximum capital allocated per trade is strictly capped at 20% of your total available account balance.</t>
        </is>
      </c>
      <c r="C18" s="26" t="n"/>
      <c r="D18" s="27" t="n"/>
    </row>
    <row r="19" ht="20" customHeight="1" s="12">
      <c r="A19" s="23" t="inlineStr">
        <is>
          <t>Stop Loss (SL)</t>
        </is>
      </c>
      <c r="B19" s="24" t="inlineStr">
        <is>
          <t>Calculated dynamically using volatility (ATR / 200 EMA bounds) to guarantee downside protection.</t>
        </is>
      </c>
      <c r="C19" s="26" t="n"/>
      <c r="D19" s="27" t="n"/>
    </row>
    <row r="20" ht="20" customHeight="1" s="12">
      <c r="A20" s="23" t="inlineStr">
        <is>
          <t>Target Price (T1)</t>
        </is>
      </c>
      <c r="B20" s="24" t="inlineStr">
        <is>
          <t>Calculated using volatility metrics to target a minimum Risk-to-Reward ratio of 1:2.0.</t>
        </is>
      </c>
      <c r="C20" s="26" t="n"/>
      <c r="D20" s="27" t="n"/>
    </row>
    <row r="21" ht="20" customHeight="1" s="12">
      <c r="A21" s="23" t="inlineStr">
        <is>
          <t>Market Regime Filter</t>
        </is>
      </c>
      <c r="B21" s="24" t="inlineStr">
        <is>
          <t>Bullish: Nifty 50 &gt; 200 EMA (Trades permitted). Bearish: Nifty 50 &lt; 200 EMA (Long entries strictly skipped).</t>
        </is>
      </c>
      <c r="C21" s="26" t="n"/>
      <c r="D21" s="27" t="n"/>
    </row>
    <row r="23" ht="24" customHeight="1" s="12">
      <c r="A23" s="22" t="inlineStr">
        <is>
          <t>4. SYSTEM EXECUTION COMMANDS</t>
        </is>
      </c>
    </row>
    <row r="24" ht="20" customHeight="1" s="12">
      <c r="A24" s="23" t="inlineStr">
        <is>
          <t>Allocation Cap</t>
        </is>
      </c>
      <c r="B24" s="24" t="inlineStr">
        <is>
          <t>State-dependent: 20% max in State 1 (Macro Bullish); 10% max in State 2 (Bear Relief Rally) &amp; State 3 (Capitulation Bottom); 0% in State 4 (Cash Only).</t>
        </is>
      </c>
      <c r="C24" s="26" t="n"/>
      <c r="D24" s="27" t="n"/>
    </row>
    <row r="25" ht="20" customHeight="1" s="12">
      <c r="A25" s="23" t="inlineStr">
        <is>
          <t>EOD Sync</t>
        </is>
      </c>
      <c r="B25" s="24" t="inlineStr">
        <is>
          <t>Run: py main.py sync-zerodha-orders  (Auto-syncs filled orders from Zerodha Kite, updates Ledger and Capital sheet)</t>
        </is>
      </c>
      <c r="C25" s="26" t="n"/>
      <c r="D25" s="27" t="n"/>
    </row>
    <row r="26" ht="20" customHeight="1" s="12">
      <c r="A26" s="23" t="inlineStr">
        <is>
          <t>BSE Scan Expansion</t>
        </is>
      </c>
      <c r="B26" s="24" t="inlineStr">
        <is>
          <t>Run: py scratch/scan_all_bse.py  (Scans BSE equities to expand the Sharia-compliant universe)</t>
        </is>
      </c>
      <c r="C26" s="26" t="n"/>
      <c r="D26" s="27" t="n"/>
    </row>
    <row r="27" ht="20" customHeight="1" s="12">
      <c r="A27" s="23" t="inlineStr">
        <is>
          <t>Market Regime Filter</t>
        </is>
      </c>
      <c r="B27" s="24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26" t="n"/>
      <c r="D27" s="27" t="n"/>
    </row>
    <row r="28" ht="20" customHeight="1" s="12">
      <c r="A28" s="23" t="inlineStr">
        <is>
          <t>Broker Integration</t>
        </is>
      </c>
      <c r="B28" s="24" t="inlineStr">
        <is>
          <t>Uses custom Zerodha Web Adapter (totp_secret &amp; enctoken verification) to execute zero-cost trades without subscription.</t>
        </is>
      </c>
      <c r="C28" s="26" t="n"/>
      <c r="D28" s="27" t="n"/>
    </row>
  </sheetData>
  <mergeCells count="20">
    <mergeCell ref="B11:D11"/>
    <mergeCell ref="B14:D14"/>
    <mergeCell ref="B17:D17"/>
    <mergeCell ref="B13:D13"/>
    <mergeCell ref="B10:D10"/>
    <mergeCell ref="B28:D28"/>
    <mergeCell ref="B19:D19"/>
    <mergeCell ref="B6:D6"/>
    <mergeCell ref="B24:D24"/>
    <mergeCell ref="B20:D20"/>
    <mergeCell ref="A1:D1"/>
    <mergeCell ref="B5:D5"/>
    <mergeCell ref="B4:D4"/>
    <mergeCell ref="B26:D26"/>
    <mergeCell ref="B7:D7"/>
    <mergeCell ref="B25:D25"/>
    <mergeCell ref="B18:D18"/>
    <mergeCell ref="B27:D27"/>
    <mergeCell ref="B21:D21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12" min="1" max="1"/>
    <col width="22" customWidth="1" style="12" min="2" max="2"/>
    <col width="8.710000000000001" customWidth="1" style="12" min="3" max="26"/>
  </cols>
  <sheetData>
    <row r="1" ht="30" customHeight="1" s="12">
      <c r="A1" s="13" t="inlineStr">
        <is>
          <t>HSTS v1.0 Trading Dashboard</t>
        </is>
      </c>
    </row>
    <row r="3" ht="24" customHeight="1" s="12">
      <c r="A3" s="14" t="inlineStr">
        <is>
          <t>Metric</t>
        </is>
      </c>
      <c r="B3" s="14" t="inlineStr">
        <is>
          <t>Value</t>
        </is>
      </c>
    </row>
    <row r="4">
      <c r="A4" s="15" t="inlineStr">
        <is>
          <t>Total Net Capital Deposited</t>
        </is>
      </c>
      <c r="B4" s="16">
        <f>SUMIF(Capital!B:B, "DEPOSIT", Capital!C:C) - SUMIF(Capital!B:B, "WITHDRAWAL", Capital!C:C)</f>
        <v/>
      </c>
    </row>
    <row r="5">
      <c r="A5" s="15" t="inlineStr">
        <is>
          <t>Lifetime Realized PnL</t>
        </is>
      </c>
      <c r="B5" s="16">
        <f>SUM(Ledger!M:M)</f>
        <v/>
      </c>
    </row>
    <row r="6">
      <c r="A6" s="15" t="inlineStr">
        <is>
          <t>Current Total Portfolio Value</t>
        </is>
      </c>
      <c r="B6" s="16">
        <f>B4 + B5</f>
        <v/>
      </c>
    </row>
    <row r="7">
      <c r="A7" s="15" t="inlineStr">
        <is>
          <t>Capital Deployed in Open Trades</t>
        </is>
      </c>
      <c r="B7" s="16">
        <f>SUMPRODUCT((Ledger!N2:N500="OPEN")*(Ledger!E2:E500)*(Ledger!D2:D500))</f>
        <v/>
      </c>
    </row>
    <row r="8">
      <c r="A8" s="15" t="inlineStr">
        <is>
          <t>Capital Available for Trading</t>
        </is>
      </c>
      <c r="B8" s="16">
        <f>B6 - B7</f>
        <v/>
      </c>
    </row>
    <row r="9">
      <c r="A9" s="15" t="inlineStr">
        <is>
          <t>Win Rate</t>
        </is>
      </c>
      <c r="B9" s="17">
        <f>IF((COUNTIF(Ledger!N:N, "WIN")+COUNTIF(Ledger!N:N, "LOSS"))&gt;0, COUNTIF(Ledger!N:N, "WIN")/(COUNTIF(Ledger!N:N, "WIN")+COUNTIF(Ledger!N:N, "LOSS")), 0)</f>
        <v/>
      </c>
    </row>
    <row r="10">
      <c r="A10" s="15" t="inlineStr">
        <is>
          <t>Total Completed Trades</t>
        </is>
      </c>
      <c r="B10" s="18">
        <f>COUNTIF(Ledger!N:N, "WIN") + COUNTIF(Ledger!N:N, "LOSS")</f>
        <v/>
      </c>
    </row>
    <row r="11">
      <c r="A11" s="15" t="inlineStr">
        <is>
          <t>Active Open Positions</t>
        </is>
      </c>
      <c r="B11" s="18">
        <f>COUNTIF(Ledger!N:N, "OPEN")</f>
        <v/>
      </c>
    </row>
    <row r="12">
      <c r="A12" s="19" t="inlineStr">
        <is>
          <t>Win Trades</t>
        </is>
      </c>
      <c r="B12" s="18">
        <f>COUNTIF(Ledger!N:N, "WIN")</f>
        <v/>
      </c>
    </row>
    <row r="13">
      <c r="A13" s="19" t="inlineStr">
        <is>
          <t>Loss Trades</t>
        </is>
      </c>
      <c r="B13" s="18">
        <f>COUNTIF(Ledger!N:N, "LOSS")</f>
        <v/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1"/>
    <col width="25" customWidth="1" style="12" min="2" max="2"/>
    <col width="16" customWidth="1" style="12" min="3" max="9"/>
    <col width="22" customWidth="1" style="12" min="10" max="10"/>
    <col width="16" customWidth="1" style="12" min="11" max="14"/>
    <col width="30" customWidth="1" style="12" min="15" max="15"/>
    <col width="8.710000000000001" customWidth="1" style="12" min="16" max="26"/>
  </cols>
  <sheetData>
    <row r="1" ht="27.75" customHeight="1" s="12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</row>
    <row r="2">
      <c r="A2" s="10" t="inlineStr">
        <is>
          <t>SUNPHARMA</t>
        </is>
      </c>
      <c r="B2" s="10" t="inlineStr">
        <is>
          <t>SUNPHARMA</t>
        </is>
      </c>
      <c r="C2" s="10" t="inlineStr">
        <is>
          <t>2026-07-21</t>
        </is>
      </c>
      <c r="D2" s="10" t="n">
        <v>1</v>
      </c>
      <c r="E2" s="8" t="n">
        <v>1951</v>
      </c>
      <c r="F2" s="8" t="n">
        <v>1963.199951171875</v>
      </c>
      <c r="G2" s="8" t="n">
        <v>-12.199951171875</v>
      </c>
      <c r="H2" s="8" t="n">
        <v>2091.543361767483</v>
      </c>
      <c r="I2" s="8" t="n">
        <v>1899.028245874071</v>
      </c>
      <c r="J2" s="10" t="inlineStr">
        <is>
          <t>1:2.7</t>
        </is>
      </c>
      <c r="K2" s="0" t="inlineStr">
        <is>
          <t>2026-07-21</t>
        </is>
      </c>
      <c r="L2" s="20" t="n">
        <v>1960</v>
      </c>
      <c r="M2" s="8">
        <f>IF(N2="OPEN", 0, (L2-E2)*D2)</f>
        <v/>
      </c>
      <c r="N2" s="10" t="inlineStr">
        <is>
          <t>WIN</t>
        </is>
      </c>
      <c r="O2" s="10" t="inlineStr">
        <is>
          <t>Auto-synced from Zerodha account | Auto-synced sell from Zerodha account</t>
        </is>
      </c>
    </row>
    <row r="3">
      <c r="A3" s="10" t="inlineStr">
        <is>
          <t>JSWSTEEL</t>
        </is>
      </c>
      <c r="B3" s="10" t="inlineStr">
        <is>
          <t>JSWSTEEL</t>
        </is>
      </c>
      <c r="C3" s="10" t="inlineStr">
        <is>
          <t>2026-07-21</t>
        </is>
      </c>
      <c r="D3" s="10" t="n">
        <v>1</v>
      </c>
      <c r="E3" s="8" t="n">
        <v>1266.4</v>
      </c>
      <c r="F3" s="8" t="n">
        <v>1268.099975585938</v>
      </c>
      <c r="G3" s="8" t="n">
        <v>-1.699975585937409</v>
      </c>
      <c r="H3" s="8" t="n">
        <v>1369.684246737149</v>
      </c>
      <c r="I3" s="8" t="n">
        <v>1217.307840010332</v>
      </c>
      <c r="J3" s="10" t="inlineStr">
        <is>
          <t>1:2.1</t>
        </is>
      </c>
      <c r="K3" s="0" t="inlineStr">
        <is>
          <t>2026-07-21</t>
        </is>
      </c>
      <c r="L3" s="20" t="n">
        <v>1267.1</v>
      </c>
      <c r="M3" s="8">
        <f>IF(N3="OPEN", 0, (L3-E3)*D3)</f>
        <v/>
      </c>
      <c r="N3" s="10" t="inlineStr">
        <is>
          <t>WIN</t>
        </is>
      </c>
      <c r="O3" s="10" t="inlineStr">
        <is>
          <t>Auto-synced from Zerodha account | Auto-synced sell from Zerodha account</t>
        </is>
      </c>
    </row>
    <row r="4">
      <c r="A4" s="10" t="inlineStr">
        <is>
          <t>TECHM</t>
        </is>
      </c>
      <c r="B4" s="10" t="inlineStr">
        <is>
          <t>TECHM</t>
        </is>
      </c>
      <c r="C4" s="10" t="inlineStr">
        <is>
          <t>2026-07-21</t>
        </is>
      </c>
      <c r="D4" s="10" t="n">
        <v>1</v>
      </c>
      <c r="E4" s="8" t="n">
        <v>1589.1</v>
      </c>
      <c r="F4" s="8" t="n">
        <v>1582.699951171875</v>
      </c>
      <c r="G4" s="8" t="n">
        <v>6.400048828124909</v>
      </c>
      <c r="H4" s="8" t="n">
        <v>1785.968673647753</v>
      </c>
      <c r="I4" s="8" t="n">
        <v>1481.065589933936</v>
      </c>
      <c r="J4" s="10" t="inlineStr">
        <is>
          <t>1:1.8</t>
        </is>
      </c>
      <c r="K4" s="0" t="inlineStr">
        <is>
          <t>2026-07-21</t>
        </is>
      </c>
      <c r="L4" s="20" t="n">
        <v>1575</v>
      </c>
      <c r="M4" s="8">
        <f>IF(N4="OPEN", 0, (L4-E4)*D4)</f>
        <v/>
      </c>
      <c r="N4" s="10" t="inlineStr">
        <is>
          <t>WIN</t>
        </is>
      </c>
      <c r="O4" s="10" t="inlineStr">
        <is>
          <t>Auto-synced from Zerodha account | Auto-synced sell from Zerodha account</t>
        </is>
      </c>
    </row>
    <row r="5">
      <c r="A5" s="0" t="inlineStr">
        <is>
          <t>SONACOMS</t>
        </is>
      </c>
      <c r="B5" s="0" t="inlineStr">
        <is>
          <t>SONACOMS</t>
        </is>
      </c>
      <c r="C5" s="0" t="inlineStr">
        <is>
          <t>2026-07-22</t>
        </is>
      </c>
      <c r="D5" s="0" t="n">
        <v>2</v>
      </c>
      <c r="E5" s="20" t="n">
        <v>734.7</v>
      </c>
      <c r="F5" s="20" t="n">
        <v>730.4500122070312</v>
      </c>
      <c r="G5" s="20" t="n">
        <v>4.249987792968795</v>
      </c>
      <c r="H5" s="20" t="n">
        <v>800.5786220005581</v>
      </c>
      <c r="I5" s="20" t="n">
        <v>695.3857073102679</v>
      </c>
      <c r="J5" s="0" t="inlineStr">
        <is>
          <t>1:1.7</t>
        </is>
      </c>
      <c r="K5" s="0" t="inlineStr"/>
      <c r="L5" s="0" t="inlineStr"/>
      <c r="M5" s="20">
        <f>IF(N5="OPEN", 0, (L5-E5)*D5)</f>
        <v/>
      </c>
      <c r="N5" s="0" t="inlineStr">
        <is>
          <t>OPEN</t>
        </is>
      </c>
      <c r="O5" s="0" t="inlineStr">
        <is>
          <t>Auto-synced from Zerodha account</t>
        </is>
      </c>
    </row>
    <row r="6">
      <c r="A6" s="0" t="inlineStr">
        <is>
          <t>JSWSTEEL</t>
        </is>
      </c>
      <c r="B6" s="0" t="inlineStr">
        <is>
          <t>JSWSTEEL</t>
        </is>
      </c>
      <c r="C6" s="0" t="inlineStr">
        <is>
          <t>2026-07-22</t>
        </is>
      </c>
      <c r="D6" s="0" t="n">
        <v>1</v>
      </c>
      <c r="E6" s="20" t="n">
        <v>1265.1</v>
      </c>
      <c r="F6" s="20" t="n">
        <v>1271.400024414062</v>
      </c>
      <c r="G6" s="20" t="n">
        <v>-6.300024414062591</v>
      </c>
      <c r="H6" s="20" t="n">
        <v>1371.961724656836</v>
      </c>
      <c r="I6" s="20" t="n">
        <v>1221.119174292676</v>
      </c>
      <c r="J6" s="0" t="inlineStr">
        <is>
          <t>1:2.4</t>
        </is>
      </c>
      <c r="K6" s="0" t="inlineStr"/>
      <c r="L6" s="0" t="inlineStr"/>
      <c r="M6" s="20">
        <f>IF(N6="OPEN", 0, (L6-E6)*D6)</f>
        <v/>
      </c>
      <c r="N6" s="0" t="inlineStr">
        <is>
          <t>OPEN</t>
        </is>
      </c>
      <c r="O6" s="0" t="inlineStr">
        <is>
          <t>Auto-synced from Zerodha account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12" min="1" max="2"/>
    <col width="25" customWidth="1" style="12" min="3" max="3"/>
    <col width="18" customWidth="1" style="12" min="4" max="7"/>
    <col width="22" customWidth="1" style="12" min="8" max="8"/>
    <col width="18" customWidth="1" style="12" min="9" max="9"/>
    <col width="22" customWidth="1" style="12" min="10" max="10"/>
    <col width="24" customWidth="1" style="12" min="11" max="11"/>
    <col width="30" customWidth="1" style="12" min="12" max="12"/>
    <col width="8.710000000000001" customWidth="1" style="12" min="13" max="26"/>
  </cols>
  <sheetData>
    <row r="1" ht="27.75" customHeight="1" s="12">
      <c r="A1" s="9" t="inlineStr">
        <is>
          <t>Date</t>
        </is>
      </c>
      <c r="B1" s="9" t="inlineStr">
        <is>
          <t>Symbol</t>
        </is>
      </c>
      <c r="C1" s="9" t="inlineStr">
        <is>
          <t>Name</t>
        </is>
      </c>
      <c r="D1" s="9" t="inlineStr">
        <is>
          <t>Composite Score</t>
        </is>
      </c>
      <c r="E1" s="9" t="inlineStr">
        <is>
          <t>Target Entry Price</t>
        </is>
      </c>
      <c r="F1" s="9" t="inlineStr">
        <is>
          <t>Initial Stop-Loss</t>
        </is>
      </c>
      <c r="G1" s="9" t="inlineStr">
        <is>
          <t>Profit Target</t>
        </is>
      </c>
      <c r="H1" s="9" t="inlineStr">
        <is>
          <t>Risk-to-Reward Ratio</t>
        </is>
      </c>
      <c r="I1" s="9" t="inlineStr">
        <is>
          <t>Recommended Qty</t>
        </is>
      </c>
      <c r="J1" s="9" t="inlineStr">
        <is>
          <t>Recommended Allocation</t>
        </is>
      </c>
      <c r="K1" s="9" t="inlineStr">
        <is>
          <t>Execution Status</t>
        </is>
      </c>
      <c r="L1" s="9" t="inlineStr">
        <is>
          <t>Notes</t>
        </is>
      </c>
    </row>
    <row r="2">
      <c r="A2" s="0" t="inlineStr">
        <is>
          <t>2026-07-21</t>
        </is>
      </c>
      <c r="B2" s="0" t="inlineStr">
        <is>
          <t>JSWSTEEL</t>
        </is>
      </c>
      <c r="C2" s="0" t="inlineStr">
        <is>
          <t>JSW Steel Limited</t>
        </is>
      </c>
      <c r="D2" s="0" t="inlineStr">
        <is>
          <t>96/100</t>
        </is>
      </c>
      <c r="E2" s="20" t="n">
        <v>1267.400024414062</v>
      </c>
      <c r="F2" s="20" t="n">
        <v>1217.533463494685</v>
      </c>
      <c r="G2" s="20" t="n">
        <v>1367.133146252818</v>
      </c>
      <c r="H2" s="0" t="inlineStr">
        <is>
          <t>1:2.0</t>
        </is>
      </c>
      <c r="I2" s="0" t="n">
        <v>1</v>
      </c>
      <c r="J2" s="20" t="n">
        <v>1267.400024414062</v>
      </c>
      <c r="K2" s="0" t="inlineStr">
        <is>
          <t>SKIPPED_BEARISH_REGIME</t>
        </is>
      </c>
      <c r="L2" s="0" t="inlineStr">
        <is>
          <t>Scanned under BEARISH regime</t>
        </is>
      </c>
    </row>
    <row r="3">
      <c r="A3" s="0" t="inlineStr">
        <is>
          <t>2026-07-21</t>
        </is>
      </c>
      <c r="B3" s="0" t="inlineStr">
        <is>
          <t>LUPIN</t>
        </is>
      </c>
      <c r="C3" s="0" t="inlineStr">
        <is>
          <t>Lupin Limited</t>
        </is>
      </c>
      <c r="D3" s="0" t="inlineStr">
        <is>
          <t>96/100</t>
        </is>
      </c>
      <c r="E3" s="20" t="n">
        <v>2514.800048828125</v>
      </c>
      <c r="F3" s="20" t="n">
        <v>2414.086713938525</v>
      </c>
      <c r="G3" s="20" t="n">
        <v>2716.226718607325</v>
      </c>
      <c r="H3" s="0" t="inlineStr">
        <is>
          <t>1:2.0</t>
        </is>
      </c>
      <c r="I3" s="0" t="n">
        <v>0</v>
      </c>
      <c r="J3" s="20" t="n">
        <v>0</v>
      </c>
      <c r="K3" s="0" t="inlineStr">
        <is>
          <t>SKIPPED_BEARISH_REGIME</t>
        </is>
      </c>
      <c r="L3" s="0" t="inlineStr">
        <is>
          <t>Scanned under BEARISH regime</t>
        </is>
      </c>
    </row>
    <row r="4">
      <c r="A4" s="0" t="inlineStr">
        <is>
          <t>2026-07-21</t>
        </is>
      </c>
      <c r="B4" s="0" t="inlineStr">
        <is>
          <t>ULTRACEMCO</t>
        </is>
      </c>
      <c r="C4" s="0" t="inlineStr">
        <is>
          <t>UltraTech Cement Limited</t>
        </is>
      </c>
      <c r="D4" s="0" t="inlineStr">
        <is>
          <t>94/100</t>
        </is>
      </c>
      <c r="E4" s="20" t="n">
        <v>12094</v>
      </c>
      <c r="F4" s="20" t="n">
        <v>11658.42857142857</v>
      </c>
      <c r="G4" s="20" t="n">
        <v>12965.14285714286</v>
      </c>
      <c r="H4" s="0" t="inlineStr">
        <is>
          <t>1:2.0</t>
        </is>
      </c>
      <c r="I4" s="0" t="n">
        <v>0</v>
      </c>
      <c r="J4" s="20" t="n">
        <v>0</v>
      </c>
      <c r="K4" s="0" t="inlineStr">
        <is>
          <t>SKIPPED_BEARISH_REGIME</t>
        </is>
      </c>
      <c r="L4" s="0" t="inlineStr">
        <is>
          <t>Scanned under BEARISH regime</t>
        </is>
      </c>
    </row>
    <row r="5">
      <c r="A5" s="0" t="inlineStr">
        <is>
          <t>2026-07-21</t>
        </is>
      </c>
      <c r="B5" s="0" t="inlineStr">
        <is>
          <t>NAVINFLUOR</t>
        </is>
      </c>
      <c r="C5" s="0" t="inlineStr">
        <is>
          <t>Navin Fluorine International Limited</t>
        </is>
      </c>
      <c r="D5" s="0" t="inlineStr">
        <is>
          <t>94/100</t>
        </is>
      </c>
      <c r="E5" s="20" t="n">
        <v>7882</v>
      </c>
      <c r="F5" s="20" t="n">
        <v>7455.142857142857</v>
      </c>
      <c r="G5" s="20" t="n">
        <v>8735.714285714286</v>
      </c>
      <c r="H5" s="0" t="inlineStr">
        <is>
          <t>1:2.0</t>
        </is>
      </c>
      <c r="I5" s="0" t="n">
        <v>0</v>
      </c>
      <c r="J5" s="20" t="n">
        <v>0</v>
      </c>
      <c r="K5" s="0" t="inlineStr">
        <is>
          <t>SKIPPED_BEARISH_REGIME</t>
        </is>
      </c>
      <c r="L5" s="0" t="inlineStr">
        <is>
          <t>Scanned under BEARISH regime</t>
        </is>
      </c>
    </row>
    <row r="6">
      <c r="A6" s="0" t="inlineStr">
        <is>
          <t>2026-07-21</t>
        </is>
      </c>
      <c r="B6" s="0" t="inlineStr">
        <is>
          <t>ERIS</t>
        </is>
      </c>
      <c r="C6" s="0" t="inlineStr">
        <is>
          <t>Eris Lifesciences Limited</t>
        </is>
      </c>
      <c r="D6" s="0" t="inlineStr">
        <is>
          <t>94/100</t>
        </is>
      </c>
      <c r="E6" s="20" t="n">
        <v>1470</v>
      </c>
      <c r="F6" s="20" t="n">
        <v>1391.314226422991</v>
      </c>
      <c r="G6" s="20" t="n">
        <v>1627.371547154018</v>
      </c>
      <c r="H6" s="0" t="inlineStr">
        <is>
          <t>1:2.0</t>
        </is>
      </c>
      <c r="I6" s="0" t="n">
        <v>1</v>
      </c>
      <c r="J6" s="20" t="n">
        <v>1470</v>
      </c>
      <c r="K6" s="0" t="inlineStr">
        <is>
          <t>SKIPPED_BEARISH_REGIME</t>
        </is>
      </c>
      <c r="L6" s="0" t="inlineStr">
        <is>
          <t>Scanned under BEARISH regime</t>
        </is>
      </c>
    </row>
    <row r="7">
      <c r="A7" s="0" t="inlineStr">
        <is>
          <t>2026-07-22</t>
        </is>
      </c>
      <c r="B7" s="0" t="inlineStr">
        <is>
          <t>JSWSTEEL</t>
        </is>
      </c>
      <c r="C7" s="0" t="inlineStr">
        <is>
          <t>JSW Steel Limited</t>
        </is>
      </c>
      <c r="D7" s="0" t="inlineStr">
        <is>
          <t>96/100</t>
        </is>
      </c>
      <c r="E7" s="20" t="n">
        <v>1267.4</v>
      </c>
      <c r="F7" s="20" t="n">
        <v>1219.23</v>
      </c>
      <c r="G7" s="20" t="n">
        <v>1363.73</v>
      </c>
      <c r="H7" s="0" t="inlineStr">
        <is>
          <t>1:2.0</t>
        </is>
      </c>
      <c r="I7" s="0" t="n">
        <v>1</v>
      </c>
      <c r="J7" s="20" t="n">
        <v>1267.4</v>
      </c>
      <c r="K7" s="0" t="inlineStr">
        <is>
          <t>SKIPPED_BEARISH_REGIME</t>
        </is>
      </c>
      <c r="L7" s="0" t="inlineStr">
        <is>
          <t>Manual execution shift requested by user</t>
        </is>
      </c>
    </row>
    <row r="8">
      <c r="A8" s="0" t="inlineStr">
        <is>
          <t>2026-07-22</t>
        </is>
      </c>
      <c r="B8" s="0" t="inlineStr">
        <is>
          <t>SONACOMS</t>
        </is>
      </c>
      <c r="C8" s="0" t="inlineStr">
        <is>
          <t>Sona BLW Precision Forgings Limited</t>
        </is>
      </c>
      <c r="D8" s="0" t="inlineStr">
        <is>
          <t>92/100</t>
        </is>
      </c>
      <c r="E8" s="20" t="n">
        <v>732.75</v>
      </c>
      <c r="F8" s="20" t="n">
        <v>700.1900000000001</v>
      </c>
      <c r="G8" s="20" t="n">
        <v>797.86</v>
      </c>
      <c r="H8" s="0" t="inlineStr">
        <is>
          <t>1:2.0</t>
        </is>
      </c>
      <c r="I8" s="0" t="n">
        <v>2</v>
      </c>
      <c r="J8" s="20" t="n">
        <v>1465.5</v>
      </c>
      <c r="K8" s="0" t="inlineStr">
        <is>
          <t>SKIPPED_BEARISH_REGIME</t>
        </is>
      </c>
      <c r="L8" s="0" t="inlineStr">
        <is>
          <t>Manual execution shift requested by user</t>
        </is>
      </c>
    </row>
    <row r="9">
      <c r="A9" s="0" t="inlineStr">
        <is>
          <t>2026-07-22</t>
        </is>
      </c>
      <c r="B9" s="0" t="inlineStr">
        <is>
          <t>LUPIN</t>
        </is>
      </c>
      <c r="C9" s="0" t="inlineStr">
        <is>
          <t>Lupin Limited</t>
        </is>
      </c>
      <c r="D9" s="0" t="inlineStr">
        <is>
          <t>96/100</t>
        </is>
      </c>
      <c r="E9" s="20" t="n">
        <v>2514.8</v>
      </c>
      <c r="F9" s="20" t="n">
        <v>2417.09</v>
      </c>
      <c r="G9" s="20" t="n">
        <v>2710.23</v>
      </c>
      <c r="H9" s="0" t="inlineStr">
        <is>
          <t>1:2.0</t>
        </is>
      </c>
      <c r="I9" s="0" t="n">
        <v>0</v>
      </c>
      <c r="J9" s="20" t="n">
        <v>0</v>
      </c>
      <c r="K9" s="0" t="inlineStr">
        <is>
          <t>SKIPPED_BEARISH_REGIME</t>
        </is>
      </c>
      <c r="L9" s="0" t="inlineStr">
        <is>
          <t>Manual execution shift requested by user</t>
        </is>
      </c>
    </row>
    <row r="10">
      <c r="A10" s="0" t="inlineStr">
        <is>
          <t>2026-07-22</t>
        </is>
      </c>
      <c r="B10" s="0" t="inlineStr">
        <is>
          <t>HAL</t>
        </is>
      </c>
      <c r="C10" s="0" t="inlineStr">
        <is>
          <t>Hindustan Aeronautics Limited</t>
        </is>
      </c>
      <c r="D10" s="0" t="inlineStr">
        <is>
          <t>90/100</t>
        </is>
      </c>
      <c r="E10" s="20" t="n">
        <v>4581.7</v>
      </c>
      <c r="F10" s="20" t="n">
        <v>4414.33</v>
      </c>
      <c r="G10" s="20" t="n">
        <v>4916.44</v>
      </c>
      <c r="H10" s="0" t="inlineStr">
        <is>
          <t>1:2.0</t>
        </is>
      </c>
      <c r="I10" s="0" t="n">
        <v>0</v>
      </c>
      <c r="J10" s="20" t="n">
        <v>0</v>
      </c>
      <c r="K10" s="0" t="inlineStr">
        <is>
          <t>SKIPPED_BEARISH_REGIME</t>
        </is>
      </c>
      <c r="L10" s="0" t="inlineStr">
        <is>
          <t>Manual execution shift requested by user</t>
        </is>
      </c>
    </row>
    <row r="11">
      <c r="A11" s="0" t="inlineStr">
        <is>
          <t>2026-07-22</t>
        </is>
      </c>
      <c r="B11" s="0" t="inlineStr">
        <is>
          <t>SHREECEM</t>
        </is>
      </c>
      <c r="C11" s="0" t="inlineStr">
        <is>
          <t>Shree Cement Limited</t>
        </is>
      </c>
      <c r="D11" s="0" t="inlineStr">
        <is>
          <t>92/100</t>
        </is>
      </c>
      <c r="E11" s="20" t="n">
        <v>27245</v>
      </c>
      <c r="F11" s="20" t="n">
        <v>26152.92</v>
      </c>
      <c r="G11" s="20" t="n">
        <v>29429.17</v>
      </c>
      <c r="H11" s="0" t="inlineStr">
        <is>
          <t>1:2.0</t>
        </is>
      </c>
      <c r="I11" s="0" t="n">
        <v>0</v>
      </c>
      <c r="J11" s="20" t="n">
        <v>0</v>
      </c>
      <c r="K11" s="0" t="inlineStr">
        <is>
          <t>SKIPPED_BEARISH_REGIME</t>
        </is>
      </c>
      <c r="L11" s="0" t="inlineStr">
        <is>
          <t>Manual execution shift requested by user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2" min="1" max="2"/>
    <col width="18" customWidth="1" style="12" min="3" max="3"/>
    <col width="40" customWidth="1" style="12" min="4" max="4"/>
    <col width="8.710000000000001" customWidth="1" style="12" min="5" max="26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s="10" t="inlineStr">
        <is>
          <t>21-7-2026</t>
        </is>
      </c>
      <c r="B2" s="10" t="inlineStr">
        <is>
          <t>Deposit</t>
        </is>
      </c>
      <c r="C2" s="10" t="n">
        <v>10000</v>
      </c>
    </row>
    <row r="3">
      <c r="A3" s="0" t="inlineStr">
        <is>
          <t>2026-07-22</t>
        </is>
      </c>
      <c r="B3" s="0" t="inlineStr">
        <is>
          <t>WITHDRAWAL</t>
        </is>
      </c>
      <c r="C3" s="20" t="n">
        <v>1.76</v>
      </c>
      <c r="D3" s="0" t="inlineStr">
        <is>
          <t>Brokerage &amp; taxes on SONACOMS BUY (2 qty @ 734.70)</t>
        </is>
      </c>
    </row>
    <row r="4">
      <c r="A4" s="0" t="inlineStr">
        <is>
          <t>2026-07-22</t>
        </is>
      </c>
      <c r="B4" s="0" t="inlineStr">
        <is>
          <t>WITHDRAWAL</t>
        </is>
      </c>
      <c r="C4" s="20" t="n">
        <v>1.52</v>
      </c>
      <c r="D4" s="0" t="inlineStr">
        <is>
          <t>Brokerage &amp; taxes on JSWSTEEL BUY (1 qty @ 1265.10)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2" min="1" max="1"/>
    <col width="12" customWidth="1" style="12" min="2" max="2"/>
    <col width="80" customWidth="1" style="12" min="3" max="3"/>
    <col width="8.710000000000001" customWidth="1" style="12" min="4" max="26"/>
  </cols>
  <sheetData>
    <row r="1">
      <c r="A1" s="11" t="inlineStr">
        <is>
          <t>Timestamp</t>
        </is>
      </c>
      <c r="B1" s="11" t="inlineStr">
        <is>
          <t>Level</t>
        </is>
      </c>
      <c r="C1" s="11" t="inlineStr">
        <is>
          <t>Message</t>
        </is>
      </c>
    </row>
    <row r="2">
      <c r="A2" s="10" t="inlineStr">
        <is>
          <t>2026-07-21 12:48:41</t>
        </is>
      </c>
      <c r="B2" s="10" t="inlineStr">
        <is>
          <t>INFO</t>
        </is>
      </c>
      <c r="C2" s="10" t="inlineStr">
        <is>
          <t>Recorded buy order: 1 shares of SUNPHARMA at 1951</t>
        </is>
      </c>
    </row>
    <row r="3">
      <c r="A3" s="10" t="inlineStr">
        <is>
          <t>2026-07-21 12:48:42</t>
        </is>
      </c>
      <c r="B3" s="10" t="inlineStr">
        <is>
          <t>INFO</t>
        </is>
      </c>
      <c r="C3" s="10" t="inlineStr">
        <is>
          <t>Recorded buy order: 1 shares of JSWSTEEL at 1266.4</t>
        </is>
      </c>
    </row>
    <row r="4">
      <c r="A4" s="10" t="inlineStr">
        <is>
          <t>2026-07-21 12:48:42</t>
        </is>
      </c>
      <c r="B4" s="10" t="inlineStr">
        <is>
          <t>INFO</t>
        </is>
      </c>
      <c r="C4" s="10" t="inlineStr">
        <is>
          <t>Recorded buy order: 1 shares of TECHM at 1589.1</t>
        </is>
      </c>
    </row>
    <row r="5">
      <c r="A5" s="0" t="inlineStr">
        <is>
          <t>2026-07-21 15:33:36</t>
        </is>
      </c>
      <c r="B5" s="0" t="inlineStr">
        <is>
          <t>INFO</t>
        </is>
      </c>
      <c r="C5" s="0" t="inlineStr">
        <is>
          <t>Closed trade: SUNPHARMA exited at 1960 (WIN)</t>
        </is>
      </c>
    </row>
    <row r="6">
      <c r="A6" s="0" t="inlineStr">
        <is>
          <t>2026-07-21 15:33:37</t>
        </is>
      </c>
      <c r="B6" s="0" t="inlineStr">
        <is>
          <t>INFO</t>
        </is>
      </c>
      <c r="C6" s="0" t="inlineStr">
        <is>
          <t>Closed trade: TECHM exited at 1575 (WIN)</t>
        </is>
      </c>
    </row>
    <row r="7">
      <c r="A7" s="0" t="inlineStr">
        <is>
          <t>2026-07-21 15:33:38</t>
        </is>
      </c>
      <c r="B7" s="0" t="inlineStr">
        <is>
          <t>INFO</t>
        </is>
      </c>
      <c r="C7" s="0" t="inlineStr">
        <is>
          <t>Closed trade: JSWSTEEL exited at 1267.1 (WIN)</t>
        </is>
      </c>
    </row>
    <row r="8">
      <c r="A8" s="0" t="inlineStr">
        <is>
          <t>2026-07-22 11:27:23</t>
        </is>
      </c>
      <c r="B8" s="0" t="inlineStr">
        <is>
          <t>INFO</t>
        </is>
      </c>
      <c r="C8" s="0" t="inlineStr">
        <is>
          <t>Recorded buy order: 2 shares of SONACOMS at 734.7</t>
        </is>
      </c>
    </row>
    <row r="9">
      <c r="A9" s="0" t="inlineStr">
        <is>
          <t>2026-07-22 11:27:25</t>
        </is>
      </c>
      <c r="B9" s="0" t="inlineStr">
        <is>
          <t>INFO</t>
        </is>
      </c>
      <c r="C9" s="0" t="inlineStr">
        <is>
          <t>Recorded buy order: 1 shares of JSWSTEEL at 1265.1</t>
        </is>
      </c>
    </row>
    <row r="10">
      <c r="A10" s="0" t="inlineStr">
        <is>
          <t>2026-07-22 11:28:22</t>
        </is>
      </c>
      <c r="B10" s="0" t="inlineStr">
        <is>
          <t>INFO</t>
        </is>
      </c>
      <c r="C10" s="0" t="inlineStr">
        <is>
          <t>Capital Transaction: WITHDRAWAL of INR 1.76 logged.</t>
        </is>
      </c>
    </row>
    <row r="11">
      <c r="A11" s="0" t="inlineStr">
        <is>
          <t>2026-07-22 11:28:24</t>
        </is>
      </c>
      <c r="B11" s="0" t="inlineStr">
        <is>
          <t>INFO</t>
        </is>
      </c>
      <c r="C11" s="0" t="inlineStr">
        <is>
          <t>Capital Transaction: WITHDRAWAL of INR 1.52 logged.</t>
        </is>
      </c>
    </row>
    <row r="21" ht="15.75" customHeight="1" s="12"/>
    <row r="22" ht="15.75" customHeight="1" s="12"/>
    <row r="23" ht="15.75" customHeight="1" s="12"/>
    <row r="24" ht="15.75" customHeight="1" s="12"/>
    <row r="25" ht="15.75" customHeight="1" s="12"/>
    <row r="26" ht="15.75" customHeight="1" s="12"/>
    <row r="27" ht="15.75" customHeight="1" s="12"/>
    <row r="28" ht="15.75" customHeight="1" s="12"/>
    <row r="29" ht="15.75" customHeight="1" s="12"/>
    <row r="30" ht="15.75" customHeight="1" s="12"/>
    <row r="31" ht="15.75" customHeight="1" s="12"/>
    <row r="32" ht="15.75" customHeight="1" s="12"/>
    <row r="33" ht="15.75" customHeight="1" s="12"/>
    <row r="34" ht="15.75" customHeight="1" s="12"/>
    <row r="35" ht="15.75" customHeight="1" s="12"/>
    <row r="36" ht="15.75" customHeight="1" s="12"/>
    <row r="37" ht="15.75" customHeight="1" s="12"/>
    <row r="38" ht="15.75" customHeight="1" s="12"/>
    <row r="39" ht="15.75" customHeight="1" s="12"/>
    <row r="40" ht="15.75" customHeight="1" s="12"/>
    <row r="41" ht="15.75" customHeight="1" s="12"/>
    <row r="42" ht="15.75" customHeight="1" s="12"/>
    <row r="43" ht="15.75" customHeight="1" s="12"/>
    <row r="44" ht="15.75" customHeight="1" s="12"/>
    <row r="45" ht="15.75" customHeight="1" s="12"/>
    <row r="46" ht="15.75" customHeight="1" s="12"/>
    <row r="47" ht="15.75" customHeight="1" s="12"/>
    <row r="48" ht="15.75" customHeight="1" s="12"/>
    <row r="49" ht="15.75" customHeight="1" s="12"/>
    <row r="50" ht="15.75" customHeight="1" s="12"/>
    <row r="51" ht="15.75" customHeight="1" s="12"/>
    <row r="52" ht="15.75" customHeight="1" s="12"/>
    <row r="53" ht="15.75" customHeight="1" s="12"/>
    <row r="54" ht="15.75" customHeight="1" s="12"/>
    <row r="55" ht="15.75" customHeight="1" s="12"/>
    <row r="56" ht="15.75" customHeight="1" s="12"/>
    <row r="57" ht="15.75" customHeight="1" s="12"/>
    <row r="58" ht="15.75" customHeight="1" s="12"/>
    <row r="59" ht="15.75" customHeight="1" s="12"/>
    <row r="60" ht="15.75" customHeight="1" s="12"/>
    <row r="61" ht="15.75" customHeight="1" s="12"/>
    <row r="62" ht="15.75" customHeight="1" s="12"/>
    <row r="63" ht="15.75" customHeight="1" s="12"/>
    <row r="64" ht="15.75" customHeight="1" s="12"/>
    <row r="65" ht="15.75" customHeight="1" s="12"/>
    <row r="66" ht="15.75" customHeight="1" s="12"/>
    <row r="67" ht="15.75" customHeight="1" s="12"/>
    <row r="68" ht="15.75" customHeight="1" s="12"/>
    <row r="69" ht="15.75" customHeight="1" s="12"/>
    <row r="70" ht="15.75" customHeight="1" s="12"/>
    <row r="71" ht="15.75" customHeight="1" s="12"/>
    <row r="72" ht="15.75" customHeight="1" s="12"/>
    <row r="73" ht="15.75" customHeight="1" s="12"/>
    <row r="74" ht="15.75" customHeight="1" s="12"/>
    <row r="75" ht="15.75" customHeight="1" s="12"/>
    <row r="76" ht="15.75" customHeight="1" s="12"/>
    <row r="77" ht="15.75" customHeight="1" s="12"/>
    <row r="78" ht="15.75" customHeight="1" s="12"/>
    <row r="79" ht="15.75" customHeight="1" s="12"/>
    <row r="80" ht="15.75" customHeight="1" s="12"/>
    <row r="81" ht="15.75" customHeight="1" s="12"/>
    <row r="82" ht="15.75" customHeight="1" s="12"/>
    <row r="83" ht="15.75" customHeight="1" s="12"/>
    <row r="84" ht="15.75" customHeight="1" s="12"/>
    <row r="85" ht="15.75" customHeight="1" s="12"/>
    <row r="86" ht="15.75" customHeight="1" s="12"/>
    <row r="87" ht="15.75" customHeight="1" s="12"/>
    <row r="88" ht="15.75" customHeight="1" s="12"/>
    <row r="89" ht="15.75" customHeight="1" s="12"/>
    <row r="90" ht="15.75" customHeight="1" s="12"/>
    <row r="91" ht="15.75" customHeight="1" s="12"/>
    <row r="92" ht="15.75" customHeight="1" s="12"/>
    <row r="93" ht="15.75" customHeight="1" s="12"/>
    <row r="94" ht="15.75" customHeight="1" s="12"/>
    <row r="95" ht="15.75" customHeight="1" s="12"/>
    <row r="96" ht="15.75" customHeight="1" s="12"/>
    <row r="97" ht="15.75" customHeight="1" s="12"/>
    <row r="98" ht="15.75" customHeight="1" s="12"/>
    <row r="99" ht="15.75" customHeight="1" s="12"/>
    <row r="100" ht="15.75" customHeight="1" s="12"/>
    <row r="101" ht="15.75" customHeight="1" s="12"/>
    <row r="102" ht="15.75" customHeight="1" s="12"/>
    <row r="103" ht="15.75" customHeight="1" s="12"/>
    <row r="104" ht="15.75" customHeight="1" s="12"/>
    <row r="105" ht="15.75" customHeight="1" s="12"/>
    <row r="106" ht="15.75" customHeight="1" s="12"/>
    <row r="107" ht="15.75" customHeight="1" s="12"/>
    <row r="108" ht="15.75" customHeight="1" s="12"/>
    <row r="109" ht="15.75" customHeight="1" s="12"/>
    <row r="110" ht="15.75" customHeight="1" s="12"/>
    <row r="111" ht="15.75" customHeight="1" s="12"/>
    <row r="112" ht="15.75" customHeight="1" s="12"/>
    <row r="113" ht="15.75" customHeight="1" s="12"/>
    <row r="114" ht="15.75" customHeight="1" s="12"/>
    <row r="115" ht="15.75" customHeight="1" s="12"/>
    <row r="116" ht="15.75" customHeight="1" s="12"/>
    <row r="117" ht="15.75" customHeight="1" s="12"/>
    <row r="118" ht="15.75" customHeight="1" s="12"/>
    <row r="119" ht="15.75" customHeight="1" s="12"/>
    <row r="120" ht="15.75" customHeight="1" s="12"/>
    <row r="121" ht="15.75" customHeight="1" s="12"/>
    <row r="122" ht="15.75" customHeight="1" s="12"/>
    <row r="123" ht="15.75" customHeight="1" s="12"/>
    <row r="124" ht="15.75" customHeight="1" s="12"/>
    <row r="125" ht="15.75" customHeight="1" s="12"/>
    <row r="126" ht="15.75" customHeight="1" s="12"/>
    <row r="127" ht="15.75" customHeight="1" s="12"/>
    <row r="128" ht="15.75" customHeight="1" s="12"/>
    <row r="129" ht="15.75" customHeight="1" s="12"/>
    <row r="130" ht="15.75" customHeight="1" s="12"/>
    <row r="131" ht="15.75" customHeight="1" s="12"/>
    <row r="132" ht="15.75" customHeight="1" s="12"/>
    <row r="133" ht="15.75" customHeight="1" s="12"/>
    <row r="134" ht="15.75" customHeight="1" s="12"/>
    <row r="135" ht="15.75" customHeight="1" s="12"/>
    <row r="136" ht="15.75" customHeight="1" s="12"/>
    <row r="137" ht="15.75" customHeight="1" s="12"/>
    <row r="138" ht="15.75" customHeight="1" s="12"/>
    <row r="139" ht="15.75" customHeight="1" s="12"/>
    <row r="140" ht="15.75" customHeight="1" s="12"/>
    <row r="141" ht="15.75" customHeight="1" s="12"/>
    <row r="142" ht="15.75" customHeight="1" s="12"/>
    <row r="143" ht="15.75" customHeight="1" s="12"/>
    <row r="144" ht="15.75" customHeight="1" s="12"/>
    <row r="145" ht="15.75" customHeight="1" s="12"/>
    <row r="146" ht="15.75" customHeight="1" s="12"/>
    <row r="147" ht="15.75" customHeight="1" s="12"/>
    <row r="148" ht="15.75" customHeight="1" s="12"/>
    <row r="149" ht="15.75" customHeight="1" s="12"/>
    <row r="150" ht="15.75" customHeight="1" s="12"/>
    <row r="151" ht="15.75" customHeight="1" s="12"/>
    <row r="152" ht="15.75" customHeight="1" s="12"/>
    <row r="153" ht="15.75" customHeight="1" s="12"/>
    <row r="154" ht="15.75" customHeight="1" s="12"/>
    <row r="155" ht="15.75" customHeight="1" s="12"/>
    <row r="156" ht="15.75" customHeight="1" s="12"/>
    <row r="157" ht="15.75" customHeight="1" s="12"/>
    <row r="158" ht="15.75" customHeight="1" s="12"/>
    <row r="159" ht="15.75" customHeight="1" s="12"/>
    <row r="160" ht="15.75" customHeight="1" s="12"/>
    <row r="161" ht="15.75" customHeight="1" s="12"/>
    <row r="162" ht="15.75" customHeight="1" s="12"/>
    <row r="163" ht="15.75" customHeight="1" s="12"/>
    <row r="164" ht="15.75" customHeight="1" s="12"/>
    <row r="165" ht="15.75" customHeight="1" s="12"/>
    <row r="166" ht="15.75" customHeight="1" s="12"/>
    <row r="167" ht="15.75" customHeight="1" s="12"/>
    <row r="168" ht="15.75" customHeight="1" s="12"/>
    <row r="169" ht="15.75" customHeight="1" s="12"/>
    <row r="170" ht="15.75" customHeight="1" s="12"/>
    <row r="171" ht="15.75" customHeight="1" s="12"/>
    <row r="172" ht="15.75" customHeight="1" s="12"/>
    <row r="173" ht="15.75" customHeight="1" s="12"/>
    <row r="174" ht="15.75" customHeight="1" s="12"/>
    <row r="175" ht="15.75" customHeight="1" s="12"/>
    <row r="176" ht="15.75" customHeight="1" s="12"/>
    <row r="177" ht="15.75" customHeight="1" s="12"/>
    <row r="178" ht="15.75" customHeight="1" s="12"/>
    <row r="179" ht="15.75" customHeight="1" s="12"/>
    <row r="180" ht="15.75" customHeight="1" s="12"/>
    <row r="181" ht="15.75" customHeight="1" s="12"/>
    <row r="182" ht="15.75" customHeight="1" s="12"/>
    <row r="183" ht="15.75" customHeight="1" s="12"/>
    <row r="184" ht="15.75" customHeight="1" s="12"/>
    <row r="185" ht="15.75" customHeight="1" s="12"/>
    <row r="186" ht="15.75" customHeight="1" s="12"/>
    <row r="187" ht="15.75" customHeight="1" s="12"/>
    <row r="188" ht="15.75" customHeight="1" s="12"/>
    <row r="189" ht="15.75" customHeight="1" s="12"/>
    <row r="190" ht="15.75" customHeight="1" s="12"/>
    <row r="191" ht="15.75" customHeight="1" s="12"/>
    <row r="192" ht="15.75" customHeight="1" s="12"/>
    <row r="193" ht="15.75" customHeight="1" s="12"/>
    <row r="194" ht="15.75" customHeight="1" s="12"/>
    <row r="195" ht="15.75" customHeight="1" s="12"/>
    <row r="196" ht="15.75" customHeight="1" s="12"/>
    <row r="197" ht="15.75" customHeight="1" s="12"/>
    <row r="198" ht="15.75" customHeight="1" s="12"/>
    <row r="199" ht="15.75" customHeight="1" s="12"/>
    <row r="200" ht="15.75" customHeight="1" s="12"/>
    <row r="201" ht="15.75" customHeight="1" s="12"/>
    <row r="202" ht="15.75" customHeight="1" s="12"/>
    <row r="203" ht="15.75" customHeight="1" s="12"/>
    <row r="204" ht="15.75" customHeight="1" s="12"/>
    <row r="205" ht="15.75" customHeight="1" s="12"/>
    <row r="206" ht="15.75" customHeight="1" s="12"/>
    <row r="207" ht="15.75" customHeight="1" s="12"/>
    <row r="208" ht="15.75" customHeight="1" s="12"/>
    <row r="209" ht="15.75" customHeight="1" s="12"/>
    <row r="210" ht="15.75" customHeight="1" s="12"/>
    <row r="211" ht="15.75" customHeight="1" s="12"/>
    <row r="212" ht="15.75" customHeight="1" s="12"/>
    <row r="213" ht="15.75" customHeight="1" s="12"/>
    <row r="214" ht="15.75" customHeight="1" s="12"/>
    <row r="215" ht="15.75" customHeight="1" s="12"/>
    <row r="216" ht="15.75" customHeight="1" s="12"/>
    <row r="217" ht="15.75" customHeight="1" s="12"/>
    <row r="218" ht="15.75" customHeight="1" s="12"/>
    <row r="219" ht="15.75" customHeight="1" s="12"/>
    <row r="220" ht="15.75" customHeight="1" s="12"/>
    <row r="221" ht="15.75" customHeight="1" s="12"/>
    <row r="222" ht="15.75" customHeight="1" s="12"/>
    <row r="223" ht="15.75" customHeight="1" s="12"/>
    <row r="224" ht="15.75" customHeight="1" s="12"/>
    <row r="225" ht="15.75" customHeight="1" s="12"/>
    <row r="226" ht="15.75" customHeight="1" s="12"/>
    <row r="227" ht="15.75" customHeight="1" s="12"/>
    <row r="228" ht="15.75" customHeight="1" s="12"/>
    <row r="229" ht="15.75" customHeight="1" s="12"/>
    <row r="230" ht="15.75" customHeight="1" s="12"/>
    <row r="231" ht="15.75" customHeight="1" s="12"/>
    <row r="232" ht="15.75" customHeight="1" s="12"/>
    <row r="233" ht="15.75" customHeight="1" s="12"/>
    <row r="234" ht="15.75" customHeight="1" s="12"/>
    <row r="235" ht="15.75" customHeight="1" s="12"/>
    <row r="236" ht="15.75" customHeight="1" s="12"/>
    <row r="237" ht="15.75" customHeight="1" s="12"/>
    <row r="238" ht="15.75" customHeight="1" s="12"/>
    <row r="239" ht="15.75" customHeight="1" s="12"/>
    <row r="240" ht="15.75" customHeight="1" s="12"/>
    <row r="241" ht="15.75" customHeight="1" s="12"/>
    <row r="242" ht="15.75" customHeight="1" s="12"/>
    <row r="243" ht="15.75" customHeight="1" s="12"/>
    <row r="244" ht="15.75" customHeight="1" s="12"/>
    <row r="245" ht="15.75" customHeight="1" s="12"/>
    <row r="246" ht="15.75" customHeight="1" s="12"/>
    <row r="247" ht="15.75" customHeight="1" s="12"/>
    <row r="248" ht="15.75" customHeight="1" s="12"/>
    <row r="249" ht="15.75" customHeight="1" s="12"/>
    <row r="250" ht="15.75" customHeight="1" s="12"/>
    <row r="251" ht="15.75" customHeight="1" s="12"/>
    <row r="252" ht="15.75" customHeight="1" s="12"/>
    <row r="253" ht="15.75" customHeight="1" s="12"/>
    <row r="254" ht="15.75" customHeight="1" s="12"/>
    <row r="255" ht="15.75" customHeight="1" s="12"/>
    <row r="256" ht="15.75" customHeight="1" s="12"/>
    <row r="257" ht="15.75" customHeight="1" s="12"/>
    <row r="258" ht="15.75" customHeight="1" s="12"/>
    <row r="259" ht="15.75" customHeight="1" s="12"/>
    <row r="260" ht="15.75" customHeight="1" s="12"/>
    <row r="261" ht="15.75" customHeight="1" s="12"/>
    <row r="262" ht="15.75" customHeight="1" s="12"/>
    <row r="263" ht="15.75" customHeight="1" s="12"/>
    <row r="264" ht="15.75" customHeight="1" s="12"/>
    <row r="265" ht="15.75" customHeight="1" s="12"/>
    <row r="266" ht="15.75" customHeight="1" s="12"/>
    <row r="267" ht="15.75" customHeight="1" s="12"/>
    <row r="268" ht="15.75" customHeight="1" s="12"/>
    <row r="269" ht="15.75" customHeight="1" s="12"/>
    <row r="270" ht="15.75" customHeight="1" s="12"/>
    <row r="271" ht="15.75" customHeight="1" s="12"/>
    <row r="272" ht="15.75" customHeight="1" s="12"/>
    <row r="273" ht="15.75" customHeight="1" s="12"/>
    <row r="274" ht="15.75" customHeight="1" s="12"/>
    <row r="275" ht="15.75" customHeight="1" s="12"/>
    <row r="276" ht="15.75" customHeight="1" s="12"/>
    <row r="277" ht="15.75" customHeight="1" s="12"/>
    <row r="278" ht="15.75" customHeight="1" s="12"/>
    <row r="279" ht="15.75" customHeight="1" s="12"/>
    <row r="280" ht="15.75" customHeight="1" s="12"/>
    <row r="281" ht="15.75" customHeight="1" s="12"/>
    <row r="282" ht="15.75" customHeight="1" s="12"/>
    <row r="283" ht="15.75" customHeight="1" s="12"/>
    <row r="284" ht="15.75" customHeight="1" s="12"/>
    <row r="285" ht="15.75" customHeight="1" s="12"/>
    <row r="286" ht="15.75" customHeight="1" s="12"/>
    <row r="287" ht="15.75" customHeight="1" s="12"/>
    <row r="288" ht="15.75" customHeight="1" s="12"/>
    <row r="289" ht="15.75" customHeight="1" s="12"/>
    <row r="290" ht="15.75" customHeight="1" s="12"/>
    <row r="291" ht="15.75" customHeight="1" s="12"/>
    <row r="292" ht="15.75" customHeight="1" s="12"/>
    <row r="293" ht="15.75" customHeight="1" s="12"/>
    <row r="294" ht="15.75" customHeight="1" s="12"/>
    <row r="295" ht="15.75" customHeight="1" s="12"/>
    <row r="296" ht="15.75" customHeight="1" s="12"/>
    <row r="297" ht="15.75" customHeight="1" s="12"/>
    <row r="298" ht="15.75" customHeight="1" s="12"/>
    <row r="299" ht="15.75" customHeight="1" s="12"/>
    <row r="300" ht="15.75" customHeight="1" s="12"/>
    <row r="301" ht="15.75" customHeight="1" s="12"/>
    <row r="302" ht="15.75" customHeight="1" s="12"/>
    <row r="303" ht="15.75" customHeight="1" s="12"/>
    <row r="304" ht="15.75" customHeight="1" s="12"/>
    <row r="305" ht="15.75" customHeight="1" s="12"/>
    <row r="306" ht="15.75" customHeight="1" s="12"/>
    <row r="307" ht="15.75" customHeight="1" s="12"/>
    <row r="308" ht="15.75" customHeight="1" s="12"/>
    <row r="309" ht="15.75" customHeight="1" s="12"/>
    <row r="310" ht="15.75" customHeight="1" s="12"/>
    <row r="311" ht="15.75" customHeight="1" s="12"/>
    <row r="312" ht="15.75" customHeight="1" s="12"/>
    <row r="313" ht="15.75" customHeight="1" s="12"/>
    <row r="314" ht="15.75" customHeight="1" s="12"/>
    <row r="315" ht="15.75" customHeight="1" s="12"/>
    <row r="316" ht="15.75" customHeight="1" s="12"/>
    <row r="317" ht="15.75" customHeight="1" s="12"/>
    <row r="318" ht="15.75" customHeight="1" s="12"/>
    <row r="319" ht="15.75" customHeight="1" s="12"/>
    <row r="320" ht="15.75" customHeight="1" s="12"/>
    <row r="321" ht="15.75" customHeight="1" s="12"/>
    <row r="322" ht="15.75" customHeight="1" s="12"/>
    <row r="323" ht="15.75" customHeight="1" s="12"/>
    <row r="324" ht="15.75" customHeight="1" s="12"/>
    <row r="325" ht="15.75" customHeight="1" s="12"/>
    <row r="326" ht="15.75" customHeight="1" s="12"/>
    <row r="327" ht="15.75" customHeight="1" s="12"/>
    <row r="328" ht="15.75" customHeight="1" s="12"/>
    <row r="329" ht="15.75" customHeight="1" s="12"/>
    <row r="330" ht="15.75" customHeight="1" s="12"/>
    <row r="331" ht="15.75" customHeight="1" s="12"/>
    <row r="332" ht="15.75" customHeight="1" s="12"/>
    <row r="333" ht="15.75" customHeight="1" s="12"/>
    <row r="334" ht="15.75" customHeight="1" s="12"/>
    <row r="335" ht="15.75" customHeight="1" s="12"/>
    <row r="336" ht="15.75" customHeight="1" s="12"/>
    <row r="337" ht="15.75" customHeight="1" s="12"/>
    <row r="338" ht="15.75" customHeight="1" s="12"/>
    <row r="339" ht="15.75" customHeight="1" s="12"/>
    <row r="340" ht="15.75" customHeight="1" s="12"/>
    <row r="341" ht="15.75" customHeight="1" s="12"/>
    <row r="342" ht="15.75" customHeight="1" s="12"/>
    <row r="343" ht="15.75" customHeight="1" s="12"/>
    <row r="344" ht="15.75" customHeight="1" s="12"/>
    <row r="345" ht="15.75" customHeight="1" s="12"/>
    <row r="346" ht="15.75" customHeight="1" s="12"/>
    <row r="347" ht="15.75" customHeight="1" s="12"/>
    <row r="348" ht="15.75" customHeight="1" s="12"/>
    <row r="349" ht="15.75" customHeight="1" s="12"/>
    <row r="350" ht="15.75" customHeight="1" s="12"/>
    <row r="351" ht="15.75" customHeight="1" s="12"/>
    <row r="352" ht="15.75" customHeight="1" s="12"/>
    <row r="353" ht="15.75" customHeight="1" s="12"/>
    <row r="354" ht="15.75" customHeight="1" s="12"/>
    <row r="355" ht="15.75" customHeight="1" s="12"/>
    <row r="356" ht="15.75" customHeight="1" s="12"/>
    <row r="357" ht="15.75" customHeight="1" s="12"/>
    <row r="358" ht="15.75" customHeight="1" s="12"/>
    <row r="359" ht="15.75" customHeight="1" s="12"/>
    <row r="360" ht="15.75" customHeight="1" s="12"/>
    <row r="361" ht="15.75" customHeight="1" s="12"/>
    <row r="362" ht="15.75" customHeight="1" s="12"/>
    <row r="363" ht="15.75" customHeight="1" s="12"/>
    <row r="364" ht="15.75" customHeight="1" s="12"/>
    <row r="365" ht="15.75" customHeight="1" s="12"/>
    <row r="366" ht="15.75" customHeight="1" s="12"/>
    <row r="367" ht="15.75" customHeight="1" s="12"/>
    <row r="368" ht="15.75" customHeight="1" s="12"/>
    <row r="369" ht="15.75" customHeight="1" s="12"/>
    <row r="370" ht="15.75" customHeight="1" s="12"/>
    <row r="371" ht="15.75" customHeight="1" s="12"/>
    <row r="372" ht="15.75" customHeight="1" s="12"/>
    <row r="373" ht="15.75" customHeight="1" s="12"/>
    <row r="374" ht="15.75" customHeight="1" s="12"/>
    <row r="375" ht="15.75" customHeight="1" s="12"/>
    <row r="376" ht="15.75" customHeight="1" s="12"/>
    <row r="377" ht="15.75" customHeight="1" s="12"/>
    <row r="378" ht="15.75" customHeight="1" s="12"/>
    <row r="379" ht="15.75" customHeight="1" s="12"/>
    <row r="380" ht="15.75" customHeight="1" s="12"/>
    <row r="381" ht="15.75" customHeight="1" s="12"/>
    <row r="382" ht="15.75" customHeight="1" s="12"/>
    <row r="383" ht="15.75" customHeight="1" s="12"/>
    <row r="384" ht="15.75" customHeight="1" s="12"/>
    <row r="385" ht="15.75" customHeight="1" s="12"/>
    <row r="386" ht="15.75" customHeight="1" s="12"/>
    <row r="387" ht="15.75" customHeight="1" s="12"/>
    <row r="388" ht="15.75" customHeight="1" s="12"/>
    <row r="389" ht="15.75" customHeight="1" s="12"/>
    <row r="390" ht="15.75" customHeight="1" s="12"/>
    <row r="391" ht="15.75" customHeight="1" s="12"/>
    <row r="392" ht="15.75" customHeight="1" s="12"/>
    <row r="393" ht="15.75" customHeight="1" s="12"/>
    <row r="394" ht="15.75" customHeight="1" s="12"/>
    <row r="395" ht="15.75" customHeight="1" s="12"/>
    <row r="396" ht="15.75" customHeight="1" s="12"/>
    <row r="397" ht="15.75" customHeight="1" s="12"/>
    <row r="398" ht="15.75" customHeight="1" s="12"/>
    <row r="399" ht="15.75" customHeight="1" s="12"/>
    <row r="400" ht="15.75" customHeight="1" s="12"/>
    <row r="401" ht="15.75" customHeight="1" s="12"/>
    <row r="402" ht="15.75" customHeight="1" s="12"/>
    <row r="403" ht="15.75" customHeight="1" s="12"/>
    <row r="404" ht="15.75" customHeight="1" s="12"/>
    <row r="405" ht="15.75" customHeight="1" s="12"/>
    <row r="406" ht="15.75" customHeight="1" s="12"/>
    <row r="407" ht="15.75" customHeight="1" s="12"/>
    <row r="408" ht="15.75" customHeight="1" s="12"/>
    <row r="409" ht="15.75" customHeight="1" s="12"/>
    <row r="410" ht="15.75" customHeight="1" s="12"/>
    <row r="411" ht="15.75" customHeight="1" s="12"/>
    <row r="412" ht="15.75" customHeight="1" s="12"/>
    <row r="413" ht="15.75" customHeight="1" s="12"/>
    <row r="414" ht="15.75" customHeight="1" s="12"/>
    <row r="415" ht="15.75" customHeight="1" s="12"/>
    <row r="416" ht="15.75" customHeight="1" s="12"/>
    <row r="417" ht="15.75" customHeight="1" s="12"/>
    <row r="418" ht="15.75" customHeight="1" s="12"/>
    <row r="419" ht="15.75" customHeight="1" s="12"/>
    <row r="420" ht="15.75" customHeight="1" s="12"/>
    <row r="421" ht="15.75" customHeight="1" s="12"/>
    <row r="422" ht="15.75" customHeight="1" s="12"/>
    <row r="423" ht="15.75" customHeight="1" s="12"/>
    <row r="424" ht="15.75" customHeight="1" s="12"/>
    <row r="425" ht="15.75" customHeight="1" s="12"/>
    <row r="426" ht="15.75" customHeight="1" s="12"/>
    <row r="427" ht="15.75" customHeight="1" s="12"/>
    <row r="428" ht="15.75" customHeight="1" s="12"/>
    <row r="429" ht="15.75" customHeight="1" s="12"/>
    <row r="430" ht="15.75" customHeight="1" s="12"/>
    <row r="431" ht="15.75" customHeight="1" s="12"/>
    <row r="432" ht="15.75" customHeight="1" s="12"/>
    <row r="433" ht="15.75" customHeight="1" s="12"/>
    <row r="434" ht="15.75" customHeight="1" s="12"/>
    <row r="435" ht="15.75" customHeight="1" s="12"/>
    <row r="436" ht="15.75" customHeight="1" s="12"/>
    <row r="437" ht="15.75" customHeight="1" s="12"/>
    <row r="438" ht="15.75" customHeight="1" s="12"/>
    <row r="439" ht="15.75" customHeight="1" s="12"/>
    <row r="440" ht="15.75" customHeight="1" s="12"/>
    <row r="441" ht="15.75" customHeight="1" s="12"/>
    <row r="442" ht="15.75" customHeight="1" s="12"/>
    <row r="443" ht="15.75" customHeight="1" s="12"/>
    <row r="444" ht="15.75" customHeight="1" s="12"/>
    <row r="445" ht="15.75" customHeight="1" s="12"/>
    <row r="446" ht="15.75" customHeight="1" s="12"/>
    <row r="447" ht="15.75" customHeight="1" s="12"/>
    <row r="448" ht="15.75" customHeight="1" s="12"/>
    <row r="449" ht="15.75" customHeight="1" s="12"/>
    <row r="450" ht="15.75" customHeight="1" s="12"/>
    <row r="451" ht="15.75" customHeight="1" s="12"/>
    <row r="452" ht="15.75" customHeight="1" s="12"/>
    <row r="453" ht="15.75" customHeight="1" s="12"/>
    <row r="454" ht="15.75" customHeight="1" s="12"/>
    <row r="455" ht="15.75" customHeight="1" s="12"/>
    <row r="456" ht="15.75" customHeight="1" s="12"/>
    <row r="457" ht="15.75" customHeight="1" s="12"/>
    <row r="458" ht="15.75" customHeight="1" s="12"/>
    <row r="459" ht="15.75" customHeight="1" s="12"/>
    <row r="460" ht="15.75" customHeight="1" s="12"/>
    <row r="461" ht="15.75" customHeight="1" s="12"/>
    <row r="462" ht="15.75" customHeight="1" s="12"/>
    <row r="463" ht="15.75" customHeight="1" s="12"/>
    <row r="464" ht="15.75" customHeight="1" s="12"/>
    <row r="465" ht="15.75" customHeight="1" s="12"/>
    <row r="466" ht="15.75" customHeight="1" s="12"/>
    <row r="467" ht="15.75" customHeight="1" s="12"/>
    <row r="468" ht="15.75" customHeight="1" s="12"/>
    <row r="469" ht="15.75" customHeight="1" s="12"/>
    <row r="470" ht="15.75" customHeight="1" s="12"/>
    <row r="471" ht="15.75" customHeight="1" s="12"/>
    <row r="472" ht="15.75" customHeight="1" s="12"/>
    <row r="473" ht="15.75" customHeight="1" s="12"/>
    <row r="474" ht="15.75" customHeight="1" s="12"/>
    <row r="475" ht="15.75" customHeight="1" s="12"/>
    <row r="476" ht="15.75" customHeight="1" s="12"/>
    <row r="477" ht="15.75" customHeight="1" s="12"/>
    <row r="478" ht="15.75" customHeight="1" s="12"/>
    <row r="479" ht="15.75" customHeight="1" s="12"/>
    <row r="480" ht="15.75" customHeight="1" s="12"/>
    <row r="481" ht="15.75" customHeight="1" s="12"/>
    <row r="482" ht="15.75" customHeight="1" s="12"/>
    <row r="483" ht="15.75" customHeight="1" s="12"/>
    <row r="484" ht="15.75" customHeight="1" s="12"/>
    <row r="485" ht="15.75" customHeight="1" s="12"/>
    <row r="486" ht="15.75" customHeight="1" s="12"/>
    <row r="487" ht="15.75" customHeight="1" s="12"/>
    <row r="488" ht="15.75" customHeight="1" s="12"/>
    <row r="489" ht="15.75" customHeight="1" s="12"/>
    <row r="490" ht="15.75" customHeight="1" s="12"/>
    <row r="491" ht="15.75" customHeight="1" s="12"/>
    <row r="492" ht="15.75" customHeight="1" s="12"/>
    <row r="493" ht="15.75" customHeight="1" s="12"/>
    <row r="494" ht="15.75" customHeight="1" s="12"/>
    <row r="495" ht="15.75" customHeight="1" s="12"/>
    <row r="496" ht="15.75" customHeight="1" s="12"/>
    <row r="497" ht="15.75" customHeight="1" s="12"/>
    <row r="498" ht="15.75" customHeight="1" s="12"/>
    <row r="499" ht="15.75" customHeight="1" s="12"/>
    <row r="500" ht="15.75" customHeight="1" s="12"/>
    <row r="501" ht="15.75" customHeight="1" s="12"/>
    <row r="502" ht="15.75" customHeight="1" s="12"/>
    <row r="503" ht="15.75" customHeight="1" s="12"/>
    <row r="504" ht="15.75" customHeight="1" s="12"/>
    <row r="505" ht="15.75" customHeight="1" s="12"/>
    <row r="506" ht="15.75" customHeight="1" s="12"/>
    <row r="507" ht="15.75" customHeight="1" s="12"/>
    <row r="508" ht="15.75" customHeight="1" s="12"/>
    <row r="509" ht="15.75" customHeight="1" s="12"/>
    <row r="510" ht="15.75" customHeight="1" s="12"/>
    <row r="511" ht="15.75" customHeight="1" s="12"/>
    <row r="512" ht="15.75" customHeight="1" s="12"/>
    <row r="513" ht="15.75" customHeight="1" s="12"/>
    <row r="514" ht="15.75" customHeight="1" s="12"/>
    <row r="515" ht="15.75" customHeight="1" s="12"/>
    <row r="516" ht="15.75" customHeight="1" s="12"/>
    <row r="517" ht="15.75" customHeight="1" s="12"/>
    <row r="518" ht="15.75" customHeight="1" s="12"/>
    <row r="519" ht="15.75" customHeight="1" s="12"/>
    <row r="520" ht="15.75" customHeight="1" s="12"/>
    <row r="521" ht="15.75" customHeight="1" s="12"/>
    <row r="522" ht="15.75" customHeight="1" s="12"/>
    <row r="523" ht="15.75" customHeight="1" s="12"/>
    <row r="524" ht="15.75" customHeight="1" s="12"/>
    <row r="525" ht="15.75" customHeight="1" s="12"/>
    <row r="526" ht="15.75" customHeight="1" s="12"/>
    <row r="527" ht="15.75" customHeight="1" s="12"/>
    <row r="528" ht="15.75" customHeight="1" s="12"/>
    <row r="529" ht="15.75" customHeight="1" s="12"/>
    <row r="530" ht="15.75" customHeight="1" s="12"/>
    <row r="531" ht="15.75" customHeight="1" s="12"/>
    <row r="532" ht="15.75" customHeight="1" s="12"/>
    <row r="533" ht="15.75" customHeight="1" s="12"/>
    <row r="534" ht="15.75" customHeight="1" s="12"/>
    <row r="535" ht="15.75" customHeight="1" s="12"/>
    <row r="536" ht="15.75" customHeight="1" s="12"/>
    <row r="537" ht="15.75" customHeight="1" s="12"/>
    <row r="538" ht="15.75" customHeight="1" s="12"/>
    <row r="539" ht="15.75" customHeight="1" s="12"/>
    <row r="540" ht="15.75" customHeight="1" s="12"/>
    <row r="541" ht="15.75" customHeight="1" s="12"/>
    <row r="542" ht="15.75" customHeight="1" s="12"/>
    <row r="543" ht="15.75" customHeight="1" s="12"/>
    <row r="544" ht="15.75" customHeight="1" s="12"/>
    <row r="545" ht="15.75" customHeight="1" s="12"/>
    <row r="546" ht="15.75" customHeight="1" s="12"/>
    <row r="547" ht="15.75" customHeight="1" s="12"/>
    <row r="548" ht="15.75" customHeight="1" s="12"/>
    <row r="549" ht="15.75" customHeight="1" s="12"/>
    <row r="550" ht="15.75" customHeight="1" s="12"/>
    <row r="551" ht="15.75" customHeight="1" s="12"/>
    <row r="552" ht="15.75" customHeight="1" s="12"/>
    <row r="553" ht="15.75" customHeight="1" s="12"/>
    <row r="554" ht="15.75" customHeight="1" s="12"/>
    <row r="555" ht="15.75" customHeight="1" s="12"/>
    <row r="556" ht="15.75" customHeight="1" s="12"/>
    <row r="557" ht="15.75" customHeight="1" s="12"/>
    <row r="558" ht="15.75" customHeight="1" s="12"/>
    <row r="559" ht="15.75" customHeight="1" s="12"/>
    <row r="560" ht="15.75" customHeight="1" s="12"/>
    <row r="561" ht="15.75" customHeight="1" s="12"/>
    <row r="562" ht="15.75" customHeight="1" s="12"/>
    <row r="563" ht="15.75" customHeight="1" s="12"/>
    <row r="564" ht="15.75" customHeight="1" s="12"/>
    <row r="565" ht="15.75" customHeight="1" s="12"/>
    <row r="566" ht="15.75" customHeight="1" s="12"/>
    <row r="567" ht="15.75" customHeight="1" s="12"/>
    <row r="568" ht="15.75" customHeight="1" s="12"/>
    <row r="569" ht="15.75" customHeight="1" s="12"/>
    <row r="570" ht="15.75" customHeight="1" s="12"/>
    <row r="571" ht="15.75" customHeight="1" s="12"/>
    <row r="572" ht="15.75" customHeight="1" s="12"/>
    <row r="573" ht="15.75" customHeight="1" s="12"/>
    <row r="574" ht="15.75" customHeight="1" s="12"/>
    <row r="575" ht="15.75" customHeight="1" s="12"/>
    <row r="576" ht="15.75" customHeight="1" s="12"/>
    <row r="577" ht="15.75" customHeight="1" s="12"/>
    <row r="578" ht="15.75" customHeight="1" s="12"/>
    <row r="579" ht="15.75" customHeight="1" s="12"/>
    <row r="580" ht="15.75" customHeight="1" s="12"/>
    <row r="581" ht="15.75" customHeight="1" s="12"/>
    <row r="582" ht="15.75" customHeight="1" s="12"/>
    <row r="583" ht="15.75" customHeight="1" s="12"/>
    <row r="584" ht="15.75" customHeight="1" s="12"/>
    <row r="585" ht="15.75" customHeight="1" s="12"/>
    <row r="586" ht="15.75" customHeight="1" s="12"/>
    <row r="587" ht="15.75" customHeight="1" s="12"/>
    <row r="588" ht="15.75" customHeight="1" s="12"/>
    <row r="589" ht="15.75" customHeight="1" s="12"/>
    <row r="590" ht="15.75" customHeight="1" s="12"/>
    <row r="591" ht="15.75" customHeight="1" s="12"/>
    <row r="592" ht="15.75" customHeight="1" s="12"/>
    <row r="593" ht="15.75" customHeight="1" s="12"/>
    <row r="594" ht="15.75" customHeight="1" s="12"/>
    <row r="595" ht="15.75" customHeight="1" s="12"/>
    <row r="596" ht="15.75" customHeight="1" s="12"/>
    <row r="597" ht="15.75" customHeight="1" s="12"/>
    <row r="598" ht="15.75" customHeight="1" s="12"/>
    <row r="599" ht="15.75" customHeight="1" s="12"/>
    <row r="600" ht="15.75" customHeight="1" s="12"/>
    <row r="601" ht="15.75" customHeight="1" s="12"/>
    <row r="602" ht="15.75" customHeight="1" s="12"/>
    <row r="603" ht="15.75" customHeight="1" s="12"/>
    <row r="604" ht="15.75" customHeight="1" s="12"/>
    <row r="605" ht="15.75" customHeight="1" s="12"/>
    <row r="606" ht="15.75" customHeight="1" s="12"/>
    <row r="607" ht="15.75" customHeight="1" s="12"/>
    <row r="608" ht="15.75" customHeight="1" s="12"/>
    <row r="609" ht="15.75" customHeight="1" s="12"/>
    <row r="610" ht="15.75" customHeight="1" s="12"/>
    <row r="611" ht="15.75" customHeight="1" s="12"/>
    <row r="612" ht="15.75" customHeight="1" s="12"/>
    <row r="613" ht="15.75" customHeight="1" s="12"/>
    <row r="614" ht="15.75" customHeight="1" s="12"/>
    <row r="615" ht="15.75" customHeight="1" s="12"/>
    <row r="616" ht="15.75" customHeight="1" s="12"/>
    <row r="617" ht="15.75" customHeight="1" s="12"/>
    <row r="618" ht="15.75" customHeight="1" s="12"/>
    <row r="619" ht="15.75" customHeight="1" s="12"/>
    <row r="620" ht="15.75" customHeight="1" s="12"/>
    <row r="621" ht="15.75" customHeight="1" s="12"/>
    <row r="622" ht="15.75" customHeight="1" s="12"/>
    <row r="623" ht="15.75" customHeight="1" s="12"/>
    <row r="624" ht="15.75" customHeight="1" s="12"/>
    <row r="625" ht="15.75" customHeight="1" s="12"/>
    <row r="626" ht="15.75" customHeight="1" s="12"/>
    <row r="627" ht="15.75" customHeight="1" s="12"/>
    <row r="628" ht="15.75" customHeight="1" s="12"/>
    <row r="629" ht="15.75" customHeight="1" s="12"/>
    <row r="630" ht="15.75" customHeight="1" s="12"/>
    <row r="631" ht="15.75" customHeight="1" s="12"/>
    <row r="632" ht="15.75" customHeight="1" s="12"/>
    <row r="633" ht="15.75" customHeight="1" s="12"/>
    <row r="634" ht="15.75" customHeight="1" s="12"/>
    <row r="635" ht="15.75" customHeight="1" s="12"/>
    <row r="636" ht="15.75" customHeight="1" s="12"/>
    <row r="637" ht="15.75" customHeight="1" s="12"/>
    <row r="638" ht="15.75" customHeight="1" s="12"/>
    <row r="639" ht="15.75" customHeight="1" s="12"/>
    <row r="640" ht="15.75" customHeight="1" s="12"/>
    <row r="641" ht="15.75" customHeight="1" s="12"/>
    <row r="642" ht="15.75" customHeight="1" s="12"/>
    <row r="643" ht="15.75" customHeight="1" s="12"/>
    <row r="644" ht="15.75" customHeight="1" s="12"/>
    <row r="645" ht="15.75" customHeight="1" s="12"/>
    <row r="646" ht="15.75" customHeight="1" s="12"/>
    <row r="647" ht="15.75" customHeight="1" s="12"/>
    <row r="648" ht="15.75" customHeight="1" s="12"/>
    <row r="649" ht="15.75" customHeight="1" s="12"/>
    <row r="650" ht="15.75" customHeight="1" s="12"/>
    <row r="651" ht="15.75" customHeight="1" s="12"/>
    <row r="652" ht="15.75" customHeight="1" s="12"/>
    <row r="653" ht="15.75" customHeight="1" s="12"/>
    <row r="654" ht="15.75" customHeight="1" s="12"/>
    <row r="655" ht="15.75" customHeight="1" s="12"/>
    <row r="656" ht="15.75" customHeight="1" s="12"/>
    <row r="657" ht="15.75" customHeight="1" s="12"/>
    <row r="658" ht="15.75" customHeight="1" s="12"/>
    <row r="659" ht="15.75" customHeight="1" s="12"/>
    <row r="660" ht="15.75" customHeight="1" s="12"/>
    <row r="661" ht="15.75" customHeight="1" s="12"/>
    <row r="662" ht="15.75" customHeight="1" s="12"/>
    <row r="663" ht="15.75" customHeight="1" s="12"/>
    <row r="664" ht="15.75" customHeight="1" s="12"/>
    <row r="665" ht="15.75" customHeight="1" s="12"/>
    <row r="666" ht="15.75" customHeight="1" s="12"/>
    <row r="667" ht="15.75" customHeight="1" s="12"/>
    <row r="668" ht="15.75" customHeight="1" s="12"/>
    <row r="669" ht="15.75" customHeight="1" s="12"/>
    <row r="670" ht="15.75" customHeight="1" s="12"/>
    <row r="671" ht="15.75" customHeight="1" s="12"/>
    <row r="672" ht="15.75" customHeight="1" s="12"/>
    <row r="673" ht="15.75" customHeight="1" s="12"/>
    <row r="674" ht="15.75" customHeight="1" s="12"/>
    <row r="675" ht="15.75" customHeight="1" s="12"/>
    <row r="676" ht="15.75" customHeight="1" s="12"/>
    <row r="677" ht="15.75" customHeight="1" s="12"/>
    <row r="678" ht="15.75" customHeight="1" s="12"/>
    <row r="679" ht="15.75" customHeight="1" s="12"/>
    <row r="680" ht="15.75" customHeight="1" s="12"/>
    <row r="681" ht="15.75" customHeight="1" s="12"/>
    <row r="682" ht="15.75" customHeight="1" s="12"/>
    <row r="683" ht="15.75" customHeight="1" s="12"/>
    <row r="684" ht="15.75" customHeight="1" s="12"/>
    <row r="685" ht="15.75" customHeight="1" s="12"/>
    <row r="686" ht="15.75" customHeight="1" s="12"/>
    <row r="687" ht="15.75" customHeight="1" s="12"/>
    <row r="688" ht="15.75" customHeight="1" s="12"/>
    <row r="689" ht="15.75" customHeight="1" s="12"/>
    <row r="690" ht="15.75" customHeight="1" s="12"/>
    <row r="691" ht="15.75" customHeight="1" s="12"/>
    <row r="692" ht="15.75" customHeight="1" s="12"/>
    <row r="693" ht="15.75" customHeight="1" s="12"/>
    <row r="694" ht="15.75" customHeight="1" s="12"/>
    <row r="695" ht="15.75" customHeight="1" s="12"/>
    <row r="696" ht="15.75" customHeight="1" s="12"/>
    <row r="697" ht="15.75" customHeight="1" s="12"/>
    <row r="698" ht="15.75" customHeight="1" s="12"/>
    <row r="699" ht="15.75" customHeight="1" s="12"/>
    <row r="700" ht="15.75" customHeight="1" s="12"/>
    <row r="701" ht="15.75" customHeight="1" s="12"/>
    <row r="702" ht="15.75" customHeight="1" s="12"/>
    <row r="703" ht="15.75" customHeight="1" s="12"/>
    <row r="704" ht="15.75" customHeight="1" s="12"/>
    <row r="705" ht="15.75" customHeight="1" s="12"/>
    <row r="706" ht="15.75" customHeight="1" s="12"/>
    <row r="707" ht="15.75" customHeight="1" s="12"/>
    <row r="708" ht="15.75" customHeight="1" s="12"/>
    <row r="709" ht="15.75" customHeight="1" s="12"/>
    <row r="710" ht="15.75" customHeight="1" s="12"/>
    <row r="711" ht="15.75" customHeight="1" s="12"/>
    <row r="712" ht="15.75" customHeight="1" s="12"/>
    <row r="713" ht="15.75" customHeight="1" s="12"/>
    <row r="714" ht="15.75" customHeight="1" s="12"/>
    <row r="715" ht="15.75" customHeight="1" s="12"/>
    <row r="716" ht="15.75" customHeight="1" s="12"/>
    <row r="717" ht="15.75" customHeight="1" s="12"/>
    <row r="718" ht="15.75" customHeight="1" s="12"/>
    <row r="719" ht="15.75" customHeight="1" s="12"/>
    <row r="720" ht="15.75" customHeight="1" s="12"/>
    <row r="721" ht="15.75" customHeight="1" s="12"/>
    <row r="722" ht="15.75" customHeight="1" s="12"/>
    <row r="723" ht="15.75" customHeight="1" s="12"/>
    <row r="724" ht="15.75" customHeight="1" s="12"/>
    <row r="725" ht="15.75" customHeight="1" s="12"/>
    <row r="726" ht="15.75" customHeight="1" s="12"/>
    <row r="727" ht="15.75" customHeight="1" s="12"/>
    <row r="728" ht="15.75" customHeight="1" s="12"/>
    <row r="729" ht="15.75" customHeight="1" s="12"/>
    <row r="730" ht="15.75" customHeight="1" s="12"/>
    <row r="731" ht="15.75" customHeight="1" s="12"/>
    <row r="732" ht="15.75" customHeight="1" s="12"/>
    <row r="733" ht="15.75" customHeight="1" s="12"/>
    <row r="734" ht="15.75" customHeight="1" s="12"/>
    <row r="735" ht="15.75" customHeight="1" s="12"/>
    <row r="736" ht="15.75" customHeight="1" s="12"/>
    <row r="737" ht="15.75" customHeight="1" s="12"/>
    <row r="738" ht="15.75" customHeight="1" s="12"/>
    <row r="739" ht="15.75" customHeight="1" s="12"/>
    <row r="740" ht="15.75" customHeight="1" s="12"/>
    <row r="741" ht="15.75" customHeight="1" s="12"/>
    <row r="742" ht="15.75" customHeight="1" s="12"/>
    <row r="743" ht="15.75" customHeight="1" s="12"/>
    <row r="744" ht="15.75" customHeight="1" s="12"/>
    <row r="745" ht="15.75" customHeight="1" s="12"/>
    <row r="746" ht="15.75" customHeight="1" s="12"/>
    <row r="747" ht="15.75" customHeight="1" s="12"/>
    <row r="748" ht="15.75" customHeight="1" s="12"/>
    <row r="749" ht="15.75" customHeight="1" s="12"/>
    <row r="750" ht="15.75" customHeight="1" s="12"/>
    <row r="751" ht="15.75" customHeight="1" s="12"/>
    <row r="752" ht="15.75" customHeight="1" s="12"/>
    <row r="753" ht="15.75" customHeight="1" s="12"/>
    <row r="754" ht="15.75" customHeight="1" s="12"/>
    <row r="755" ht="15.75" customHeight="1" s="12"/>
    <row r="756" ht="15.75" customHeight="1" s="12"/>
    <row r="757" ht="15.75" customHeight="1" s="12"/>
    <row r="758" ht="15.75" customHeight="1" s="12"/>
    <row r="759" ht="15.75" customHeight="1" s="12"/>
    <row r="760" ht="15.75" customHeight="1" s="12"/>
    <row r="761" ht="15.75" customHeight="1" s="12"/>
    <row r="762" ht="15.75" customHeight="1" s="12"/>
    <row r="763" ht="15.75" customHeight="1" s="12"/>
    <row r="764" ht="15.75" customHeight="1" s="12"/>
    <row r="765" ht="15.75" customHeight="1" s="12"/>
    <row r="766" ht="15.75" customHeight="1" s="12"/>
    <row r="767" ht="15.75" customHeight="1" s="12"/>
    <row r="768" ht="15.75" customHeight="1" s="12"/>
    <row r="769" ht="15.75" customHeight="1" s="12"/>
    <row r="770" ht="15.75" customHeight="1" s="12"/>
    <row r="771" ht="15.75" customHeight="1" s="12"/>
    <row r="772" ht="15.75" customHeight="1" s="12"/>
    <row r="773" ht="15.75" customHeight="1" s="12"/>
    <row r="774" ht="15.75" customHeight="1" s="12"/>
    <row r="775" ht="15.75" customHeight="1" s="12"/>
    <row r="776" ht="15.75" customHeight="1" s="12"/>
    <row r="777" ht="15.75" customHeight="1" s="12"/>
    <row r="778" ht="15.75" customHeight="1" s="12"/>
    <row r="779" ht="15.75" customHeight="1" s="12"/>
    <row r="780" ht="15.75" customHeight="1" s="12"/>
    <row r="781" ht="15.75" customHeight="1" s="12"/>
    <row r="782" ht="15.75" customHeight="1" s="12"/>
    <row r="783" ht="15.75" customHeight="1" s="12"/>
    <row r="784" ht="15.75" customHeight="1" s="12"/>
    <row r="785" ht="15.75" customHeight="1" s="12"/>
    <row r="786" ht="15.75" customHeight="1" s="12"/>
    <row r="787" ht="15.75" customHeight="1" s="12"/>
    <row r="788" ht="15.75" customHeight="1" s="12"/>
    <row r="789" ht="15.75" customHeight="1" s="12"/>
    <row r="790" ht="15.75" customHeight="1" s="12"/>
    <row r="791" ht="15.75" customHeight="1" s="12"/>
    <row r="792" ht="15.75" customHeight="1" s="12"/>
    <row r="793" ht="15.75" customHeight="1" s="12"/>
    <row r="794" ht="15.75" customHeight="1" s="12"/>
    <row r="795" ht="15.75" customHeight="1" s="12"/>
    <row r="796" ht="15.75" customHeight="1" s="12"/>
    <row r="797" ht="15.75" customHeight="1" s="12"/>
    <row r="798" ht="15.75" customHeight="1" s="12"/>
    <row r="799" ht="15.75" customHeight="1" s="12"/>
    <row r="800" ht="15.75" customHeight="1" s="12"/>
    <row r="801" ht="15.75" customHeight="1" s="12"/>
    <row r="802" ht="15.75" customHeight="1" s="12"/>
    <row r="803" ht="15.75" customHeight="1" s="12"/>
    <row r="804" ht="15.75" customHeight="1" s="12"/>
    <row r="805" ht="15.75" customHeight="1" s="12"/>
    <row r="806" ht="15.75" customHeight="1" s="12"/>
    <row r="807" ht="15.75" customHeight="1" s="12"/>
    <row r="808" ht="15.75" customHeight="1" s="12"/>
    <row r="809" ht="15.75" customHeight="1" s="12"/>
    <row r="810" ht="15.75" customHeight="1" s="12"/>
    <row r="811" ht="15.75" customHeight="1" s="12"/>
    <row r="812" ht="15.75" customHeight="1" s="12"/>
    <row r="813" ht="15.75" customHeight="1" s="12"/>
    <row r="814" ht="15.75" customHeight="1" s="12"/>
    <row r="815" ht="15.75" customHeight="1" s="12"/>
    <row r="816" ht="15.75" customHeight="1" s="12"/>
    <row r="817" ht="15.75" customHeight="1" s="12"/>
    <row r="818" ht="15.75" customHeight="1" s="12"/>
    <row r="819" ht="15.75" customHeight="1" s="12"/>
    <row r="820" ht="15.75" customHeight="1" s="12"/>
    <row r="821" ht="15.75" customHeight="1" s="12"/>
    <row r="822" ht="15.75" customHeight="1" s="12"/>
    <row r="823" ht="15.75" customHeight="1" s="12"/>
    <row r="824" ht="15.75" customHeight="1" s="12"/>
    <row r="825" ht="15.75" customHeight="1" s="12"/>
    <row r="826" ht="15.75" customHeight="1" s="12"/>
    <row r="827" ht="15.75" customHeight="1" s="12"/>
    <row r="828" ht="15.75" customHeight="1" s="12"/>
    <row r="829" ht="15.75" customHeight="1" s="12"/>
    <row r="830" ht="15.75" customHeight="1" s="12"/>
    <row r="831" ht="15.75" customHeight="1" s="12"/>
    <row r="832" ht="15.75" customHeight="1" s="12"/>
    <row r="833" ht="15.75" customHeight="1" s="12"/>
    <row r="834" ht="15.75" customHeight="1" s="12"/>
    <row r="835" ht="15.75" customHeight="1" s="12"/>
    <row r="836" ht="15.75" customHeight="1" s="12"/>
    <row r="837" ht="15.75" customHeight="1" s="12"/>
    <row r="838" ht="15.75" customHeight="1" s="12"/>
    <row r="839" ht="15.75" customHeight="1" s="12"/>
    <row r="840" ht="15.75" customHeight="1" s="12"/>
    <row r="841" ht="15.75" customHeight="1" s="12"/>
    <row r="842" ht="15.75" customHeight="1" s="12"/>
    <row r="843" ht="15.75" customHeight="1" s="12"/>
    <row r="844" ht="15.75" customHeight="1" s="12"/>
    <row r="845" ht="15.75" customHeight="1" s="12"/>
    <row r="846" ht="15.75" customHeight="1" s="12"/>
    <row r="847" ht="15.75" customHeight="1" s="12"/>
    <row r="848" ht="15.75" customHeight="1" s="12"/>
    <row r="849" ht="15.75" customHeight="1" s="12"/>
    <row r="850" ht="15.75" customHeight="1" s="12"/>
    <row r="851" ht="15.75" customHeight="1" s="12"/>
    <row r="852" ht="15.75" customHeight="1" s="12"/>
    <row r="853" ht="15.75" customHeight="1" s="12"/>
    <row r="854" ht="15.75" customHeight="1" s="12"/>
    <row r="855" ht="15.75" customHeight="1" s="12"/>
    <row r="856" ht="15.75" customHeight="1" s="12"/>
    <row r="857" ht="15.75" customHeight="1" s="12"/>
    <row r="858" ht="15.75" customHeight="1" s="12"/>
    <row r="859" ht="15.75" customHeight="1" s="12"/>
    <row r="860" ht="15.75" customHeight="1" s="12"/>
    <row r="861" ht="15.75" customHeight="1" s="12"/>
    <row r="862" ht="15.75" customHeight="1" s="12"/>
    <row r="863" ht="15.75" customHeight="1" s="12"/>
    <row r="864" ht="15.75" customHeight="1" s="12"/>
    <row r="865" ht="15.75" customHeight="1" s="12"/>
    <row r="866" ht="15.75" customHeight="1" s="12"/>
    <row r="867" ht="15.75" customHeight="1" s="12"/>
    <row r="868" ht="15.75" customHeight="1" s="12"/>
    <row r="869" ht="15.75" customHeight="1" s="12"/>
    <row r="870" ht="15.75" customHeight="1" s="12"/>
    <row r="871" ht="15.75" customHeight="1" s="12"/>
    <row r="872" ht="15.75" customHeight="1" s="12"/>
    <row r="873" ht="15.75" customHeight="1" s="12"/>
    <row r="874" ht="15.75" customHeight="1" s="12"/>
    <row r="875" ht="15.75" customHeight="1" s="12"/>
    <row r="876" ht="15.75" customHeight="1" s="12"/>
    <row r="877" ht="15.75" customHeight="1" s="12"/>
    <row r="878" ht="15.75" customHeight="1" s="12"/>
    <row r="879" ht="15.75" customHeight="1" s="12"/>
    <row r="880" ht="15.75" customHeight="1" s="12"/>
    <row r="881" ht="15.75" customHeight="1" s="12"/>
    <row r="882" ht="15.75" customHeight="1" s="12"/>
    <row r="883" ht="15.75" customHeight="1" s="12"/>
    <row r="884" ht="15.75" customHeight="1" s="12"/>
    <row r="885" ht="15.75" customHeight="1" s="12"/>
    <row r="886" ht="15.75" customHeight="1" s="12"/>
    <row r="887" ht="15.75" customHeight="1" s="12"/>
    <row r="888" ht="15.75" customHeight="1" s="12"/>
    <row r="889" ht="15.75" customHeight="1" s="12"/>
    <row r="890" ht="15.75" customHeight="1" s="12"/>
    <row r="891" ht="15.75" customHeight="1" s="12"/>
    <row r="892" ht="15.75" customHeight="1" s="12"/>
    <row r="893" ht="15.75" customHeight="1" s="12"/>
    <row r="894" ht="15.75" customHeight="1" s="12"/>
    <row r="895" ht="15.75" customHeight="1" s="12"/>
    <row r="896" ht="15.75" customHeight="1" s="12"/>
    <row r="897" ht="15.75" customHeight="1" s="12"/>
    <row r="898" ht="15.75" customHeight="1" s="12"/>
    <row r="899" ht="15.75" customHeight="1" s="12"/>
    <row r="900" ht="15.75" customHeight="1" s="12"/>
    <row r="901" ht="15.75" customHeight="1" s="12"/>
    <row r="902" ht="15.75" customHeight="1" s="12"/>
    <row r="903" ht="15.75" customHeight="1" s="12"/>
    <row r="904" ht="15.75" customHeight="1" s="12"/>
    <row r="905" ht="15.75" customHeight="1" s="12"/>
    <row r="906" ht="15.75" customHeight="1" s="12"/>
    <row r="907" ht="15.75" customHeight="1" s="12"/>
    <row r="908" ht="15.75" customHeight="1" s="12"/>
    <row r="909" ht="15.75" customHeight="1" s="12"/>
    <row r="910" ht="15.75" customHeight="1" s="12"/>
    <row r="911" ht="15.75" customHeight="1" s="12"/>
    <row r="912" ht="15.75" customHeight="1" s="12"/>
    <row r="913" ht="15.75" customHeight="1" s="12"/>
    <row r="914" ht="15.75" customHeight="1" s="12"/>
    <row r="915" ht="15.75" customHeight="1" s="12"/>
    <row r="916" ht="15.75" customHeight="1" s="12"/>
    <row r="917" ht="15.75" customHeight="1" s="12"/>
    <row r="918" ht="15.75" customHeight="1" s="12"/>
    <row r="919" ht="15.75" customHeight="1" s="12"/>
    <row r="920" ht="15.75" customHeight="1" s="12"/>
    <row r="921" ht="15.75" customHeight="1" s="12"/>
    <row r="922" ht="15.75" customHeight="1" s="12"/>
    <row r="923" ht="15.75" customHeight="1" s="12"/>
    <row r="924" ht="15.75" customHeight="1" s="12"/>
    <row r="925" ht="15.75" customHeight="1" s="12"/>
    <row r="926" ht="15.75" customHeight="1" s="12"/>
    <row r="927" ht="15.75" customHeight="1" s="12"/>
    <row r="928" ht="15.75" customHeight="1" s="12"/>
    <row r="929" ht="15.75" customHeight="1" s="12"/>
    <row r="930" ht="15.75" customHeight="1" s="12"/>
    <row r="931" ht="15.75" customHeight="1" s="12"/>
    <row r="932" ht="15.75" customHeight="1" s="12"/>
    <row r="933" ht="15.75" customHeight="1" s="12"/>
    <row r="934" ht="15.75" customHeight="1" s="12"/>
    <row r="935" ht="15.75" customHeight="1" s="12"/>
    <row r="936" ht="15.75" customHeight="1" s="12"/>
    <row r="937" ht="15.75" customHeight="1" s="12"/>
    <row r="938" ht="15.75" customHeight="1" s="12"/>
    <row r="939" ht="15.75" customHeight="1" s="12"/>
    <row r="940" ht="15.75" customHeight="1" s="12"/>
    <row r="941" ht="15.75" customHeight="1" s="12"/>
    <row r="942" ht="15.75" customHeight="1" s="12"/>
    <row r="943" ht="15.75" customHeight="1" s="12"/>
    <row r="944" ht="15.75" customHeight="1" s="12"/>
    <row r="945" ht="15.75" customHeight="1" s="12"/>
    <row r="946" ht="15.75" customHeight="1" s="12"/>
    <row r="947" ht="15.75" customHeight="1" s="12"/>
    <row r="948" ht="15.75" customHeight="1" s="12"/>
    <row r="949" ht="15.75" customHeight="1" s="12"/>
    <row r="950" ht="15.75" customHeight="1" s="12"/>
    <row r="951" ht="15.75" customHeight="1" s="12"/>
    <row r="952" ht="15.75" customHeight="1" s="12"/>
    <row r="953" ht="15.75" customHeight="1" s="12"/>
    <row r="954" ht="15.75" customHeight="1" s="12"/>
    <row r="955" ht="15.75" customHeight="1" s="12"/>
    <row r="956" ht="15.75" customHeight="1" s="12"/>
    <row r="957" ht="15.75" customHeight="1" s="12"/>
    <row r="958" ht="15.75" customHeight="1" s="12"/>
    <row r="959" ht="15.75" customHeight="1" s="12"/>
    <row r="960" ht="15.75" customHeight="1" s="12"/>
    <row r="961" ht="15.75" customHeight="1" s="12"/>
    <row r="962" ht="15.75" customHeight="1" s="12"/>
    <row r="963" ht="15.75" customHeight="1" s="12"/>
    <row r="964" ht="15.75" customHeight="1" s="12"/>
    <row r="965" ht="15.75" customHeight="1" s="12"/>
    <row r="966" ht="15.75" customHeight="1" s="12"/>
    <row r="967" ht="15.75" customHeight="1" s="12"/>
    <row r="968" ht="15.75" customHeight="1" s="12"/>
    <row r="969" ht="15.75" customHeight="1" s="12"/>
    <row r="970" ht="15.75" customHeight="1" s="12"/>
    <row r="971" ht="15.75" customHeight="1" s="12"/>
    <row r="972" ht="15.75" customHeight="1" s="12"/>
    <row r="973" ht="15.75" customHeight="1" s="12"/>
    <row r="974" ht="15.75" customHeight="1" s="12"/>
    <row r="975" ht="15.75" customHeight="1" s="12"/>
    <row r="976" ht="15.75" customHeight="1" s="12"/>
    <row r="977" ht="15.75" customHeight="1" s="12"/>
    <row r="978" ht="15.75" customHeight="1" s="12"/>
    <row r="979" ht="15.75" customHeight="1" s="12"/>
    <row r="980" ht="15.75" customHeight="1" s="12"/>
    <row r="981" ht="15.75" customHeight="1" s="12"/>
    <row r="982" ht="15.75" customHeight="1" s="12"/>
    <row r="983" ht="15.75" customHeight="1" s="12"/>
    <row r="984" ht="15.75" customHeight="1" s="12"/>
    <row r="985" ht="15.75" customHeight="1" s="12"/>
    <row r="986" ht="15.75" customHeight="1" s="12"/>
    <row r="987" ht="15.75" customHeight="1" s="12"/>
    <row r="988" ht="15.75" customHeight="1" s="12"/>
    <row r="989" ht="15.75" customHeight="1" s="12"/>
    <row r="990" ht="15.75" customHeight="1" s="12"/>
    <row r="991" ht="15.75" customHeight="1" s="12"/>
    <row r="992" ht="15.75" customHeight="1" s="12"/>
    <row r="993" ht="15.75" customHeight="1" s="12"/>
    <row r="994" ht="15.75" customHeight="1" s="12"/>
    <row r="995" ht="15.75" customHeight="1" s="12"/>
    <row r="996" ht="15.75" customHeight="1" s="12"/>
    <row r="997" ht="15.75" customHeight="1" s="12"/>
    <row r="998" ht="15.75" customHeight="1" s="12"/>
    <row r="999" ht="15.75" customHeight="1" s="12"/>
    <row r="1000" ht="15.75" customHeight="1" s="12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2026-07-22T08:00:15Z</dcterms:modified>
</cp:coreProperties>
</file>