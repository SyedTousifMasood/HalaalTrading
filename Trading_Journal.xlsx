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7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4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2026-08-26 11:56:09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829.4500122070312</v>
      </c>
      <c r="H4" s="88">
        <f>E4*G4</f>
        <v/>
      </c>
      <c r="I4" s="89">
        <f>H4-(E4*F4)</f>
        <v/>
      </c>
      <c r="J4" s="90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469.1499938964844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66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68.58000183105469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67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186.0099945068359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447.8500061035156</v>
      </c>
      <c r="H8" s="88">
        <f>E8*G8</f>
        <v/>
      </c>
      <c r="I8" s="89">
        <f>H8-(E8*F8)</f>
        <v/>
      </c>
      <c r="J8" s="90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8.920000076293945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552.7999877929688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66" t="n">
        <v>19182.39002609253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976.5</v>
      </c>
      <c r="H12" s="88">
        <f>E12*G12</f>
        <v/>
      </c>
      <c r="I12" s="89">
        <f>H12-(E12*F12)</f>
        <v/>
      </c>
      <c r="J12" s="90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>
        <f>B5 - SUMIF(Capital!B:B, "WITHDRAWAL", Capital!C:C) + B6 - B11</f>
        <v/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255.3500061035156</v>
      </c>
      <c r="H13" s="88">
        <f>E13*G13</f>
        <v/>
      </c>
      <c r="I13" s="93">
        <f>H13-(E13*F13)</f>
        <v/>
      </c>
      <c r="J13" s="94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6.583333333333333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7.518518518518518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s="0" t="inlineStr">
        <is>
          <t>Date</t>
        </is>
      </c>
      <c r="B1" s="0" t="inlineStr">
        <is>
          <t>Cumulative PnL</t>
        </is>
      </c>
    </row>
    <row r="2">
      <c r="A2" s="0" t="inlineStr">
        <is>
          <t>2026-07-21</t>
        </is>
      </c>
      <c r="B2" s="0" t="n">
        <v>-4.400000000000091</v>
      </c>
    </row>
    <row r="3">
      <c r="A3" s="0" t="inlineStr">
        <is>
          <t>2026-08-04</t>
        </is>
      </c>
      <c r="B3" s="0" t="n">
        <v>-22.30000000000018</v>
      </c>
    </row>
    <row r="4">
      <c r="A4" s="0" t="inlineStr">
        <is>
          <t>2026-08-05</t>
        </is>
      </c>
      <c r="B4" s="0" t="n">
        <v>104.7999999999997</v>
      </c>
    </row>
    <row r="5">
      <c r="A5" s="0" t="inlineStr">
        <is>
          <t>2026-08-06</t>
        </is>
      </c>
      <c r="B5" s="0" t="n">
        <v>103.8499999999997</v>
      </c>
    </row>
    <row r="6">
      <c r="A6" s="0" t="inlineStr">
        <is>
          <t>2026-08-10</t>
        </is>
      </c>
      <c r="B6" s="0" t="n">
        <v>119.6399999999998</v>
      </c>
    </row>
    <row r="7">
      <c r="A7" s="0" t="inlineStr">
        <is>
          <t>2026-08-12</t>
        </is>
      </c>
      <c r="B7" s="0" t="n">
        <v>120.9499999999996</v>
      </c>
    </row>
    <row r="8">
      <c r="A8" s="0" t="inlineStr">
        <is>
          <t>2026-08-13</t>
        </is>
      </c>
      <c r="B8" s="0" t="n">
        <v>180.6499999999997</v>
      </c>
    </row>
    <row r="9">
      <c r="A9" s="0" t="inlineStr">
        <is>
          <t>2026-08-14</t>
        </is>
      </c>
      <c r="B9" s="0" t="n">
        <v>145.6499999999997</v>
      </c>
    </row>
    <row r="10">
      <c r="A10" s="0" t="inlineStr">
        <is>
          <t>2026-08-18</t>
        </is>
      </c>
      <c r="B10" s="0" t="n">
        <v>92.88999999999982</v>
      </c>
    </row>
    <row r="11">
      <c r="A11" s="0" t="inlineStr">
        <is>
          <t>2026-08-20</t>
        </is>
      </c>
      <c r="B11" s="0" t="n">
        <v>96.93999999999977</v>
      </c>
    </row>
    <row r="12">
      <c r="A12" s="0" t="inlineStr">
        <is>
          <t>2026-08-21</t>
        </is>
      </c>
      <c r="B12" s="0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2026-08-26T18:16:07Z</dcterms:modified>
</cp:coreProperties>
</file>