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7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10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4" t="inlineStr">
        <is>
          <t>Total Net Capital Deposited</t>
        </is>
      </c>
      <c r="B4" s="35">
        <f>SUMIF(Capital!B:B, "DEPOSIT", Capital!C:C) - SUMIF(Capital!B:B, "WITHDRAWAL", Capital!C:C)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Lifetime Realized PnL</t>
        </is>
      </c>
      <c r="B5" s="35">
        <f>SUM(Ledger!M:M)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Current Total Portfolio Value</t>
        </is>
      </c>
      <c r="B6" s="35">
        <f>B4 + 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Capital Deployed in Open Trades</t>
        </is>
      </c>
      <c r="B7" s="35">
        <f>SUMPRODUCT((Ledger!N2:N500="OPEN")*(Ledger!E2:E500)*(Ledger!D2:D500))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Available for Trading</t>
        </is>
      </c>
      <c r="B8" s="35">
        <f>B6 - B7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Win Rate</t>
        </is>
      </c>
      <c r="B9" s="36">
        <f>IF((COUNTIF(Ledger!N:N, "WIN")+COUNTIF(Ledger!N:N, "LOSS"))&gt;0, COUNTIF(Ledger!N:N, "WIN")/(COUNTIF(Ledger!N:N, "WIN")+COUNTIF(Ledger!N:N, "LOSS")), 0)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inlineStr">
        <is>
          <t>Total Completed Trades</t>
        </is>
      </c>
      <c r="B10" s="37">
        <f>COUNTIF(Ledger!N:N, "WIN") + COUNTIF(Ledger!N:N, "LOSS")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Active Open Positions</t>
        </is>
      </c>
      <c r="B11" s="37">
        <f>COUNTIF(Ledger!N:N, "OPEN")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Win Trades</t>
        </is>
      </c>
      <c r="B12" s="37">
        <f>COUNTIF(Ledger!N:N, "WIN")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Loss Trades</t>
        </is>
      </c>
      <c r="B13" s="37">
        <f>COUNTIF(Ledger!N:N,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WIN</t>
        </is>
      </c>
      <c r="O4" s="7" t="inlineStr">
        <is>
          <t>Auto-synced from Zerodha account | Auto-synced sell from Zerodha account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</t>
        </is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</t>
        </is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</t>
        </is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>
        <f>IF(OR(N8="WIN", N8="LOSS"), (L8-E8)*D8, 0)</f>
        <v/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>
        <f>IF(OR(N9="WIN", N9="LOSS"), (L9-E9)*D9, 0)</f>
        <v/>
      </c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2026-07-27T04:44:26Z</dcterms:modified>
</cp:coreProperties>
</file>